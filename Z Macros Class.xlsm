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ink/ink18.xml" ContentType="application/inkml+xml"/>
  <Override PartName="/xl/ink/ink19.xml" ContentType="application/inkml+xml"/>
  <Override PartName="/xl/ink/ink20.xml" ContentType="application/inkml+xml"/>
  <Override PartName="/xl/ink/ink21.xml" ContentType="application/inkml+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ink/ink33.xml" ContentType="application/inkml+xml"/>
  <Override PartName="/xl/ink/ink34.xml" ContentType="application/inkml+xml"/>
  <Override PartName="/xl/ink/ink35.xml" ContentType="application/inkml+xml"/>
  <Override PartName="/xl/ink/ink36.xml" ContentType="application/inkml+xml"/>
  <Override PartName="/xl/ink/ink37.xml" ContentType="application/inkml+xml"/>
  <Override PartName="/xl/ink/ink38.xml" ContentType="application/inkml+xml"/>
  <Override PartName="/xl/ink/ink39.xml" ContentType="application/inkml+xml"/>
  <Override PartName="/xl/ink/ink40.xml" ContentType="application/inkml+xml"/>
  <Override PartName="/xl/ink/ink41.xml" ContentType="application/inkml+xml"/>
  <Override PartName="/xl/ink/ink42.xml" ContentType="application/inkml+xml"/>
  <Override PartName="/xl/ink/ink43.xml" ContentType="application/inkml+xml"/>
  <Override PartName="/xl/ink/ink44.xml" ContentType="application/inkml+xml"/>
  <Override PartName="/xl/ink/ink45.xml" ContentType="application/inkml+xml"/>
  <Override PartName="/xl/ink/ink46.xml" ContentType="application/inkml+xml"/>
  <Override PartName="/xl/ink/ink47.xml" ContentType="application/inkml+xml"/>
  <Override PartName="/xl/ink/ink48.xml" ContentType="application/inkml+xml"/>
  <Override PartName="/xl/ink/ink49.xml" ContentType="application/inkml+xml"/>
  <Override PartName="/xl/ink/ink50.xml" ContentType="application/inkml+xml"/>
  <Override PartName="/xl/ink/ink51.xml" ContentType="application/inkml+xml"/>
  <Override PartName="/xl/ink/ink52.xml" ContentType="application/inkml+xml"/>
  <Override PartName="/xl/ink/ink53.xml" ContentType="application/inkml+xml"/>
  <Override PartName="/xl/ink/ink54.xml" ContentType="application/inkml+xml"/>
  <Override PartName="/xl/ink/ink55.xml" ContentType="application/inkml+xml"/>
  <Override PartName="/xl/ink/ink56.xml" ContentType="application/inkml+xml"/>
  <Override PartName="/xl/ink/ink57.xml" ContentType="application/inkml+xml"/>
  <Override PartName="/xl/ink/ink58.xml" ContentType="application/inkml+xml"/>
  <Override PartName="/xl/ink/ink59.xml" ContentType="application/inkml+xml"/>
  <Override PartName="/xl/ink/ink60.xml" ContentType="application/inkml+xml"/>
  <Override PartName="/xl/ink/ink61.xml" ContentType="application/inkml+xml"/>
  <Override PartName="/xl/ink/ink62.xml" ContentType="application/inkml+xml"/>
  <Override PartName="/xl/ink/ink63.xml" ContentType="application/inkml+xml"/>
  <Override PartName="/xl/ink/ink64.xml" ContentType="application/inkml+xml"/>
  <Override PartName="/xl/ink/ink65.xml" ContentType="application/inkml+xml"/>
  <Override PartName="/xl/ink/ink66.xml" ContentType="application/inkml+xml"/>
  <Override PartName="/xl/ink/ink67.xml" ContentType="application/inkml+xml"/>
  <Override PartName="/xl/ink/ink68.xml" ContentType="application/inkml+xml"/>
  <Override PartName="/xl/ink/ink69.xml" ContentType="application/inkml+xml"/>
  <Override PartName="/xl/ink/ink70.xml" ContentType="application/inkml+xml"/>
  <Override PartName="/xl/ink/ink71.xml" ContentType="application/inkml+xml"/>
  <Override PartName="/xl/ink/ink72.xml" ContentType="application/inkml+xml"/>
  <Override PartName="/xl/ink/ink73.xml" ContentType="application/inkml+xml"/>
  <Override PartName="/xl/ink/ink74.xml" ContentType="application/inkml+xml"/>
  <Override PartName="/xl/ink/ink75.xml" ContentType="application/inkml+xml"/>
  <Override PartName="/xl/ink/ink76.xml" ContentType="application/inkml+xml"/>
  <Override PartName="/xl/ink/ink77.xml" ContentType="application/inkml+xml"/>
  <Override PartName="/xl/ink/ink78.xml" ContentType="application/inkml+xml"/>
  <Override PartName="/xl/ink/ink79.xml" ContentType="application/inkml+xml"/>
  <Override PartName="/xl/ink/ink80.xml" ContentType="application/inkml+xml"/>
  <Override PartName="/xl/ink/ink81.xml" ContentType="application/inkml+xml"/>
  <Override PartName="/xl/ink/ink82.xml" ContentType="application/inkml+xml"/>
  <Override PartName="/xl/drawings/drawing2.xml" ContentType="application/vnd.openxmlformats-officedocument.drawing+xml"/>
  <Override PartName="/xl/ink/ink83.xml" ContentType="application/inkml+xml"/>
  <Override PartName="/xl/ink/ink84.xml" ContentType="application/inkml+xml"/>
  <Override PartName="/xl/ink/ink85.xml" ContentType="application/inkml+xml"/>
  <Override PartName="/xl/ink/ink86.xml" ContentType="application/inkml+xml"/>
  <Override PartName="/xl/drawings/drawing3.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tables/table4.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tables/table5.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tables/table6.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tables/table9.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2.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slicers/slicer1.xml" ContentType="application/vnd.ms-excel.slicer+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hidePivotFieldList="1"/>
  <mc:AlternateContent xmlns:mc="http://schemas.openxmlformats.org/markup-compatibility/2006">
    <mc:Choice Requires="x15">
      <x15ac:absPath xmlns:x15ac="http://schemas.microsoft.com/office/spreadsheetml/2010/11/ac" url="E:\CampusX\DAMP\Excel\"/>
    </mc:Choice>
  </mc:AlternateContent>
  <xr:revisionPtr revIDLastSave="0" documentId="13_ncr:1_{403F0D6F-A207-4D04-82B8-F728187F4BAF}" xr6:coauthVersionLast="47" xr6:coauthVersionMax="47" xr10:uidLastSave="{00000000-0000-0000-0000-000000000000}"/>
  <bookViews>
    <workbookView xWindow="-108" yWindow="-108" windowWidth="23256" windowHeight="13896" firstSheet="14" activeTab="17" xr2:uid="{93025BFA-85BD-4BF6-A1C7-F07514922BF8}"/>
  </bookViews>
  <sheets>
    <sheet name="Content" sheetId="1" r:id="rId1"/>
    <sheet name="Macros Introduction" sheetId="2" r:id="rId2"/>
    <sheet name="Macros Introduction (2)" sheetId="7" r:id="rId3"/>
    <sheet name="Macros Introduction (3)" sheetId="8" r:id="rId4"/>
    <sheet name="Sheet9" sheetId="9" r:id="rId5"/>
    <sheet name="North" sheetId="3" r:id="rId6"/>
    <sheet name="South" sheetId="4" r:id="rId7"/>
    <sheet name="East" sheetId="5" r:id="rId8"/>
    <sheet name="West" sheetId="6" r:id="rId9"/>
    <sheet name="West (2)" sheetId="10" r:id="rId10"/>
    <sheet name="West (4)" sheetId="12" r:id="rId11"/>
    <sheet name="West (5)" sheetId="14" r:id="rId12"/>
    <sheet name="West (6)" sheetId="15" r:id="rId13"/>
    <sheet name="West (7)" sheetId="18" r:id="rId14"/>
    <sheet name="Data Visualization basics" sheetId="17" r:id="rId15"/>
    <sheet name="Data Visualization" sheetId="16" r:id="rId16"/>
    <sheet name="Sheet1" sheetId="19" r:id="rId17"/>
    <sheet name="Sheet2" sheetId="20" r:id="rId18"/>
  </sheets>
  <definedNames>
    <definedName name="Slicer_Region">#N/A</definedName>
  </definedNames>
  <calcPr calcId="191029"/>
  <pivotCaches>
    <pivotCache cacheId="12"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 i="16" l="1" a="1"/>
  <c r="P4" i="16" s="1"/>
  <c r="Q4" i="16" s="1"/>
  <c r="Q5" i="16"/>
  <c r="Q6" i="16"/>
  <c r="Q7" i="16"/>
  <c r="Q8" i="16"/>
  <c r="Q9" i="16"/>
  <c r="V8" i="15"/>
  <c r="R10" i="15"/>
  <c r="V9" i="15"/>
  <c r="V10" i="15"/>
  <c r="V7" i="15"/>
  <c r="U7" i="15" a="1"/>
  <c r="U7" i="15" s="1"/>
  <c r="N2" i="15"/>
  <c r="N3" i="15"/>
  <c r="N4" i="15"/>
  <c r="N5" i="15"/>
  <c r="N6" i="15"/>
  <c r="N7" i="15"/>
  <c r="N8" i="15"/>
  <c r="N9" i="15"/>
  <c r="N10" i="15"/>
  <c r="N11" i="15"/>
  <c r="N12" i="15"/>
  <c r="N13" i="15"/>
  <c r="N14" i="15"/>
  <c r="N15" i="15"/>
  <c r="N16" i="15"/>
  <c r="N17" i="15"/>
  <c r="N18" i="15"/>
  <c r="N19" i="15"/>
  <c r="N20" i="15"/>
  <c r="N21" i="15"/>
  <c r="N22" i="15"/>
  <c r="N23" i="15"/>
  <c r="N24" i="15"/>
  <c r="N25" i="15"/>
  <c r="N26" i="15"/>
  <c r="N27" i="15"/>
  <c r="N28" i="15"/>
  <c r="N29" i="15"/>
  <c r="N30" i="15"/>
  <c r="N31" i="15"/>
  <c r="N32" i="15"/>
  <c r="N33" i="15"/>
  <c r="N34" i="15"/>
  <c r="N35" i="15"/>
  <c r="N36" i="15"/>
  <c r="N37" i="15"/>
  <c r="N38" i="15"/>
  <c r="N39" i="15"/>
  <c r="N40" i="15"/>
  <c r="N41" i="15"/>
  <c r="N42" i="15"/>
  <c r="N43" i="15"/>
  <c r="N44" i="15"/>
  <c r="N45" i="15"/>
  <c r="N46" i="15"/>
  <c r="N47" i="15"/>
  <c r="N2" i="14"/>
  <c r="N3" i="14"/>
  <c r="N4" i="14"/>
  <c r="N5" i="14"/>
  <c r="N6" i="14"/>
  <c r="N7" i="14"/>
  <c r="N8" i="14"/>
  <c r="N9" i="14"/>
  <c r="N10" i="14"/>
  <c r="N11" i="14"/>
  <c r="N12" i="14"/>
  <c r="N13" i="14"/>
  <c r="N14" i="14"/>
  <c r="N15" i="14"/>
  <c r="N16" i="14"/>
  <c r="N17" i="14"/>
  <c r="N18" i="14"/>
  <c r="N19" i="14"/>
  <c r="N20" i="14"/>
  <c r="N21" i="14"/>
  <c r="N22" i="14"/>
  <c r="N23" i="14"/>
  <c r="N24" i="14"/>
  <c r="N25" i="14"/>
  <c r="N26" i="14"/>
  <c r="N27" i="14"/>
  <c r="N28" i="14"/>
  <c r="N29" i="14"/>
  <c r="N30" i="14"/>
  <c r="N31" i="14"/>
  <c r="N32" i="14"/>
  <c r="N33" i="14"/>
  <c r="N34" i="14"/>
  <c r="N35" i="14"/>
  <c r="N36" i="14"/>
  <c r="N37" i="14"/>
  <c r="N38" i="14"/>
  <c r="N39" i="14"/>
  <c r="N40" i="14"/>
  <c r="N41" i="14"/>
  <c r="N42" i="14"/>
  <c r="N43" i="14"/>
  <c r="N44" i="14"/>
  <c r="V7" i="12"/>
  <c r="V8" i="12"/>
  <c r="V9" i="12"/>
  <c r="V10" i="12"/>
  <c r="U7" i="12" a="1"/>
  <c r="U7" i="12" s="1"/>
  <c r="R10" i="12"/>
  <c r="N2" i="12"/>
  <c r="N3" i="12"/>
  <c r="N4" i="12"/>
  <c r="N5" i="12"/>
  <c r="N6" i="12"/>
  <c r="N7" i="12"/>
  <c r="N8" i="12"/>
  <c r="N9" i="12"/>
  <c r="N10" i="12"/>
  <c r="N11" i="12"/>
  <c r="N12" i="12"/>
  <c r="N13" i="12"/>
  <c r="N14" i="12"/>
  <c r="N15" i="12"/>
  <c r="N16" i="12"/>
  <c r="N17" i="12"/>
  <c r="N18" i="12"/>
  <c r="N19" i="12"/>
  <c r="N20" i="12"/>
  <c r="N21" i="12"/>
  <c r="N22" i="12"/>
  <c r="N23" i="12"/>
  <c r="N24" i="12"/>
  <c r="N25" i="12"/>
  <c r="N26" i="12"/>
  <c r="R10" i="10"/>
  <c r="V8" i="10"/>
  <c r="V9" i="10"/>
  <c r="V10" i="10"/>
  <c r="V7" i="10"/>
  <c r="U7" i="10" a="1"/>
  <c r="U7" i="10" s="1"/>
  <c r="N2" i="10"/>
  <c r="N3" i="10"/>
  <c r="N4" i="10"/>
  <c r="N5" i="10"/>
  <c r="N6" i="10"/>
  <c r="N7" i="10"/>
  <c r="N8" i="10"/>
  <c r="N9" i="10"/>
  <c r="N10" i="10"/>
  <c r="N11" i="10"/>
  <c r="N12" i="10"/>
  <c r="N13" i="10"/>
  <c r="N14" i="10"/>
  <c r="N15" i="10"/>
  <c r="N16" i="10"/>
  <c r="N17" i="10"/>
  <c r="N18" i="10"/>
  <c r="N19" i="10"/>
  <c r="N20" i="10"/>
  <c r="N21" i="10"/>
  <c r="N22" i="10"/>
  <c r="N23" i="10"/>
  <c r="N24" i="10"/>
  <c r="N25" i="10"/>
  <c r="N26" i="10"/>
  <c r="R10" i="4"/>
  <c r="V7" i="3"/>
  <c r="R10" i="3"/>
  <c r="V8" i="6"/>
  <c r="V9" i="6"/>
  <c r="V10" i="6"/>
  <c r="V7" i="6"/>
  <c r="U7" i="6" a="1"/>
  <c r="U7" i="6" s="1"/>
  <c r="R10" i="6"/>
  <c r="N2" i="6"/>
  <c r="N3" i="6"/>
  <c r="N4" i="6"/>
  <c r="N5" i="6"/>
  <c r="N6" i="6"/>
  <c r="N7" i="6"/>
  <c r="N8" i="6"/>
  <c r="N9" i="6"/>
  <c r="N10" i="6"/>
  <c r="N11" i="6"/>
  <c r="N12" i="6"/>
  <c r="N13" i="6"/>
  <c r="N14" i="6"/>
  <c r="N15" i="6"/>
  <c r="N16" i="6"/>
  <c r="N17" i="6"/>
  <c r="N18" i="6"/>
  <c r="N19" i="6"/>
  <c r="N20" i="6"/>
  <c r="N21" i="6"/>
  <c r="N22" i="6"/>
  <c r="N23" i="6"/>
  <c r="N24" i="6"/>
  <c r="N25" i="6"/>
  <c r="N26" i="6"/>
  <c r="V8" i="5"/>
  <c r="V9" i="5"/>
  <c r="V10" i="5"/>
  <c r="V7" i="5"/>
  <c r="U7" i="5" a="1"/>
  <c r="U7" i="5" s="1"/>
  <c r="R10" i="5"/>
  <c r="N2" i="5"/>
  <c r="N3" i="5"/>
  <c r="N4" i="5"/>
  <c r="N5" i="5"/>
  <c r="N6" i="5"/>
  <c r="N7" i="5"/>
  <c r="N8" i="5"/>
  <c r="N9" i="5"/>
  <c r="N10" i="5"/>
  <c r="N11" i="5"/>
  <c r="N12" i="5"/>
  <c r="N13" i="5"/>
  <c r="N14" i="5"/>
  <c r="N15" i="5"/>
  <c r="N16" i="5"/>
  <c r="N17" i="5"/>
  <c r="N18" i="5"/>
  <c r="N19" i="5"/>
  <c r="N20" i="5"/>
  <c r="N21" i="5"/>
  <c r="N22" i="5"/>
  <c r="N23" i="5"/>
  <c r="N24" i="5"/>
  <c r="N25" i="5"/>
  <c r="N26" i="5"/>
  <c r="V8" i="4"/>
  <c r="V9" i="4"/>
  <c r="V10" i="4"/>
  <c r="V7" i="4"/>
  <c r="U7" i="4" a="1"/>
  <c r="U7" i="4" s="1"/>
  <c r="N2" i="4"/>
  <c r="N3" i="4"/>
  <c r="N4" i="4"/>
  <c r="N5" i="4"/>
  <c r="N6" i="4"/>
  <c r="N7" i="4"/>
  <c r="N8" i="4"/>
  <c r="N9" i="4"/>
  <c r="N10" i="4"/>
  <c r="N11" i="4"/>
  <c r="N12" i="4"/>
  <c r="N13" i="4"/>
  <c r="N14" i="4"/>
  <c r="N15" i="4"/>
  <c r="N16" i="4"/>
  <c r="N17" i="4"/>
  <c r="N18" i="4"/>
  <c r="N19" i="4"/>
  <c r="N20" i="4"/>
  <c r="N21" i="4"/>
  <c r="N22" i="4"/>
  <c r="N23" i="4"/>
  <c r="N24" i="4"/>
  <c r="N25" i="4"/>
  <c r="N26" i="4"/>
  <c r="V8" i="3"/>
  <c r="V9" i="3"/>
  <c r="V10" i="3"/>
  <c r="U7" i="3" a="1"/>
  <c r="U7" i="3" s="1"/>
  <c r="N2" i="3"/>
  <c r="N3" i="3"/>
  <c r="N4" i="3"/>
  <c r="N5" i="3"/>
  <c r="N6" i="3"/>
  <c r="N7" i="3"/>
  <c r="N8" i="3"/>
  <c r="N9" i="3"/>
  <c r="N10" i="3"/>
  <c r="N11" i="3"/>
  <c r="N12" i="3"/>
  <c r="N13" i="3"/>
  <c r="N14" i="3"/>
  <c r="N15" i="3"/>
  <c r="N16" i="3"/>
  <c r="N17" i="3"/>
  <c r="N18" i="3"/>
  <c r="N19" i="3"/>
  <c r="N20" i="3"/>
  <c r="N21" i="3"/>
  <c r="N22" i="3"/>
  <c r="N23" i="3"/>
  <c r="N24" i="3"/>
  <c r="N25" i="3"/>
  <c r="N26" i="3"/>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<sst xmlns="http://schemas.openxmlformats.org/spreadsheetml/2006/main" count="2898" uniqueCount="245">
  <si>
    <t>Date</t>
  </si>
  <si>
    <t>Category</t>
  </si>
  <si>
    <t>Item</t>
  </si>
  <si>
    <t>Amount</t>
  </si>
  <si>
    <t>Rent</t>
  </si>
  <si>
    <t>Monthly Rent</t>
  </si>
  <si>
    <t>Utilities</t>
  </si>
  <si>
    <t>Electric Bill</t>
  </si>
  <si>
    <t>Food</t>
  </si>
  <si>
    <t>Groceries (Week 1)</t>
  </si>
  <si>
    <t>Transport</t>
  </si>
  <si>
    <t>Bus Pass</t>
  </si>
  <si>
    <t>Lunch (Work)</t>
  </si>
  <si>
    <t>Personal</t>
  </si>
  <si>
    <t>Gym Membership</t>
  </si>
  <si>
    <t>Coffee</t>
  </si>
  <si>
    <t>Internet Bill</t>
  </si>
  <si>
    <t>Dinner Out</t>
  </si>
  <si>
    <t>Gas</t>
  </si>
  <si>
    <t>Groceries (Week 2)</t>
  </si>
  <si>
    <t>Water Bill</t>
  </si>
  <si>
    <t>Haircut</t>
  </si>
  <si>
    <t>Train Ticket</t>
  </si>
  <si>
    <t>Groceries (Week 3)</t>
  </si>
  <si>
    <t>OrderID</t>
  </si>
  <si>
    <t>OrderDate</t>
  </si>
  <si>
    <t>Region</t>
  </si>
  <si>
    <t>City</t>
  </si>
  <si>
    <t>CustomerName</t>
  </si>
  <si>
    <t>Product</t>
  </si>
  <si>
    <t>Units</t>
  </si>
  <si>
    <t>UnitPrice</t>
  </si>
  <si>
    <t>DiscountPct</t>
  </si>
  <si>
    <t>TaxRatePct</t>
  </si>
  <si>
    <t>Channel</t>
  </si>
  <si>
    <t>Status</t>
  </si>
  <si>
    <t>Delhi</t>
  </si>
  <si>
    <t>Laptop 14""</t>
  </si>
  <si>
    <t>Electronics</t>
  </si>
  <si>
    <t>Online</t>
  </si>
  <si>
    <t>Completed</t>
  </si>
  <si>
    <t>South</t>
  </si>
  <si>
    <t>Bengaluru</t>
  </si>
  <si>
    <t>Wireless Mouse</t>
  </si>
  <si>
    <t>Mumbai</t>
  </si>
  <si>
    <t>Office Chair</t>
  </si>
  <si>
    <t>Furniture</t>
  </si>
  <si>
    <t>Retail</t>
  </si>
  <si>
    <t>East</t>
  </si>
  <si>
    <t>Kolkata</t>
  </si>
  <si>
    <t>Desk Lamp</t>
  </si>
  <si>
    <t>Returned</t>
  </si>
  <si>
    <t>North</t>
  </si>
  <si>
    <t>Monitor 24""</t>
  </si>
  <si>
    <t>Chennai</t>
  </si>
  <si>
    <t>Notebook Pack</t>
  </si>
  <si>
    <t>Stationery</t>
  </si>
  <si>
    <t>Wholesale</t>
  </si>
  <si>
    <t>West</t>
  </si>
  <si>
    <t>Gaming Keyboard</t>
  </si>
  <si>
    <t>Bhubaneshwar</t>
  </si>
  <si>
    <t>Laptop 15.6""</t>
  </si>
  <si>
    <t>Cancelled</t>
  </si>
  <si>
    <t>Jaipur</t>
  </si>
  <si>
    <t>Desk</t>
  </si>
  <si>
    <t>Monitor 27""</t>
  </si>
  <si>
    <t>Pune</t>
  </si>
  <si>
    <t>Printer</t>
  </si>
  <si>
    <t>Filing Cabinet</t>
  </si>
  <si>
    <t>Laptop Bag</t>
  </si>
  <si>
    <t>Accessories</t>
  </si>
  <si>
    <t>Hyderabad</t>
  </si>
  <si>
    <t>Webcam</t>
  </si>
  <si>
    <t>Ahmedabad</t>
  </si>
  <si>
    <t>Patna</t>
  </si>
  <si>
    <t>rohit   kumar</t>
  </si>
  <si>
    <t>Chandigarh</t>
  </si>
  <si>
    <t>rajesh   Iyer</t>
  </si>
  <si>
    <t>Keyboard</t>
  </si>
  <si>
    <t>Ranchi</t>
  </si>
  <si>
    <t>Printer Paper</t>
  </si>
  <si>
    <t xml:space="preserve">  manoj   Gupta</t>
  </si>
  <si>
    <t>Headphones</t>
  </si>
  <si>
    <t>Anu  Menon</t>
  </si>
  <si>
    <t xml:space="preserve">  SUMIT   das</t>
  </si>
  <si>
    <t>deepak   Iyengar</t>
  </si>
  <si>
    <t xml:space="preserve">  tanya sharma</t>
  </si>
  <si>
    <t>surya  reddy</t>
  </si>
  <si>
    <t xml:space="preserve">  Sneha    Kulkarni</t>
  </si>
  <si>
    <t>ganesh   rao</t>
  </si>
  <si>
    <t xml:space="preserve">  RINA  shah</t>
  </si>
  <si>
    <t xml:space="preserve"> Sagar   sen</t>
  </si>
  <si>
    <t xml:space="preserve">    meena   VERMA</t>
  </si>
  <si>
    <t xml:space="preserve">   neha   kULKARNI</t>
  </si>
  <si>
    <t xml:space="preserve">  Amit  Roy</t>
  </si>
  <si>
    <t xml:space="preserve"> rAjat   Verma</t>
  </si>
  <si>
    <t>kartik   PateL</t>
  </si>
  <si>
    <t>pooja   gupta</t>
  </si>
  <si>
    <t xml:space="preserve"> priya  agarwal</t>
  </si>
  <si>
    <t xml:space="preserve">   Sandeep   kapoor</t>
  </si>
  <si>
    <t>AMIT   bose</t>
  </si>
  <si>
    <t xml:space="preserve">  RAHUL   sharma</t>
  </si>
  <si>
    <t xml:space="preserve"> Kavya   Nair</t>
  </si>
  <si>
    <t xml:space="preserve">   Vikas  patel</t>
  </si>
  <si>
    <t xml:space="preserve">   SONIA   Arora</t>
  </si>
  <si>
    <t>hello</t>
  </si>
  <si>
    <t>Rahul Mehta</t>
  </si>
  <si>
    <t>Anita Sharma</t>
  </si>
  <si>
    <t>Kiran Singh</t>
  </si>
  <si>
    <t>Suresh Kumar</t>
  </si>
  <si>
    <t>Meena Verma</t>
  </si>
  <si>
    <t>Deepa Iyer</t>
  </si>
  <si>
    <t>Rajat Sharma</t>
  </si>
  <si>
    <t>Priya Agarwal</t>
  </si>
  <si>
    <t>Manoj Gupta</t>
  </si>
  <si>
    <t>Suman Reddy</t>
  </si>
  <si>
    <t>Neha Kulkarni</t>
  </si>
  <si>
    <t>Amit Bose</t>
  </si>
  <si>
    <t>Kavya Nair</t>
  </si>
  <si>
    <t>Vikas Patel</t>
  </si>
  <si>
    <t>Rohit Kumar</t>
  </si>
  <si>
    <t>Sonia Arora</t>
  </si>
  <si>
    <t>Ganesh Rao</t>
  </si>
  <si>
    <t>Rina Shah</t>
  </si>
  <si>
    <t>Sagar Sen</t>
  </si>
  <si>
    <t>Rajesh Iyer</t>
  </si>
  <si>
    <t>Laptop 14 inch</t>
  </si>
  <si>
    <t>Monitor 24 inch</t>
  </si>
  <si>
    <t>Laptop 15.6 inch</t>
  </si>
  <si>
    <t>Monitor 27 inch</t>
  </si>
  <si>
    <t>Total Revenue</t>
  </si>
  <si>
    <t>Net revenue</t>
  </si>
  <si>
    <t>Sales</t>
  </si>
  <si>
    <t>Rajat Kumar</t>
  </si>
  <si>
    <t>Anu Menon</t>
  </si>
  <si>
    <t>Kartik Shah</t>
  </si>
  <si>
    <t>Sumit Das</t>
  </si>
  <si>
    <t>Pooja Verma</t>
  </si>
  <si>
    <t>Deepak Iyengar</t>
  </si>
  <si>
    <t>Tanya Sharma</t>
  </si>
  <si>
    <t>Priya Joshi</t>
  </si>
  <si>
    <t>Sanjay Gupta</t>
  </si>
  <si>
    <t>Surya Reddy</t>
  </si>
  <si>
    <t>Sneha Kulkarni</t>
  </si>
  <si>
    <t>Amit Roy</t>
  </si>
  <si>
    <t>Kavya Rao</t>
  </si>
  <si>
    <t>Vishal Patel</t>
  </si>
  <si>
    <t>Sonia Kapoor</t>
  </si>
  <si>
    <t>Rahul Sharma</t>
  </si>
  <si>
    <t>Anita Menon</t>
  </si>
  <si>
    <t>Karan Rao</t>
  </si>
  <si>
    <t>Sumit Roy</t>
  </si>
  <si>
    <t>Pooja Sharma</t>
  </si>
  <si>
    <t>Sandeep Gupta</t>
  </si>
  <si>
    <t>Rajat Verma</t>
  </si>
  <si>
    <t>Kartik Patel</t>
  </si>
  <si>
    <t>Pooja Gupta</t>
  </si>
  <si>
    <t>Sandeep Kapoor</t>
  </si>
  <si>
    <t>Year</t>
  </si>
  <si>
    <t>Month</t>
  </si>
  <si>
    <t>Country</t>
  </si>
  <si>
    <t>SubCategory</t>
  </si>
  <si>
    <t>Units Sold</t>
  </si>
  <si>
    <t>Cost</t>
  </si>
  <si>
    <t>Profit</t>
  </si>
  <si>
    <t>Avg Rating</t>
  </si>
  <si>
    <t>Marketing Spend</t>
  </si>
  <si>
    <t>Website Visitors</t>
  </si>
  <si>
    <t>Conversion Rate</t>
  </si>
  <si>
    <t>Jan</t>
  </si>
  <si>
    <t>USA</t>
  </si>
  <si>
    <t>North America</t>
  </si>
  <si>
    <t>Smartphones</t>
  </si>
  <si>
    <t>Feb</t>
  </si>
  <si>
    <t>Laptops</t>
  </si>
  <si>
    <t>Mar</t>
  </si>
  <si>
    <t>Fashion</t>
  </si>
  <si>
    <t>Menswear</t>
  </si>
  <si>
    <t>Apr</t>
  </si>
  <si>
    <t>Canada</t>
  </si>
  <si>
    <t>Footwear</t>
  </si>
  <si>
    <t>May</t>
  </si>
  <si>
    <t>Home Appliances</t>
  </si>
  <si>
    <t>Refrigerators</t>
  </si>
  <si>
    <t>Jun</t>
  </si>
  <si>
    <t>Mexico</t>
  </si>
  <si>
    <t>Tablets</t>
  </si>
  <si>
    <t>Jul</t>
  </si>
  <si>
    <t>Womenswear</t>
  </si>
  <si>
    <t>Aug</t>
  </si>
  <si>
    <t>Office Chairs</t>
  </si>
  <si>
    <t>Sep</t>
  </si>
  <si>
    <t>Beds</t>
  </si>
  <si>
    <t>Oct</t>
  </si>
  <si>
    <t>Washing Machines</t>
  </si>
  <si>
    <t>Nov</t>
  </si>
  <si>
    <t>Dec</t>
  </si>
  <si>
    <t>India</t>
  </si>
  <si>
    <t>Asia</t>
  </si>
  <si>
    <t>Air Conditioners</t>
  </si>
  <si>
    <t>China</t>
  </si>
  <si>
    <t>Japan</t>
  </si>
  <si>
    <t>Germany</t>
  </si>
  <si>
    <t>Europe</t>
  </si>
  <si>
    <t>UK</t>
  </si>
  <si>
    <t>France</t>
  </si>
  <si>
    <t>Brazil</t>
  </si>
  <si>
    <t>South America</t>
  </si>
  <si>
    <t>Argentina</t>
  </si>
  <si>
    <t>Chile</t>
  </si>
  <si>
    <t>Australia</t>
  </si>
  <si>
    <t>Oceania</t>
  </si>
  <si>
    <t>New Zealand</t>
  </si>
  <si>
    <t>South Africa</t>
  </si>
  <si>
    <t>Africa</t>
  </si>
  <si>
    <t>Nigeria</t>
  </si>
  <si>
    <t>Kenya</t>
  </si>
  <si>
    <t>2022-01</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</si>
  <si>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</si>
  <si>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</si>
  <si>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</si>
  <si>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</si>
  <si>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</si>
  <si>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</si>
  <si>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</si>
  <si>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</si>
  <si>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</si>
  <si>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</si>
  <si>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</si>
  <si>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</si>
  <si>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</si>
  <si>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</si>
  <si>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</si>
  <si>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</si>
  <si>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</si>
  <si>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</si>
  <si>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</si>
  <si>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Sales value as per Date</t>
  </si>
  <si>
    <t>Regions</t>
  </si>
  <si>
    <t>Row Labels</t>
  </si>
  <si>
    <t>Column Labels</t>
  </si>
  <si>
    <t>Sum of Sales</t>
  </si>
  <si>
    <t>Grand Total</t>
  </si>
  <si>
    <t>Sum of Cost</t>
  </si>
  <si>
    <t>Sum of Units Sold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</si>
</sst>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Trebuchet MS"/>
      <family val="2"/>
      <scheme val="minor"/>
    </font>
    <font>
      <b/>
      <sz val="11"/>
      <color theme="1"/>
      <name val="Trebuchet MS"/>
      <family val="2"/>
      <scheme val="minor"/>
    </font>
    <font>
      <i/>
      <sz val="11"/>
      <color theme="1"/>
      <name val="Trebuchet MS"/>
      <family val="2"/>
      <scheme val="minor"/>
    </font>
    <font>
      <b/>
      <u/>
      <sz val="11"/>
      <color theme="1"/>
      <name val="Trebuchet MS"/>
      <family val="2"/>
      <scheme val="minor"/>
    </font>
    <font>
      <b/>
      <i/>
      <u/>
      <sz val="11"/>
      <color theme="3"/>
      <name val="Trebuchet MS"/>
      <family val="2"/>
      <scheme val="minor"/>
    </font>
  </fonts>
  <fills count="8">
    <fill>
      <patternFill patternType="none"/>
    </fill>
    <fill>
      <patternFill patternType="gray125"/>
    </fill>
    <fill>
      <patternFill patternType="solid">
        <fgColor rgb="FFFFFF00"/>
        <bgColor indexed="64"/>
      </patternFill>
    </fill>
    <fill>
      <patternFill patternType="solid">
        <fgColor theme="5" tint="0.79995117038483843"/>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FF0000"/>
        <bgColor indexed="64"/>
      </patternFill>
    </fill>
    <fill>
      <patternFill patternType="solid">
        <fgColor theme="5" tint="0.59999389629810485"/>
        <bgColor indexed="64"/>
      </patternFill>
    </fill>
  </fills>
  <borders count="1">
    <border>
      <left/>
      <right/>
      <top/>
      <bottom/>
      <diagonal/>
    </border>
  </borders>
  <cellStyleXfs count="1">
    <xf numFmtId="0" fontId="0" fillId="0" borderId="0"/>
  </cellStyleXfs>
  <cellXfs count="24">
    <xf numFmtId="0" fontId="0" fillId="0" borderId="0" xfId="0"/>
    <xf numFmtId="0" fontId="0" fillId="3" borderId="0" xfId="0" applyFill="1"/>
    <xf numFmtId="14" fontId="0" fillId="0" borderId="0" xfId="0" applyNumberFormat="1"/>
    <xf numFmtId="15" fontId="0" fillId="0" borderId="0" xfId="0" applyNumberFormat="1"/>
    <xf numFmtId="14" fontId="0" fillId="4" borderId="0" xfId="0" applyNumberFormat="1" applyFill="1"/>
    <xf numFmtId="14" fontId="1" fillId="5" borderId="0" xfId="0" applyNumberFormat="1" applyFont="1" applyFill="1"/>
    <xf numFmtId="0" fontId="1" fillId="5" borderId="0" xfId="0" applyFont="1" applyFill="1"/>
    <xf numFmtId="14" fontId="0" fillId="3" borderId="0" xfId="0" applyNumberFormat="1" applyFill="1"/>
    <xf numFmtId="14" fontId="2" fillId="3" borderId="0" xfId="0" applyNumberFormat="1" applyFont="1" applyFill="1"/>
    <xf numFmtId="0" fontId="2" fillId="3" borderId="0" xfId="0" applyFont="1" applyFill="1"/>
    <xf numFmtId="0" fontId="0" fillId="2" borderId="0" xfId="0" applyFill="1"/>
    <xf numFmtId="14" fontId="1" fillId="2" borderId="0" xfId="0" applyNumberFormat="1" applyFont="1" applyFill="1"/>
    <xf numFmtId="0" fontId="1" fillId="2" borderId="0" xfId="0" applyFont="1" applyFill="1"/>
    <xf numFmtId="14" fontId="3" fillId="2" borderId="0" xfId="0" applyNumberFormat="1" applyFont="1" applyFill="1"/>
    <xf numFmtId="0" fontId="3" fillId="2" borderId="0" xfId="0" applyFont="1" applyFill="1"/>
    <xf numFmtId="0" fontId="0" fillId="6" borderId="0" xfId="0" applyFill="1"/>
    <xf numFmtId="14" fontId="1" fillId="4" borderId="0" xfId="0" applyNumberFormat="1" applyFont="1" applyFill="1"/>
    <xf numFmtId="0" fontId="1" fillId="0" borderId="0" xfId="0" applyFont="1"/>
    <xf numFmtId="14" fontId="1" fillId="3" borderId="0" xfId="0" applyNumberFormat="1" applyFont="1" applyFill="1"/>
    <xf numFmtId="22" fontId="0" fillId="0" borderId="0" xfId="0" applyNumberFormat="1"/>
    <xf numFmtId="0" fontId="4" fillId="7" borderId="0" xfId="0" applyFont="1"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16">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04AF-4B4F-86A1-FF6E51C51459}"/>
            </c:ext>
          </c:extLst>
        </c:ser>
        <c:dLbls>
          <c:showLegendKey val="0"/>
          <c:showVal val="0"/>
          <c:showCatName val="0"/>
          <c:showSerName val="0"/>
          <c:showPercent val="0"/>
          <c:showBubbleSize val="0"/>
        </c:dLbls>
        <c:gapWidth val="219"/>
        <c:overlap val="-27"/>
        <c:axId val="2111171087"/>
        <c:axId val="2111172527"/>
      </c:barChart>
      <c:catAx>
        <c:axId val="2111171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72527"/>
        <c:crosses val="autoZero"/>
        <c:auto val="1"/>
        <c:lblAlgn val="ctr"/>
        <c:lblOffset val="100"/>
        <c:noMultiLvlLbl val="0"/>
      </c:catAx>
      <c:valAx>
        <c:axId val="211117252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7108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A7F4-49A8-A235-2BFC7798D1D1}"/>
            </c:ext>
          </c:extLst>
        </c:ser>
        <c:dLbls>
          <c:showLegendKey val="0"/>
          <c:showVal val="0"/>
          <c:showCatName val="0"/>
          <c:showSerName val="0"/>
          <c:showPercent val="0"/>
          <c:showBubbleSize val="0"/>
        </c:dLbls>
        <c:gapWidth val="219"/>
        <c:overlap val="-27"/>
        <c:axId val="2111175887"/>
        <c:axId val="2111165807"/>
      </c:barChart>
      <c:catAx>
        <c:axId val="2111175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65807"/>
        <c:crosses val="autoZero"/>
        <c:auto val="1"/>
        <c:lblAlgn val="ctr"/>
        <c:lblOffset val="100"/>
        <c:noMultiLvlLbl val="0"/>
      </c:catAx>
      <c:valAx>
        <c:axId val="2111165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75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5DDC-4ACE-A056-6B11B3F3EA0F}"/>
            </c:ext>
          </c:extLst>
        </c:ser>
        <c:dLbls>
          <c:showLegendKey val="0"/>
          <c:showVal val="0"/>
          <c:showCatName val="0"/>
          <c:showSerName val="0"/>
          <c:showPercent val="0"/>
          <c:showBubbleSize val="0"/>
        </c:dLbls>
        <c:gapWidth val="219"/>
        <c:overlap val="-27"/>
        <c:axId val="2111185967"/>
        <c:axId val="2111187407"/>
      </c:barChart>
      <c:catAx>
        <c:axId val="2111185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87407"/>
        <c:crosses val="autoZero"/>
        <c:auto val="1"/>
        <c:lblAlgn val="ctr"/>
        <c:lblOffset val="100"/>
        <c:noMultiLvlLbl val="0"/>
      </c:catAx>
      <c:valAx>
        <c:axId val="21111874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859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30EC-4277-8A8D-FE7689AE76F6}"/>
            </c:ext>
          </c:extLst>
        </c:ser>
        <c:dLbls>
          <c:showLegendKey val="0"/>
          <c:showVal val="0"/>
          <c:showCatName val="0"/>
          <c:showSerName val="0"/>
          <c:showPercent val="0"/>
          <c:showBubbleSize val="0"/>
        </c:dLbls>
        <c:gapWidth val="219"/>
        <c:overlap val="-27"/>
        <c:axId val="2111185487"/>
        <c:axId val="2111186447"/>
      </c:barChart>
      <c:catAx>
        <c:axId val="21111854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86447"/>
        <c:crosses val="autoZero"/>
        <c:auto val="1"/>
        <c:lblAlgn val="ctr"/>
        <c:lblOffset val="100"/>
        <c:noMultiLvlLbl val="0"/>
      </c:catAx>
      <c:valAx>
        <c:axId val="2111186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85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182B-4A27-9D0C-2068019FA70C}"/>
            </c:ext>
          </c:extLst>
        </c:ser>
        <c:dLbls>
          <c:showLegendKey val="0"/>
          <c:showVal val="0"/>
          <c:showCatName val="0"/>
          <c:showSerName val="0"/>
          <c:showPercent val="0"/>
          <c:showBubbleSize val="0"/>
        </c:dLbls>
        <c:gapWidth val="219"/>
        <c:overlap val="-27"/>
        <c:axId val="2111150927"/>
        <c:axId val="2111153807"/>
      </c:barChart>
      <c:catAx>
        <c:axId val="21111509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53807"/>
        <c:crosses val="autoZero"/>
        <c:auto val="1"/>
        <c:lblAlgn val="ctr"/>
        <c:lblOffset val="100"/>
        <c:noMultiLvlLbl val="0"/>
      </c:catAx>
      <c:valAx>
        <c:axId val="21111538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11509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54B2-4248-A872-6F03F2D6C7F4}"/>
            </c:ext>
          </c:extLst>
        </c:ser>
        <c:dLbls>
          <c:showLegendKey val="0"/>
          <c:showVal val="0"/>
          <c:showCatName val="0"/>
          <c:showSerName val="0"/>
          <c:showPercent val="0"/>
          <c:showBubbleSize val="0"/>
        </c:dLbls>
        <c:gapWidth val="219"/>
        <c:overlap val="-27"/>
        <c:axId val="659439551"/>
        <c:axId val="659430431"/>
      </c:barChart>
      <c:catAx>
        <c:axId val="65943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430431"/>
        <c:crosses val="autoZero"/>
        <c:auto val="1"/>
        <c:lblAlgn val="ctr"/>
        <c:lblOffset val="100"/>
        <c:noMultiLvlLbl val="0"/>
      </c:catAx>
      <c:valAx>
        <c:axId val="659430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94395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North!$V$6</c:f>
              <c:strCache>
                <c:ptCount val="1"/>
                <c:pt idx="0">
                  <c:v>Sales</c:v>
                </c:pt>
              </c:strCache>
            </c:strRef>
          </c:tx>
          <c:spPr>
            <a:solidFill>
              <a:schemeClr val="accent1"/>
            </a:solidFill>
            <a:ln>
              <a:noFill/>
            </a:ln>
            <a:effectLst/>
          </c:spPr>
          <c:invertIfNegative val="0"/>
          <c:cat>
            <c:strRef>
              <c:f>North!$U$7:$U$10</c:f>
              <c:strCache>
                <c:ptCount val="4"/>
                <c:pt idx="0">
                  <c:v>North</c:v>
                </c:pt>
                <c:pt idx="1">
                  <c:v>South</c:v>
                </c:pt>
                <c:pt idx="2">
                  <c:v>West</c:v>
                </c:pt>
                <c:pt idx="3">
                  <c:v>East</c:v>
                </c:pt>
              </c:strCache>
            </c:strRef>
          </c:cat>
          <c:val>
            <c:numRef>
              <c:f>North!$V$7:$V$10</c:f>
              <c:numCache>
                <c:formatCode>General</c:formatCode>
                <c:ptCount val="4"/>
                <c:pt idx="0">
                  <c:v>184807.69999999998</c:v>
                </c:pt>
                <c:pt idx="1">
                  <c:v>239129.36</c:v>
                </c:pt>
                <c:pt idx="2">
                  <c:v>74498</c:v>
                </c:pt>
                <c:pt idx="3">
                  <c:v>196375.59999999998</c:v>
                </c:pt>
              </c:numCache>
            </c:numRef>
          </c:val>
          <c:extLst>
            <c:ext xmlns:c16="http://schemas.microsoft.com/office/drawing/2014/chart" uri="{C3380CC4-5D6E-409C-BE32-E72D297353CC}">
              <c16:uniqueId val="{00000000-C4BD-42CE-92DB-7BEE0759E1CE}"/>
            </c:ext>
          </c:extLst>
        </c:ser>
        <c:dLbls>
          <c:showLegendKey val="0"/>
          <c:showVal val="0"/>
          <c:showCatName val="0"/>
          <c:showSerName val="0"/>
          <c:showPercent val="0"/>
          <c:showBubbleSize val="0"/>
        </c:dLbls>
        <c:gapWidth val="219"/>
        <c:overlap val="-27"/>
        <c:axId val="1013470048"/>
        <c:axId val="1013469088"/>
      </c:barChart>
      <c:catAx>
        <c:axId val="1013470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469088"/>
        <c:crosses val="autoZero"/>
        <c:auto val="1"/>
        <c:lblAlgn val="ctr"/>
        <c:lblOffset val="100"/>
        <c:noMultiLvlLbl val="0"/>
      </c:catAx>
      <c:valAx>
        <c:axId val="1013469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3470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'Data Visualization basics'!$B$2</c:f>
              <c:strCache>
                <c:ptCount val="1"/>
                <c:pt idx="0">
                  <c:v>Sales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'Data Visualization basics'!$A$3:$A$22</c:f>
              <c:strCache>
                <c:ptCount val="20"/>
                <c:pt idx="0">
                  <c:v>2022-01</c:v>
                </c:pt>
                <c:pt idx="1">
                  <c:v>2022-02</c:v>
                </c:pt>
                <c:pt idx="2">
                  <c:v>2022-03</c:v>
                </c:pt>
                <c:pt idx="3">
                  <c:v>2022-04</c:v>
                </c:pt>
                <c:pt idx="4">
                  <c:v>2022-05</c:v>
                </c:pt>
                <c:pt idx="5">
                  <c:v>2022-06</c:v>
                </c:pt>
                <c:pt idx="6">
                  <c:v>2022-07</c:v>
                </c:pt>
                <c:pt idx="7">
                  <c:v>2022-08</c:v>
                </c:pt>
                <c:pt idx="8">
                  <c:v>2022-09</c:v>
                </c:pt>
                <c:pt idx="9">
                  <c:v>2022-10</c:v>
                </c:pt>
                <c:pt idx="10">
                  <c:v>2022-11</c:v>
                </c:pt>
                <c:pt idx="11">
                  <c:v>2022-12</c:v>
                </c:pt>
                <c:pt idx="12">
                  <c:v>2023-01</c:v>
                </c:pt>
                <c:pt idx="13">
                  <c:v>2023-02</c:v>
                </c:pt>
                <c:pt idx="14">
                  <c:v>2023-03</c:v>
                </c:pt>
                <c:pt idx="15">
                  <c:v>2023-04</c:v>
                </c:pt>
                <c:pt idx="16">
                  <c:v>2023-05</c:v>
                </c:pt>
                <c:pt idx="17">
                  <c:v>2023-06</c:v>
                </c:pt>
                <c:pt idx="18">
                  <c:v>2023-07</c:v>
                </c:pt>
                <c:pt idx="19">
                  <c:v>2023-08</c:v>
                </c:pt>
              </c:strCache>
            </c:strRef>
          </c:cat>
          <c:val>
            <c:numRef>
              <c:f>'Data Visualization basics'!$B$3:$B$22</c:f>
              <c:numCache>
                <c:formatCode>General</c:formatCode>
                <c:ptCount val="20"/>
                <c:pt idx="0">
                  <c:v>4200</c:v>
                </c:pt>
                <c:pt idx="1">
                  <c:v>4450</c:v>
                </c:pt>
                <c:pt idx="2">
                  <c:v>4680</c:v>
                </c:pt>
                <c:pt idx="3">
                  <c:v>4550</c:v>
                </c:pt>
                <c:pt idx="4">
                  <c:v>4800</c:v>
                </c:pt>
                <c:pt idx="5">
                  <c:v>5100</c:v>
                </c:pt>
                <c:pt idx="6">
                  <c:v>4950</c:v>
                </c:pt>
                <c:pt idx="7">
                  <c:v>5200</c:v>
                </c:pt>
                <c:pt idx="8">
                  <c:v>5050</c:v>
                </c:pt>
                <c:pt idx="9">
                  <c:v>5300</c:v>
                </c:pt>
                <c:pt idx="10">
                  <c:v>5450</c:v>
                </c:pt>
                <c:pt idx="11">
                  <c:v>5600</c:v>
                </c:pt>
                <c:pt idx="12">
                  <c:v>4700</c:v>
                </c:pt>
                <c:pt idx="13">
                  <c:v>4900</c:v>
                </c:pt>
                <c:pt idx="14">
                  <c:v>5150</c:v>
                </c:pt>
                <c:pt idx="15">
                  <c:v>5000</c:v>
                </c:pt>
                <c:pt idx="16">
                  <c:v>5250</c:v>
                </c:pt>
                <c:pt idx="17">
                  <c:v>5500</c:v>
                </c:pt>
                <c:pt idx="18">
                  <c:v>5400</c:v>
                </c:pt>
                <c:pt idx="19">
                  <c:v>5650</c:v>
                </c:pt>
              </c:numCache>
            </c:numRef>
          </c:val>
          <c:extLst>
            <c:ext xmlns:c16="http://schemas.microsoft.com/office/drawing/2014/chart" uri="{C3380CC4-5D6E-409C-BE32-E72D297353CC}">
              <c16:uniqueId val="{00000000-1E73-4DE9-80BF-406647312EA6}"/>
            </c:ext>
          </c:extLst>
        </c:ser>
        <c:dLbls>
          <c:showLegendKey val="0"/>
          <c:showVal val="0"/>
          <c:showCatName val="0"/>
          <c:showSerName val="0"/>
          <c:showPercent val="0"/>
          <c:showBubbleSize val="0"/>
        </c:dLbls>
        <c:gapWidth val="150"/>
        <c:axId val="951481936"/>
        <c:axId val="951466096"/>
      </c:barChart>
      <c:catAx>
        <c:axId val="95148193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crossAx val="951466096"/>
        <c:crosses val="autoZero"/>
        <c:auto val="1"/>
        <c:lblAlgn val="ctr"/>
        <c:lblOffset val="100"/>
        <c:noMultiLvlLbl val="0"/>
      </c:catAx>
      <c:valAx>
        <c:axId val="951466096"/>
        <c:scaling>
          <c:orientation val="minMax"/>
          <c:max val="900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strRef>
              <c:f>'Data Visualization basics'!$B$2</c:f>
              <c:strCache>
                <c:ptCount val="1"/>
                <c:pt idx="0">
                  <c:v>Sales</c:v>
                </c:pt>
              </c:strCache>
            </c:strRef>
          </c:tx>
          <c:overlay val="0"/>
          <c:spPr>
            <a:noFill/>
            <a:ln>
              <a:noFill/>
            </a:ln>
            <a:effectLst/>
          </c:spPr>
          <c:txPr>
            <a:bodyPr rot="-540000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crossAx val="95148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cap="none" spc="0" baseline="0">
              <a:ln w="0"/>
              <a:solidFill>
                <a:schemeClr val="accent1"/>
              </a:solidFill>
              <a:effectLst>
                <a:outerShdw blurRad="38100" dist="25400" dir="5400000" algn="ctr" rotWithShape="0">
                  <a:srgbClr val="6E747A">
                    <a:alpha val="43000"/>
                  </a:srgbClr>
                </a:outerShdw>
              </a:effectLst>
              <a:latin typeface="+mn-lt"/>
              <a:ea typeface="+mn-ea"/>
              <a:cs typeface="+mn-cs"/>
            </a:defRPr>
          </a:pPr>
          <a:endParaRPr lang="en-US"/>
        </a:p>
      </c:txPr>
    </c:legend>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a:glow rad="63500">
        <a:schemeClr val="accent3">
          <a:satMod val="175000"/>
          <a:alpha val="40000"/>
        </a:schemeClr>
      </a:glow>
    </a:effectLst>
  </c:spPr>
  <c:txPr>
    <a:bodyPr/>
    <a:lstStyle/>
    <a:p>
      <a:pPr>
        <a:defRPr b="0" cap="none" spc="0">
          <a:ln w="0"/>
          <a:solidFill>
            <a:schemeClr val="accent1"/>
          </a:solidFill>
          <a:effectLst>
            <a:outerShdw blurRad="38100" dist="25400" dir="5400000" algn="ctr" rotWithShape="0">
              <a:srgbClr val="6E747A">
                <a:alpha val="43000"/>
              </a:srgbClr>
            </a:outerShdw>
          </a:effectLs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'Data Visualization'!$Q$3</c:f>
              <c:strCache>
                <c:ptCount val="1"/>
                <c:pt idx="0">
                  <c:v>Sales</c:v>
                </c:pt>
              </c:strCache>
            </c:strRef>
          </c:tx>
          <c:spPr>
            <a:solidFill>
              <a:schemeClr val="accent1"/>
            </a:solidFill>
            <a:ln>
              <a:noFill/>
            </a:ln>
            <a:effectLst/>
          </c:spPr>
          <c:invertIfNegative val="0"/>
          <c:cat>
            <c:strRef>
              <c:f>'Data Visualization'!$P$4:$P$9</c:f>
              <c:strCache>
                <c:ptCount val="6"/>
                <c:pt idx="0">
                  <c:v>North America</c:v>
                </c:pt>
                <c:pt idx="1">
                  <c:v>Asia</c:v>
                </c:pt>
                <c:pt idx="2">
                  <c:v>Europe</c:v>
                </c:pt>
                <c:pt idx="3">
                  <c:v>South America</c:v>
                </c:pt>
                <c:pt idx="4">
                  <c:v>Oceania</c:v>
                </c:pt>
                <c:pt idx="5">
                  <c:v>Africa</c:v>
                </c:pt>
              </c:strCache>
            </c:strRef>
          </c:cat>
          <c:val>
            <c:numRef>
              <c:f>'Data Visualization'!$Q$4:$Q$9</c:f>
              <c:numCache>
                <c:formatCode>General</c:formatCode>
                <c:ptCount val="6"/>
                <c:pt idx="0">
                  <c:v>3526500</c:v>
                </c:pt>
                <c:pt idx="1">
                  <c:v>7653000</c:v>
                </c:pt>
                <c:pt idx="2">
                  <c:v>5073000</c:v>
                </c:pt>
                <c:pt idx="3">
                  <c:v>4744000</c:v>
                </c:pt>
                <c:pt idx="4">
                  <c:v>3532000</c:v>
                </c:pt>
                <c:pt idx="5">
                  <c:v>2765000</c:v>
                </c:pt>
              </c:numCache>
            </c:numRef>
          </c:val>
          <c:extLst>
            <c:ext xmlns:c16="http://schemas.microsoft.com/office/drawing/2014/chart" uri="{C3380CC4-5D6E-409C-BE32-E72D297353CC}">
              <c16:uniqueId val="{00000000-EC10-4104-B6A1-FAA44C335ACA}"/>
            </c:ext>
          </c:extLst>
        </c:ser>
        <c:dLbls>
          <c:showLegendKey val="0"/>
          <c:showVal val="0"/>
          <c:showCatName val="0"/>
          <c:showSerName val="0"/>
          <c:showPercent val="0"/>
          <c:showBubbleSize val="0"/>
        </c:dLbls>
        <c:gapWidth val="219"/>
        <c:overlap val="-27"/>
        <c:axId val="1088876064"/>
        <c:axId val="1088874144"/>
      </c:barChart>
      <c:catAx>
        <c:axId val="108887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874144"/>
        <c:crosses val="autoZero"/>
        <c:auto val="1"/>
        <c:lblAlgn val="ctr"/>
        <c:lblOffset val="100"/>
        <c:noMultiLvlLbl val="0"/>
      </c:catAx>
      <c:valAx>
        <c:axId val="1088874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876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view3D>
      <c:rotX val="50"/>
      <c:rotY val="0"/>
      <c:depthPercent val="10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'Data Visualization'!$Q$3</c:f>
              <c:strCache>
                <c:ptCount val="1"/>
                <c:pt idx="0">
                  <c:v>Sales</c:v>
                </c:pt>
              </c:strCache>
            </c:strRef>
          </c:tx>
          <c:dPt>
            <c:idx val="0"/>
            <c:bubble3D val="0"/>
            <c:spPr>
              <a:solidFill>
                <a:schemeClr val="accent1"/>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1-5BEA-481A-AE9F-66BDD8A14039}"/>
              </c:ext>
            </c:extLst>
          </c:dPt>
          <c:dPt>
            <c:idx val="1"/>
            <c:bubble3D val="0"/>
            <c:spPr>
              <a:solidFill>
                <a:schemeClr val="accent2"/>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3-5BEA-481A-AE9F-66BDD8A14039}"/>
              </c:ext>
            </c:extLst>
          </c:dPt>
          <c:dPt>
            <c:idx val="2"/>
            <c:bubble3D val="0"/>
            <c:spPr>
              <a:solidFill>
                <a:schemeClr val="accent3"/>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5-5BEA-481A-AE9F-66BDD8A14039}"/>
              </c:ext>
            </c:extLst>
          </c:dPt>
          <c:dPt>
            <c:idx val="3"/>
            <c:bubble3D val="0"/>
            <c:spPr>
              <a:solidFill>
                <a:schemeClr val="accent4"/>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7-5BEA-481A-AE9F-66BDD8A14039}"/>
              </c:ext>
            </c:extLst>
          </c:dPt>
          <c:dPt>
            <c:idx val="4"/>
            <c:bubble3D val="0"/>
            <c:spPr>
              <a:solidFill>
                <a:schemeClr val="accent5"/>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9-5BEA-481A-AE9F-66BDD8A14039}"/>
              </c:ext>
            </c:extLst>
          </c:dPt>
          <c:dPt>
            <c:idx val="5"/>
            <c:bubble3D val="0"/>
            <c:spPr>
              <a:solidFill>
                <a:schemeClr val="accent6"/>
              </a:solidFill>
              <a:ln>
                <a:noFill/>
              </a:ln>
              <a:effectLst>
                <a:outerShdw blurRad="88900" sx="102000" sy="102000" algn="ctr" rotWithShape="0">
                  <a:prstClr val="black">
                    <a:alpha val="20000"/>
                  </a:prstClr>
                </a:outerShdw>
              </a:effectLst>
              <a:scene3d>
                <a:camera prst="orthographicFront"/>
                <a:lightRig rig="threePt" dir="t"/>
              </a:scene3d>
              <a:sp3d prstMaterial="matte"/>
            </c:spPr>
            <c:extLst>
              <c:ext xmlns:c16="http://schemas.microsoft.com/office/drawing/2014/chart" uri="{C3380CC4-5D6E-409C-BE32-E72D297353CC}">
                <c16:uniqueId val="{0000000B-5BEA-481A-AE9F-66BDD8A1403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'Data Visualization'!$P$4:$P$9</c:f>
              <c:strCache>
                <c:ptCount val="6"/>
                <c:pt idx="0">
                  <c:v>North America</c:v>
                </c:pt>
                <c:pt idx="1">
                  <c:v>Asia</c:v>
                </c:pt>
                <c:pt idx="2">
                  <c:v>Europe</c:v>
                </c:pt>
                <c:pt idx="3">
                  <c:v>South America</c:v>
                </c:pt>
                <c:pt idx="4">
                  <c:v>Oceania</c:v>
                </c:pt>
                <c:pt idx="5">
                  <c:v>Africa</c:v>
                </c:pt>
              </c:strCache>
            </c:strRef>
          </c:cat>
          <c:val>
            <c:numRef>
              <c:f>'Data Visualization'!$Q$4:$Q$9</c:f>
              <c:numCache>
                <c:formatCode>General</c:formatCode>
                <c:ptCount val="6"/>
                <c:pt idx="0">
                  <c:v>3526500</c:v>
                </c:pt>
                <c:pt idx="1">
                  <c:v>7653000</c:v>
                </c:pt>
                <c:pt idx="2">
                  <c:v>5073000</c:v>
                </c:pt>
                <c:pt idx="3">
                  <c:v>4744000</c:v>
                </c:pt>
                <c:pt idx="4">
                  <c:v>3532000</c:v>
                </c:pt>
                <c:pt idx="5">
                  <c:v>2765000</c:v>
                </c:pt>
              </c:numCache>
            </c:numRef>
          </c:val>
          <c:extLst>
            <c:ext xmlns:c16="http://schemas.microsoft.com/office/drawing/2014/chart" uri="{C3380CC4-5D6E-409C-BE32-E72D297353CC}">
              <c16:uniqueId val="{00000000-4BB5-443E-A990-15F2AF9A469B}"/>
            </c:ext>
          </c:extLst>
        </c:ser>
        <c:dLbls>
          <c:dLblPos val="inEnd"/>
          <c:showLegendKey val="0"/>
          <c:showVal val="0"/>
          <c:showCatName val="1"/>
          <c:showSerName val="0"/>
          <c:showPercent val="0"/>
          <c:showBubbleSize val="0"/>
          <c:showLeaderLines val="1"/>
        </c:dLbls>
      </c:pie3DChart>
      <c:spPr>
        <a:noFill/>
        <a:ln>
          <a:noFill/>
        </a:ln>
        <a:effectLst/>
      </c:spPr>
    </c:plotArea>
    <c:legend>
      <c:legendPos val="b"/>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Sheet1!$B$14</c:f>
              <c:strCache>
                <c:ptCount val="1"/>
                <c:pt idx="0">
                  <c:v>Total</c:v>
                </c:pt>
              </c:strCache>
            </c:strRef>
          </c:tx>
          <c:spPr>
            <a:solidFill>
              <a:schemeClr val="accent1"/>
            </a:solidFill>
            <a:ln>
              <a:noFill/>
            </a:ln>
            <a:effectLst/>
          </c:spPr>
          <c:invertIfNegative val="0"/>
          <c:cat>
            <c:strRef>
              <c:f>Sheet1!$A$15:$A$21</c:f>
              <c:strCache>
                <c:ptCount val="6"/>
                <c:pt idx="0">
                  <c:v>Africa</c:v>
                </c:pt>
                <c:pt idx="1">
                  <c:v>Asia</c:v>
                </c:pt>
                <c:pt idx="2">
                  <c:v>Europe</c:v>
                </c:pt>
                <c:pt idx="3">
                  <c:v>North America</c:v>
                </c:pt>
                <c:pt idx="4">
                  <c:v>Oceania</c:v>
                </c:pt>
                <c:pt idx="5">
                  <c:v>South America</c:v>
                </c:pt>
              </c:strCache>
            </c:strRef>
          </c:cat>
          <c:val>
            <c:numRef>
              <c:f>Sheet1!$B$15:$B$21</c:f>
              <c:numCache>
                <c:formatCode>General</c:formatCode>
                <c:ptCount val="6"/>
                <c:pt idx="0">
                  <c:v>2241000</c:v>
                </c:pt>
                <c:pt idx="1">
                  <c:v>6265000</c:v>
                </c:pt>
                <c:pt idx="2">
                  <c:v>4125000</c:v>
                </c:pt>
                <c:pt idx="3">
                  <c:v>2853000</c:v>
                </c:pt>
                <c:pt idx="4">
                  <c:v>2865000</c:v>
                </c:pt>
                <c:pt idx="5">
                  <c:v>3880000</c:v>
                </c:pt>
              </c:numCache>
            </c:numRef>
          </c:val>
          <c:extLst>
            <c:ext xmlns:c16="http://schemas.microsoft.com/office/drawing/2014/chart" uri="{C3380CC4-5D6E-409C-BE32-E72D297353CC}">
              <c16:uniqueId val="{00000000-06CE-4DAA-AB57-FF1F82D05DD9}"/>
            </c:ext>
          </c:extLst>
        </c:ser>
        <c:dLbls>
          <c:showLegendKey val="0"/>
          <c:showVal val="0"/>
          <c:showCatName val="0"/>
          <c:showSerName val="0"/>
          <c:showPercent val="0"/>
          <c:showBubbleSize val="0"/>
        </c:dLbls>
        <c:gapWidth val="219"/>
        <c:overlap val="-27"/>
        <c:axId val="1790174415"/>
        <c:axId val="1790174895"/>
      </c:barChart>
      <c:catAx>
        <c:axId val="179017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74895"/>
        <c:crosses val="autoZero"/>
        <c:auto val="1"/>
        <c:lblAlgn val="ctr"/>
        <c:lblOffset val="100"/>
        <c:noMultiLvlLbl val="0"/>
      </c:catAx>
      <c:valAx>
        <c:axId val="179017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74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Calss.xlsm]Sheet1!PivotTable4</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Sheet1!$B$29:$B$30</c:f>
              <c:strCache>
                <c:ptCount val="1"/>
                <c:pt idx="0">
                  <c:v>Argentina</c:v>
                </c:pt>
              </c:strCache>
            </c:strRef>
          </c:tx>
          <c:spPr>
            <a:solidFill>
              <a:schemeClr val="accent1"/>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Sheet1!$B$31:$B$37</c:f>
              <c:numCache>
                <c:formatCode>General</c:formatCode>
                <c:ptCount val="6"/>
                <c:pt idx="5">
                  <c:v>9200</c:v>
                </c:pt>
              </c:numCache>
            </c:numRef>
          </c:val>
          <c:extLst>
            <c:ext xmlns:c16="http://schemas.microsoft.com/office/drawing/2014/chart" uri="{C3380CC4-5D6E-409C-BE32-E72D297353CC}">
              <c16:uniqueId val="{00000000-8934-421D-AF34-28D7C2EBA72B}"/>
            </c:ext>
          </c:extLst>
        </c:ser>
        <c:ser>
          <c:idx val="1"/>
          <c:order val="1"/>
          <c:tx>
            <c:strRef>
              <c:f>Sheet1!$C$29:$C$30</c:f>
              <c:strCache>
                <c:ptCount val="1"/>
                <c:pt idx="0">
                  <c:v>Australia</c:v>
                </c:pt>
              </c:strCache>
            </c:strRef>
          </c:tx>
          <c:spPr>
            <a:solidFill>
              <a:schemeClr val="accent2"/>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Sheet1!$C$31:$C$37</c:f>
              <c:numCache>
                <c:formatCode>General</c:formatCode>
                <c:ptCount val="6"/>
                <c:pt idx="4">
                  <c:v>9130</c:v>
                </c:pt>
              </c:numCache>
            </c:numRef>
          </c:val>
          <c:extLst>
            <c:ext xmlns:c16="http://schemas.microsoft.com/office/drawing/2014/chart" uri="{C3380CC4-5D6E-409C-BE32-E72D297353CC}">
              <c16:uniqueId val="{00000001-8934-421D-AF34-28D7C2EBA72B}"/>
            </c:ext>
          </c:extLst>
        </c:ser>
        <c:ser>
          <c:idx val="2"/>
          <c:order val="2"/>
          <c:tx>
            <c:strRef>
              <c:f>Sheet1!$D$29:$D$30</c:f>
              <c:strCache>
                <c:ptCount val="1"/>
                <c:pt idx="0">
                  <c:v>Brazil</c:v>
                </c:pt>
              </c:strCache>
            </c:strRef>
          </c:tx>
          <c:spPr>
            <a:solidFill>
              <a:schemeClr val="accent3"/>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Sheet1!$D$31:$D$37</c:f>
              <c:numCache>
                <c:formatCode>General</c:formatCode>
                <c:ptCount val="6"/>
                <c:pt idx="5">
                  <c:v>12200</c:v>
                </c:pt>
              </c:numCache>
            </c:numRef>
          </c:val>
          <c:extLst>
            <c:ext xmlns:c16="http://schemas.microsoft.com/office/drawing/2014/chart" uri="{C3380CC4-5D6E-409C-BE32-E72D297353CC}">
              <c16:uniqueId val="{00000014-8934-421D-AF34-28D7C2EBA72B}"/>
            </c:ext>
          </c:extLst>
        </c:ser>
        <c:ser>
          <c:idx val="3"/>
          <c:order val="3"/>
          <c:tx>
            <c:strRef>
              <c:f>Sheet1!$E$29:$E$30</c:f>
              <c:strCache>
                <c:ptCount val="1"/>
                <c:pt idx="0">
                  <c:v>Canada</c:v>
                </c:pt>
              </c:strCache>
            </c:strRef>
          </c:tx>
          <c:spPr>
            <a:solidFill>
              <a:schemeClr val="accent4"/>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Sheet1!$E$31:$E$37</c:f>
              <c:numCache>
                <c:formatCode>General</c:formatCode>
                <c:ptCount val="6"/>
                <c:pt idx="3">
                  <c:v>2750</c:v>
                </c:pt>
              </c:numCache>
            </c:numRef>
          </c:val>
          <c:extLst>
            <c:ext xmlns:c16="http://schemas.microsoft.com/office/drawing/2014/chart" uri="{C3380CC4-5D6E-409C-BE32-E72D297353CC}">
              <c16:uniqueId val="{00000015-8934-421D-AF34-28D7C2EBA72B}"/>
            </c:ext>
          </c:extLst>
        </c:ser>
        <c:ser>
          <c:idx val="4"/>
          <c:order val="4"/>
          <c:tx>
            <c:strRef>
              <c:f>Sheet1!$F$29:$F$30</c:f>
              <c:strCache>
                <c:ptCount val="1"/>
                <c:pt idx="0">
                  <c:v>Chile</c:v>
                </c:pt>
              </c:strCache>
            </c:strRef>
          </c:tx>
          <c:spPr>
            <a:solidFill>
              <a:schemeClr val="accent5"/>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Sheet1!$F$31:$F$37</c:f>
              <c:numCache>
                <c:formatCode>General</c:formatCode>
                <c:ptCount val="6"/>
                <c:pt idx="5">
                  <c:v>4150</c:v>
                </c:pt>
              </c:numCache>
            </c:numRef>
          </c:val>
          <c:extLst>
            <c:ext xmlns:c16="http://schemas.microsoft.com/office/drawing/2014/chart" uri="{C3380CC4-5D6E-409C-BE32-E72D297353CC}">
              <c16:uniqueId val="{00000016-8934-421D-AF34-28D7C2EBA72B}"/>
            </c:ext>
          </c:extLst>
        </c:ser>
        <c:ser>
          <c:idx val="5"/>
          <c:order val="5"/>
          <c:tx>
            <c:strRef>
              <c:f>Sheet1!$G$29:$G$30</c:f>
              <c:strCache>
                <c:ptCount val="1"/>
                <c:pt idx="0">
                  <c:v>China</c:v>
                </c:pt>
              </c:strCache>
            </c:strRef>
          </c:tx>
          <c:spPr>
            <a:solidFill>
              <a:schemeClr val="accent6"/>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Sheet1!$G$31:$G$37</c:f>
              <c:numCache>
                <c:formatCode>General</c:formatCode>
                <c:ptCount val="6"/>
                <c:pt idx="1">
                  <c:v>17300</c:v>
                </c:pt>
              </c:numCache>
            </c:numRef>
          </c:val>
          <c:extLst>
            <c:ext xmlns:c16="http://schemas.microsoft.com/office/drawing/2014/chart" uri="{C3380CC4-5D6E-409C-BE32-E72D297353CC}">
              <c16:uniqueId val="{00000017-8934-421D-AF34-28D7C2EBA72B}"/>
            </c:ext>
          </c:extLst>
        </c:ser>
        <c:ser>
          <c:idx val="6"/>
          <c:order val="6"/>
          <c:tx>
            <c:strRef>
              <c:f>Sheet1!$H$29:$H$30</c:f>
              <c:strCache>
                <c:ptCount val="1"/>
                <c:pt idx="0">
                  <c:v>France</c:v>
                </c:pt>
              </c:strCache>
            </c:strRef>
          </c:tx>
          <c:spPr>
            <a:solidFill>
              <a:schemeClr val="accent1">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Sheet1!$H$31:$H$37</c:f>
              <c:numCache>
                <c:formatCode>General</c:formatCode>
                <c:ptCount val="6"/>
                <c:pt idx="2">
                  <c:v>3900</c:v>
                </c:pt>
              </c:numCache>
            </c:numRef>
          </c:val>
          <c:extLst>
            <c:ext xmlns:c16="http://schemas.microsoft.com/office/drawing/2014/chart" uri="{C3380CC4-5D6E-409C-BE32-E72D297353CC}">
              <c16:uniqueId val="{0000001D-8934-421D-AF34-28D7C2EBA72B}"/>
            </c:ext>
          </c:extLst>
        </c:ser>
        <c:ser>
          <c:idx val="7"/>
          <c:order val="7"/>
          <c:tx>
            <c:strRef>
              <c:f>Sheet1!$I$29:$I$30</c:f>
              <c:strCache>
                <c:ptCount val="1"/>
                <c:pt idx="0">
                  <c:v>Germany</c:v>
                </c:pt>
              </c:strCache>
            </c:strRef>
          </c:tx>
          <c:spPr>
            <a:solidFill>
              <a:schemeClr val="accent2">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Sheet1!$I$31:$I$37</c:f>
              <c:numCache>
                <c:formatCode>General</c:formatCode>
                <c:ptCount val="6"/>
                <c:pt idx="2">
                  <c:v>10100</c:v>
                </c:pt>
              </c:numCache>
            </c:numRef>
          </c:val>
          <c:extLst>
            <c:ext xmlns:c16="http://schemas.microsoft.com/office/drawing/2014/chart" uri="{C3380CC4-5D6E-409C-BE32-E72D297353CC}">
              <c16:uniqueId val="{0000001E-8934-421D-AF34-28D7C2EBA72B}"/>
            </c:ext>
          </c:extLst>
        </c:ser>
        <c:ser>
          <c:idx val="8"/>
          <c:order val="8"/>
          <c:tx>
            <c:strRef>
              <c:f>Sheet1!$J$29:$J$30</c:f>
              <c:strCache>
                <c:ptCount val="1"/>
                <c:pt idx="0">
                  <c:v>India</c:v>
                </c:pt>
              </c:strCache>
            </c:strRef>
          </c:tx>
          <c:spPr>
            <a:solidFill>
              <a:schemeClr val="accent3">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Sheet1!$J$31:$J$37</c:f>
              <c:numCache>
                <c:formatCode>General</c:formatCode>
                <c:ptCount val="6"/>
                <c:pt idx="1">
                  <c:v>15250</c:v>
                </c:pt>
              </c:numCache>
            </c:numRef>
          </c:val>
          <c:extLst>
            <c:ext xmlns:c16="http://schemas.microsoft.com/office/drawing/2014/chart" uri="{C3380CC4-5D6E-409C-BE32-E72D297353CC}">
              <c16:uniqueId val="{0000001F-8934-421D-AF34-28D7C2EBA72B}"/>
            </c:ext>
          </c:extLst>
        </c:ser>
        <c:ser>
          <c:idx val="9"/>
          <c:order val="9"/>
          <c:tx>
            <c:strRef>
              <c:f>Sheet1!$K$29:$K$30</c:f>
              <c:strCache>
                <c:ptCount val="1"/>
                <c:pt idx="0">
                  <c:v>Japan</c:v>
                </c:pt>
              </c:strCache>
            </c:strRef>
          </c:tx>
          <c:spPr>
            <a:solidFill>
              <a:schemeClr val="accent4">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Sheet1!$K$31:$K$37</c:f>
              <c:numCache>
                <c:formatCode>General</c:formatCode>
                <c:ptCount val="6"/>
                <c:pt idx="1">
                  <c:v>5900</c:v>
                </c:pt>
              </c:numCache>
            </c:numRef>
          </c:val>
          <c:extLst>
            <c:ext xmlns:c16="http://schemas.microsoft.com/office/drawing/2014/chart" uri="{C3380CC4-5D6E-409C-BE32-E72D297353CC}">
              <c16:uniqueId val="{00000020-8934-421D-AF34-28D7C2EBA72B}"/>
            </c:ext>
          </c:extLst>
        </c:ser>
        <c:ser>
          <c:idx val="10"/>
          <c:order val="10"/>
          <c:tx>
            <c:strRef>
              <c:f>Sheet1!$L$29:$L$30</c:f>
              <c:strCache>
                <c:ptCount val="1"/>
                <c:pt idx="0">
                  <c:v>Kenya</c:v>
                </c:pt>
              </c:strCache>
            </c:strRef>
          </c:tx>
          <c:spPr>
            <a:solidFill>
              <a:schemeClr val="accent5">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Sheet1!$L$31:$L$37</c:f>
              <c:numCache>
                <c:formatCode>General</c:formatCode>
                <c:ptCount val="6"/>
                <c:pt idx="0">
                  <c:v>7000</c:v>
                </c:pt>
              </c:numCache>
            </c:numRef>
          </c:val>
          <c:extLst>
            <c:ext xmlns:c16="http://schemas.microsoft.com/office/drawing/2014/chart" uri="{C3380CC4-5D6E-409C-BE32-E72D297353CC}">
              <c16:uniqueId val="{00000021-8934-421D-AF34-28D7C2EBA72B}"/>
            </c:ext>
          </c:extLst>
        </c:ser>
        <c:ser>
          <c:idx val="11"/>
          <c:order val="11"/>
          <c:tx>
            <c:strRef>
              <c:f>Sheet1!$M$29:$M$30</c:f>
              <c:strCache>
                <c:ptCount val="1"/>
                <c:pt idx="0">
                  <c:v>Mexico</c:v>
                </c:pt>
              </c:strCache>
            </c:strRef>
          </c:tx>
          <c:spPr>
            <a:solidFill>
              <a:schemeClr val="accent6">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Sheet1!$M$31:$M$37</c:f>
              <c:numCache>
                <c:formatCode>General</c:formatCode>
                <c:ptCount val="6"/>
                <c:pt idx="3">
                  <c:v>3700</c:v>
                </c:pt>
              </c:numCache>
            </c:numRef>
          </c:val>
          <c:extLst>
            <c:ext xmlns:c16="http://schemas.microsoft.com/office/drawing/2014/chart" uri="{C3380CC4-5D6E-409C-BE32-E72D297353CC}">
              <c16:uniqueId val="{00000022-8934-421D-AF34-28D7C2EBA72B}"/>
            </c:ext>
          </c:extLst>
        </c:ser>
        <c:ser>
          <c:idx val="12"/>
          <c:order val="12"/>
          <c:tx>
            <c:strRef>
              <c:f>Sheet1!$N$29:$N$30</c:f>
              <c:strCache>
                <c:ptCount val="1"/>
                <c:pt idx="0">
                  <c:v>New Zealand</c:v>
                </c:pt>
              </c:strCache>
            </c:strRef>
          </c:tx>
          <c:spPr>
            <a:solidFill>
              <a:schemeClr val="accent1">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Sheet1!$N$31:$N$37</c:f>
              <c:numCache>
                <c:formatCode>General</c:formatCode>
                <c:ptCount val="6"/>
                <c:pt idx="4">
                  <c:v>8900</c:v>
                </c:pt>
              </c:numCache>
            </c:numRef>
          </c:val>
          <c:extLst>
            <c:ext xmlns:c16="http://schemas.microsoft.com/office/drawing/2014/chart" uri="{C3380CC4-5D6E-409C-BE32-E72D297353CC}">
              <c16:uniqueId val="{00000023-8934-421D-AF34-28D7C2EBA72B}"/>
            </c:ext>
          </c:extLst>
        </c:ser>
        <c:ser>
          <c:idx val="13"/>
          <c:order val="13"/>
          <c:tx>
            <c:strRef>
              <c:f>Sheet1!$O$29:$O$30</c:f>
              <c:strCache>
                <c:ptCount val="1"/>
                <c:pt idx="0">
                  <c:v>Nigeria</c:v>
                </c:pt>
              </c:strCache>
            </c:strRef>
          </c:tx>
          <c:spPr>
            <a:solidFill>
              <a:schemeClr val="accent2">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Sheet1!$O$31:$O$37</c:f>
              <c:numCache>
                <c:formatCode>General</c:formatCode>
                <c:ptCount val="6"/>
                <c:pt idx="0">
                  <c:v>6320</c:v>
                </c:pt>
              </c:numCache>
            </c:numRef>
          </c:val>
          <c:extLst>
            <c:ext xmlns:c16="http://schemas.microsoft.com/office/drawing/2014/chart" uri="{C3380CC4-5D6E-409C-BE32-E72D297353CC}">
              <c16:uniqueId val="{00000024-8934-421D-AF34-28D7C2EBA72B}"/>
            </c:ext>
          </c:extLst>
        </c:ser>
        <c:ser>
          <c:idx val="14"/>
          <c:order val="14"/>
          <c:tx>
            <c:strRef>
              <c:f>Sheet1!$P$29:$P$30</c:f>
              <c:strCache>
                <c:ptCount val="1"/>
                <c:pt idx="0">
                  <c:v>South Africa</c:v>
                </c:pt>
              </c:strCache>
            </c:strRef>
          </c:tx>
          <c:spPr>
            <a:solidFill>
              <a:schemeClr val="accent3">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Sheet1!$P$31:$P$37</c:f>
              <c:numCache>
                <c:formatCode>General</c:formatCode>
                <c:ptCount val="6"/>
                <c:pt idx="0">
                  <c:v>3150</c:v>
                </c:pt>
              </c:numCache>
            </c:numRef>
          </c:val>
          <c:extLst>
            <c:ext xmlns:c16="http://schemas.microsoft.com/office/drawing/2014/chart" uri="{C3380CC4-5D6E-409C-BE32-E72D297353CC}">
              <c16:uniqueId val="{00000025-8934-421D-AF34-28D7C2EBA72B}"/>
            </c:ext>
          </c:extLst>
        </c:ser>
        <c:ser>
          <c:idx val="15"/>
          <c:order val="15"/>
          <c:tx>
            <c:strRef>
              <c:f>Sheet1!$Q$29:$Q$30</c:f>
              <c:strCache>
                <c:ptCount val="1"/>
                <c:pt idx="0">
                  <c:v>UK</c:v>
                </c:pt>
              </c:strCache>
            </c:strRef>
          </c:tx>
          <c:spPr>
            <a:solidFill>
              <a:schemeClr val="accent4">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Sheet1!$Q$31:$Q$37</c:f>
              <c:numCache>
                <c:formatCode>General</c:formatCode>
                <c:ptCount val="6"/>
                <c:pt idx="2">
                  <c:v>10100</c:v>
                </c:pt>
              </c:numCache>
            </c:numRef>
          </c:val>
          <c:extLst>
            <c:ext xmlns:c16="http://schemas.microsoft.com/office/drawing/2014/chart" uri="{C3380CC4-5D6E-409C-BE32-E72D297353CC}">
              <c16:uniqueId val="{00000026-8934-421D-AF34-28D7C2EBA72B}"/>
            </c:ext>
          </c:extLst>
        </c:ser>
        <c:ser>
          <c:idx val="16"/>
          <c:order val="16"/>
          <c:tx>
            <c:strRef>
              <c:f>Sheet1!$R$29:$R$30</c:f>
              <c:strCache>
                <c:ptCount val="1"/>
                <c:pt idx="0">
                  <c:v>USA</c:v>
                </c:pt>
              </c:strCache>
            </c:strRef>
          </c:tx>
          <c:spPr>
            <a:solidFill>
              <a:schemeClr val="accent5">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Sheet1!$R$31:$R$37</c:f>
              <c:numCache>
                <c:formatCode>General</c:formatCode>
                <c:ptCount val="6"/>
                <c:pt idx="3">
                  <c:v>12600</c:v>
                </c:pt>
              </c:numCache>
            </c:numRef>
          </c:val>
          <c:extLst>
            <c:ext xmlns:c16="http://schemas.microsoft.com/office/drawing/2014/chart" uri="{C3380CC4-5D6E-409C-BE32-E72D297353CC}">
              <c16:uniqueId val="{00000027-8934-421D-AF34-28D7C2EBA72B}"/>
            </c:ext>
          </c:extLst>
        </c:ser>
        <c:dLbls>
          <c:showLegendKey val="0"/>
          <c:showVal val="0"/>
          <c:showCatName val="0"/>
          <c:showSerName val="0"/>
          <c:showPercent val="0"/>
          <c:showBubbleSize val="0"/>
        </c:dLbls>
        <c:gapWidth val="219"/>
        <c:shape val="box"/>
        <c:axId val="833730415"/>
        <c:axId val="833732335"/>
        <c:axId val="0"/>
      </c:bar3DChart>
      <c:catAx>
        <c:axId val="833730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32335"/>
        <c:crosses val="autoZero"/>
        <c:auto val="1"/>
        <c:lblAlgn val="ctr"/>
        <c:lblOffset val="100"/>
        <c:noMultiLvlLbl val="0"/>
      </c:catAx>
      <c:valAx>
        <c:axId val="83373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30415"/>
        <c:crosses val="autoZero"/>
        <c:crossBetween val="between"/>
      </c:valAx>
      <c:spPr>
        <a:noFill/>
        <a:ln>
          <a:noFill/>
        </a:ln>
        <a:effectLst/>
      </c:spPr>
    </c:plotArea>
    <c:legend>
      <c:legendPos val="r"/>
      <c:layout>
        <c:manualLayout>
          <c:xMode val="edge"/>
          <c:yMode val="edge"/>
          <c:x val="0.7024213911649555"/>
          <c:y val="0.19292723826188393"/>
          <c:w val="6.3455916363430592E-2"/>
          <c:h val="0.61414515893846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Sheet1!$B$58:$B$59</c:f>
              <c:strCache>
                <c:ptCount val="1"/>
                <c:pt idx="0">
                  <c:v>Electronics</c:v>
                </c:pt>
              </c:strCache>
            </c:strRef>
          </c:tx>
          <c:spPr>
            <a:solidFill>
              <a:schemeClr val="accent1"/>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Sheet1!$B$60:$B$71</c:f>
              <c:numCache>
                <c:formatCode>General</c:formatCode>
                <c:ptCount val="11"/>
                <c:pt idx="3">
                  <c:v>4317500</c:v>
                </c:pt>
                <c:pt idx="7">
                  <c:v>8370000</c:v>
                </c:pt>
                <c:pt idx="8">
                  <c:v>2106000</c:v>
                </c:pt>
              </c:numCache>
            </c:numRef>
          </c:val>
          <c:extLst>
            <c:ext xmlns:c16="http://schemas.microsoft.com/office/drawing/2014/chart" uri="{C3380CC4-5D6E-409C-BE32-E72D297353CC}">
              <c16:uniqueId val="{00000000-92AE-4FF6-8864-0DB039B0DD44}"/>
            </c:ext>
          </c:extLst>
        </c:ser>
        <c:ser>
          <c:idx val="1"/>
          <c:order val="1"/>
          <c:tx>
            <c:strRef>
              <c:f>Sheet1!$C$58:$C$59</c:f>
              <c:strCache>
                <c:ptCount val="1"/>
                <c:pt idx="0">
                  <c:v>Fashion</c:v>
                </c:pt>
              </c:strCache>
            </c:strRef>
          </c:tx>
          <c:spPr>
            <a:solidFill>
              <a:schemeClr val="accent2"/>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Sheet1!$C$60:$C$71</c:f>
              <c:numCache>
                <c:formatCode>General</c:formatCode>
                <c:ptCount val="11"/>
                <c:pt idx="2">
                  <c:v>1144000</c:v>
                </c:pt>
                <c:pt idx="4">
                  <c:v>2704000</c:v>
                </c:pt>
                <c:pt idx="10">
                  <c:v>2040000</c:v>
                </c:pt>
              </c:numCache>
            </c:numRef>
          </c:val>
          <c:extLst>
            <c:ext xmlns:c16="http://schemas.microsoft.com/office/drawing/2014/chart" uri="{C3380CC4-5D6E-409C-BE32-E72D297353CC}">
              <c16:uniqueId val="{00000001-92AE-4FF6-8864-0DB039B0DD44}"/>
            </c:ext>
          </c:extLst>
        </c:ser>
        <c:ser>
          <c:idx val="2"/>
          <c:order val="2"/>
          <c:tx>
            <c:strRef>
              <c:f>Sheet1!$D$58:$D$59</c:f>
              <c:strCache>
                <c:ptCount val="1"/>
                <c:pt idx="0">
                  <c:v>Furniture</c:v>
                </c:pt>
              </c:strCache>
            </c:strRef>
          </c:tx>
          <c:spPr>
            <a:solidFill>
              <a:schemeClr val="accent3"/>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Sheet1!$D$60:$D$71</c:f>
              <c:numCache>
                <c:formatCode>General</c:formatCode>
                <c:ptCount val="11"/>
                <c:pt idx="1">
                  <c:v>2082000</c:v>
                </c:pt>
                <c:pt idx="5">
                  <c:v>1500000</c:v>
                </c:pt>
              </c:numCache>
            </c:numRef>
          </c:val>
          <c:extLst>
            <c:ext xmlns:c16="http://schemas.microsoft.com/office/drawing/2014/chart" uri="{C3380CC4-5D6E-409C-BE32-E72D297353CC}">
              <c16:uniqueId val="{00000002-92AE-4FF6-8864-0DB039B0DD44}"/>
            </c:ext>
          </c:extLst>
        </c:ser>
        <c:ser>
          <c:idx val="3"/>
          <c:order val="3"/>
          <c:tx>
            <c:strRef>
              <c:f>Sheet1!$E$58:$E$59</c:f>
              <c:strCache>
                <c:ptCount val="1"/>
                <c:pt idx="0">
                  <c:v>Home Appliances</c:v>
                </c:pt>
              </c:strCache>
            </c:strRef>
          </c:tx>
          <c:spPr>
            <a:solidFill>
              <a:schemeClr val="accent4"/>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Sheet1!$E$60:$E$71</c:f>
              <c:numCache>
                <c:formatCode>General</c:formatCode>
                <c:ptCount val="11"/>
                <c:pt idx="0">
                  <c:v>990000</c:v>
                </c:pt>
                <c:pt idx="6">
                  <c:v>975000</c:v>
                </c:pt>
                <c:pt idx="9">
                  <c:v>1065000</c:v>
                </c:pt>
              </c:numCache>
            </c:numRef>
          </c:val>
          <c:extLst>
            <c:ext xmlns:c16="http://schemas.microsoft.com/office/drawing/2014/chart" uri="{C3380CC4-5D6E-409C-BE32-E72D297353CC}">
              <c16:uniqueId val="{00000003-92AE-4FF6-8864-0DB039B0DD44}"/>
            </c:ext>
          </c:extLst>
        </c:ser>
        <c:dLbls>
          <c:showLegendKey val="0"/>
          <c:showVal val="0"/>
          <c:showCatName val="0"/>
          <c:showSerName val="0"/>
          <c:showPercent val="0"/>
          <c:showBubbleSize val="0"/>
        </c:dLbls>
        <c:gapWidth val="219"/>
        <c:overlap val="100"/>
        <c:axId val="1075839279"/>
        <c:axId val="1075839759"/>
      </c:barChart>
      <c:catAx>
        <c:axId val="107583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39759"/>
        <c:crosses val="autoZero"/>
        <c:auto val="1"/>
        <c:lblAlgn val="ctr"/>
        <c:lblOffset val="100"/>
        <c:noMultiLvlLbl val="0"/>
      </c:catAx>
      <c:valAx>
        <c:axId val="1075839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39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Calss.xlsm]Sheet1!PivotTable4</c:name>
    <c:fmtId val="6"/>
  </c:pivotSource>
  <c:chart>
    <c:autoTitleDeleted val="0"/>
    <c:pivotFmts>
      <c:pivotFmt>
        <c:idx val="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4"/>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5"/>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6"/>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7"/>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8"/>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9"/>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2"/>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3"/>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4"/>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5"/>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6"/>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7"/>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8"/>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9"/>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2"/>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3"/>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4"/>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5"/>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6"/>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7"/>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8"/>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9"/>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0"/>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1"/>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2"/>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3"/>
        <c:spPr>
          <a:solidFill>
            <a:schemeClr val="accent1"/>
          </a:solidFill>
          <a:ln>
            <a:noFill/>
          </a:ln>
          <a:effectLst/>
          <a:sp3d/>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3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024972472108532"/>
          <c:y val="0.12860892388451445"/>
          <c:w val="0.7081157071724874"/>
          <c:h val="0.65853091280256637"/>
        </c:manualLayout>
      </c:layout>
      <c:bar3DChart>
        <c:barDir val="col"/>
        <c:grouping val="stacked"/>
        <c:varyColors val="0"/>
        <c:ser>
          <c:idx val="0"/>
          <c:order val="0"/>
          <c:tx>
            <c:strRef>
              <c:f>Sheet1!$B$29:$B$30</c:f>
              <c:strCache>
                <c:ptCount val="1"/>
                <c:pt idx="0">
                  <c:v>Argentina</c:v>
                </c:pt>
              </c:strCache>
            </c:strRef>
          </c:tx>
          <c:spPr>
            <a:solidFill>
              <a:schemeClr val="accent1"/>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Sheet1!$B$31:$B$37</c:f>
              <c:numCache>
                <c:formatCode>General</c:formatCode>
                <c:ptCount val="6"/>
                <c:pt idx="5">
                  <c:v>9200</c:v>
                </c:pt>
              </c:numCache>
            </c:numRef>
          </c:val>
          <c:extLst>
            <c:ext xmlns:c16="http://schemas.microsoft.com/office/drawing/2014/chart" uri="{C3380CC4-5D6E-409C-BE32-E72D297353CC}">
              <c16:uniqueId val="{00000000-6CE9-4A65-92CA-62A1CE7C8B15}"/>
            </c:ext>
          </c:extLst>
        </c:ser>
        <c:ser>
          <c:idx val="1"/>
          <c:order val="1"/>
          <c:tx>
            <c:strRef>
              <c:f>Sheet1!$C$29:$C$30</c:f>
              <c:strCache>
                <c:ptCount val="1"/>
                <c:pt idx="0">
                  <c:v>Australia</c:v>
                </c:pt>
              </c:strCache>
            </c:strRef>
          </c:tx>
          <c:spPr>
            <a:solidFill>
              <a:schemeClr val="accent2"/>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Sheet1!$C$31:$C$37</c:f>
              <c:numCache>
                <c:formatCode>General</c:formatCode>
                <c:ptCount val="6"/>
                <c:pt idx="4">
                  <c:v>9130</c:v>
                </c:pt>
              </c:numCache>
            </c:numRef>
          </c:val>
          <c:extLst>
            <c:ext xmlns:c16="http://schemas.microsoft.com/office/drawing/2014/chart" uri="{C3380CC4-5D6E-409C-BE32-E72D297353CC}">
              <c16:uniqueId val="{00000001-6CE9-4A65-92CA-62A1CE7C8B15}"/>
            </c:ext>
          </c:extLst>
        </c:ser>
        <c:ser>
          <c:idx val="2"/>
          <c:order val="2"/>
          <c:tx>
            <c:strRef>
              <c:f>Sheet1!$D$29:$D$30</c:f>
              <c:strCache>
                <c:ptCount val="1"/>
                <c:pt idx="0">
                  <c:v>Brazil</c:v>
                </c:pt>
              </c:strCache>
            </c:strRef>
          </c:tx>
          <c:spPr>
            <a:solidFill>
              <a:schemeClr val="accent3"/>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Sheet1!$D$31:$D$37</c:f>
              <c:numCache>
                <c:formatCode>General</c:formatCode>
                <c:ptCount val="6"/>
                <c:pt idx="5">
                  <c:v>12200</c:v>
                </c:pt>
              </c:numCache>
            </c:numRef>
          </c:val>
          <c:extLst>
            <c:ext xmlns:c16="http://schemas.microsoft.com/office/drawing/2014/chart" uri="{C3380CC4-5D6E-409C-BE32-E72D297353CC}">
              <c16:uniqueId val="{00000026-6CE9-4A65-92CA-62A1CE7C8B15}"/>
            </c:ext>
          </c:extLst>
        </c:ser>
        <c:ser>
          <c:idx val="3"/>
          <c:order val="3"/>
          <c:tx>
            <c:strRef>
              <c:f>Sheet1!$E$29:$E$30</c:f>
              <c:strCache>
                <c:ptCount val="1"/>
                <c:pt idx="0">
                  <c:v>Canada</c:v>
                </c:pt>
              </c:strCache>
            </c:strRef>
          </c:tx>
          <c:spPr>
            <a:solidFill>
              <a:schemeClr val="accent4"/>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Sheet1!$E$31:$E$37</c:f>
              <c:numCache>
                <c:formatCode>General</c:formatCode>
                <c:ptCount val="6"/>
                <c:pt idx="3">
                  <c:v>2750</c:v>
                </c:pt>
              </c:numCache>
            </c:numRef>
          </c:val>
          <c:extLst>
            <c:ext xmlns:c16="http://schemas.microsoft.com/office/drawing/2014/chart" uri="{C3380CC4-5D6E-409C-BE32-E72D297353CC}">
              <c16:uniqueId val="{00000027-6CE9-4A65-92CA-62A1CE7C8B15}"/>
            </c:ext>
          </c:extLst>
        </c:ser>
        <c:ser>
          <c:idx val="4"/>
          <c:order val="4"/>
          <c:tx>
            <c:strRef>
              <c:f>Sheet1!$F$29:$F$30</c:f>
              <c:strCache>
                <c:ptCount val="1"/>
                <c:pt idx="0">
                  <c:v>Chile</c:v>
                </c:pt>
              </c:strCache>
            </c:strRef>
          </c:tx>
          <c:spPr>
            <a:solidFill>
              <a:schemeClr val="accent5"/>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Sheet1!$F$31:$F$37</c:f>
              <c:numCache>
                <c:formatCode>General</c:formatCode>
                <c:ptCount val="6"/>
                <c:pt idx="5">
                  <c:v>4150</c:v>
                </c:pt>
              </c:numCache>
            </c:numRef>
          </c:val>
          <c:extLst>
            <c:ext xmlns:c16="http://schemas.microsoft.com/office/drawing/2014/chart" uri="{C3380CC4-5D6E-409C-BE32-E72D297353CC}">
              <c16:uniqueId val="{00000028-6CE9-4A65-92CA-62A1CE7C8B15}"/>
            </c:ext>
          </c:extLst>
        </c:ser>
        <c:ser>
          <c:idx val="5"/>
          <c:order val="5"/>
          <c:tx>
            <c:strRef>
              <c:f>Sheet1!$G$29:$G$30</c:f>
              <c:strCache>
                <c:ptCount val="1"/>
                <c:pt idx="0">
                  <c:v>China</c:v>
                </c:pt>
              </c:strCache>
            </c:strRef>
          </c:tx>
          <c:spPr>
            <a:solidFill>
              <a:schemeClr val="accent6"/>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Sheet1!$G$31:$G$37</c:f>
              <c:numCache>
                <c:formatCode>General</c:formatCode>
                <c:ptCount val="6"/>
                <c:pt idx="1">
                  <c:v>17300</c:v>
                </c:pt>
              </c:numCache>
            </c:numRef>
          </c:val>
          <c:extLst>
            <c:ext xmlns:c16="http://schemas.microsoft.com/office/drawing/2014/chart" uri="{C3380CC4-5D6E-409C-BE32-E72D297353CC}">
              <c16:uniqueId val="{00000029-6CE9-4A65-92CA-62A1CE7C8B15}"/>
            </c:ext>
          </c:extLst>
        </c:ser>
        <c:ser>
          <c:idx val="6"/>
          <c:order val="6"/>
          <c:tx>
            <c:strRef>
              <c:f>Sheet1!$H$29:$H$30</c:f>
              <c:strCache>
                <c:ptCount val="1"/>
                <c:pt idx="0">
                  <c:v>France</c:v>
                </c:pt>
              </c:strCache>
            </c:strRef>
          </c:tx>
          <c:spPr>
            <a:solidFill>
              <a:schemeClr val="accent1">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Sheet1!$H$31:$H$37</c:f>
              <c:numCache>
                <c:formatCode>General</c:formatCode>
                <c:ptCount val="6"/>
                <c:pt idx="2">
                  <c:v>3900</c:v>
                </c:pt>
              </c:numCache>
            </c:numRef>
          </c:val>
          <c:extLst>
            <c:ext xmlns:c16="http://schemas.microsoft.com/office/drawing/2014/chart" uri="{C3380CC4-5D6E-409C-BE32-E72D297353CC}">
              <c16:uniqueId val="{0000002F-6CE9-4A65-92CA-62A1CE7C8B15}"/>
            </c:ext>
          </c:extLst>
        </c:ser>
        <c:ser>
          <c:idx val="7"/>
          <c:order val="7"/>
          <c:tx>
            <c:strRef>
              <c:f>Sheet1!$I$29:$I$30</c:f>
              <c:strCache>
                <c:ptCount val="1"/>
                <c:pt idx="0">
                  <c:v>Germany</c:v>
                </c:pt>
              </c:strCache>
            </c:strRef>
          </c:tx>
          <c:spPr>
            <a:solidFill>
              <a:schemeClr val="accent2">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Sheet1!$I$31:$I$37</c:f>
              <c:numCache>
                <c:formatCode>General</c:formatCode>
                <c:ptCount val="6"/>
                <c:pt idx="2">
                  <c:v>10100</c:v>
                </c:pt>
              </c:numCache>
            </c:numRef>
          </c:val>
          <c:extLst>
            <c:ext xmlns:c16="http://schemas.microsoft.com/office/drawing/2014/chart" uri="{C3380CC4-5D6E-409C-BE32-E72D297353CC}">
              <c16:uniqueId val="{00000030-6CE9-4A65-92CA-62A1CE7C8B15}"/>
            </c:ext>
          </c:extLst>
        </c:ser>
        <c:ser>
          <c:idx val="8"/>
          <c:order val="8"/>
          <c:tx>
            <c:strRef>
              <c:f>Sheet1!$J$29:$J$30</c:f>
              <c:strCache>
                <c:ptCount val="1"/>
                <c:pt idx="0">
                  <c:v>India</c:v>
                </c:pt>
              </c:strCache>
            </c:strRef>
          </c:tx>
          <c:spPr>
            <a:solidFill>
              <a:schemeClr val="accent3">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Sheet1!$J$31:$J$37</c:f>
              <c:numCache>
                <c:formatCode>General</c:formatCode>
                <c:ptCount val="6"/>
                <c:pt idx="1">
                  <c:v>15250</c:v>
                </c:pt>
              </c:numCache>
            </c:numRef>
          </c:val>
          <c:extLst>
            <c:ext xmlns:c16="http://schemas.microsoft.com/office/drawing/2014/chart" uri="{C3380CC4-5D6E-409C-BE32-E72D297353CC}">
              <c16:uniqueId val="{00000031-6CE9-4A65-92CA-62A1CE7C8B15}"/>
            </c:ext>
          </c:extLst>
        </c:ser>
        <c:ser>
          <c:idx val="9"/>
          <c:order val="9"/>
          <c:tx>
            <c:strRef>
              <c:f>Sheet1!$K$29:$K$30</c:f>
              <c:strCache>
                <c:ptCount val="1"/>
                <c:pt idx="0">
                  <c:v>Japan</c:v>
                </c:pt>
              </c:strCache>
            </c:strRef>
          </c:tx>
          <c:spPr>
            <a:solidFill>
              <a:schemeClr val="accent4">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Sheet1!$K$31:$K$37</c:f>
              <c:numCache>
                <c:formatCode>General</c:formatCode>
                <c:ptCount val="6"/>
                <c:pt idx="1">
                  <c:v>5900</c:v>
                </c:pt>
              </c:numCache>
            </c:numRef>
          </c:val>
          <c:extLst>
            <c:ext xmlns:c16="http://schemas.microsoft.com/office/drawing/2014/chart" uri="{C3380CC4-5D6E-409C-BE32-E72D297353CC}">
              <c16:uniqueId val="{00000032-6CE9-4A65-92CA-62A1CE7C8B15}"/>
            </c:ext>
          </c:extLst>
        </c:ser>
        <c:ser>
          <c:idx val="10"/>
          <c:order val="10"/>
          <c:tx>
            <c:strRef>
              <c:f>Sheet1!$L$29:$L$30</c:f>
              <c:strCache>
                <c:ptCount val="1"/>
                <c:pt idx="0">
                  <c:v>Kenya</c:v>
                </c:pt>
              </c:strCache>
            </c:strRef>
          </c:tx>
          <c:spPr>
            <a:solidFill>
              <a:schemeClr val="accent5">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Sheet1!$L$31:$L$37</c:f>
              <c:numCache>
                <c:formatCode>General</c:formatCode>
                <c:ptCount val="6"/>
                <c:pt idx="0">
                  <c:v>7000</c:v>
                </c:pt>
              </c:numCache>
            </c:numRef>
          </c:val>
          <c:extLst>
            <c:ext xmlns:c16="http://schemas.microsoft.com/office/drawing/2014/chart" uri="{C3380CC4-5D6E-409C-BE32-E72D297353CC}">
              <c16:uniqueId val="{00000033-6CE9-4A65-92CA-62A1CE7C8B15}"/>
            </c:ext>
          </c:extLst>
        </c:ser>
        <c:ser>
          <c:idx val="11"/>
          <c:order val="11"/>
          <c:tx>
            <c:strRef>
              <c:f>Sheet1!$M$29:$M$30</c:f>
              <c:strCache>
                <c:ptCount val="1"/>
                <c:pt idx="0">
                  <c:v>Mexico</c:v>
                </c:pt>
              </c:strCache>
            </c:strRef>
          </c:tx>
          <c:spPr>
            <a:solidFill>
              <a:schemeClr val="accent6">
                <a:lumMod val="6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Sheet1!$M$31:$M$37</c:f>
              <c:numCache>
                <c:formatCode>General</c:formatCode>
                <c:ptCount val="6"/>
                <c:pt idx="3">
                  <c:v>3700</c:v>
                </c:pt>
              </c:numCache>
            </c:numRef>
          </c:val>
          <c:extLst>
            <c:ext xmlns:c16="http://schemas.microsoft.com/office/drawing/2014/chart" uri="{C3380CC4-5D6E-409C-BE32-E72D297353CC}">
              <c16:uniqueId val="{00000034-6CE9-4A65-92CA-62A1CE7C8B15}"/>
            </c:ext>
          </c:extLst>
        </c:ser>
        <c:ser>
          <c:idx val="12"/>
          <c:order val="12"/>
          <c:tx>
            <c:strRef>
              <c:f>Sheet1!$N$29:$N$30</c:f>
              <c:strCache>
                <c:ptCount val="1"/>
                <c:pt idx="0">
                  <c:v>New Zealand</c:v>
                </c:pt>
              </c:strCache>
            </c:strRef>
          </c:tx>
          <c:spPr>
            <a:solidFill>
              <a:schemeClr val="accent1">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Sheet1!$N$31:$N$37</c:f>
              <c:numCache>
                <c:formatCode>General</c:formatCode>
                <c:ptCount val="6"/>
                <c:pt idx="4">
                  <c:v>8900</c:v>
                </c:pt>
              </c:numCache>
            </c:numRef>
          </c:val>
          <c:extLst>
            <c:ext xmlns:c16="http://schemas.microsoft.com/office/drawing/2014/chart" uri="{C3380CC4-5D6E-409C-BE32-E72D297353CC}">
              <c16:uniqueId val="{00000035-6CE9-4A65-92CA-62A1CE7C8B15}"/>
            </c:ext>
          </c:extLst>
        </c:ser>
        <c:ser>
          <c:idx val="13"/>
          <c:order val="13"/>
          <c:tx>
            <c:strRef>
              <c:f>Sheet1!$O$29:$O$30</c:f>
              <c:strCache>
                <c:ptCount val="1"/>
                <c:pt idx="0">
                  <c:v>Nigeria</c:v>
                </c:pt>
              </c:strCache>
            </c:strRef>
          </c:tx>
          <c:spPr>
            <a:solidFill>
              <a:schemeClr val="accent2">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Sheet1!$O$31:$O$37</c:f>
              <c:numCache>
                <c:formatCode>General</c:formatCode>
                <c:ptCount val="6"/>
                <c:pt idx="0">
                  <c:v>6320</c:v>
                </c:pt>
              </c:numCache>
            </c:numRef>
          </c:val>
          <c:extLst>
            <c:ext xmlns:c16="http://schemas.microsoft.com/office/drawing/2014/chart" uri="{C3380CC4-5D6E-409C-BE32-E72D297353CC}">
              <c16:uniqueId val="{00000036-6CE9-4A65-92CA-62A1CE7C8B15}"/>
            </c:ext>
          </c:extLst>
        </c:ser>
        <c:ser>
          <c:idx val="14"/>
          <c:order val="14"/>
          <c:tx>
            <c:strRef>
              <c:f>Sheet1!$P$29:$P$30</c:f>
              <c:strCache>
                <c:ptCount val="1"/>
                <c:pt idx="0">
                  <c:v>South Africa</c:v>
                </c:pt>
              </c:strCache>
            </c:strRef>
          </c:tx>
          <c:spPr>
            <a:solidFill>
              <a:schemeClr val="accent3">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Sheet1!$P$31:$P$37</c:f>
              <c:numCache>
                <c:formatCode>General</c:formatCode>
                <c:ptCount val="6"/>
                <c:pt idx="0">
                  <c:v>3150</c:v>
                </c:pt>
              </c:numCache>
            </c:numRef>
          </c:val>
          <c:extLst>
            <c:ext xmlns:c16="http://schemas.microsoft.com/office/drawing/2014/chart" uri="{C3380CC4-5D6E-409C-BE32-E72D297353CC}">
              <c16:uniqueId val="{00000037-6CE9-4A65-92CA-62A1CE7C8B15}"/>
            </c:ext>
          </c:extLst>
        </c:ser>
        <c:ser>
          <c:idx val="15"/>
          <c:order val="15"/>
          <c:tx>
            <c:strRef>
              <c:f>Sheet1!$Q$29:$Q$30</c:f>
              <c:strCache>
                <c:ptCount val="1"/>
                <c:pt idx="0">
                  <c:v>UK</c:v>
                </c:pt>
              </c:strCache>
            </c:strRef>
          </c:tx>
          <c:spPr>
            <a:solidFill>
              <a:schemeClr val="accent4">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Sheet1!$Q$31:$Q$37</c:f>
              <c:numCache>
                <c:formatCode>General</c:formatCode>
                <c:ptCount val="6"/>
                <c:pt idx="2">
                  <c:v>10100</c:v>
                </c:pt>
              </c:numCache>
            </c:numRef>
          </c:val>
          <c:extLst>
            <c:ext xmlns:c16="http://schemas.microsoft.com/office/drawing/2014/chart" uri="{C3380CC4-5D6E-409C-BE32-E72D297353CC}">
              <c16:uniqueId val="{00000038-6CE9-4A65-92CA-62A1CE7C8B15}"/>
            </c:ext>
          </c:extLst>
        </c:ser>
        <c:ser>
          <c:idx val="16"/>
          <c:order val="16"/>
          <c:tx>
            <c:strRef>
              <c:f>Sheet1!$R$29:$R$30</c:f>
              <c:strCache>
                <c:ptCount val="1"/>
                <c:pt idx="0">
                  <c:v>USA</c:v>
                </c:pt>
              </c:strCache>
            </c:strRef>
          </c:tx>
          <c:spPr>
            <a:solidFill>
              <a:schemeClr val="accent5">
                <a:lumMod val="80000"/>
                <a:lumOff val="20000"/>
              </a:schemeClr>
            </a:solidFill>
            <a:ln>
              <a:noFill/>
            </a:ln>
            <a:effectLst/>
            <a:sp3d/>
          </c:spPr>
          <c:invertIfNegative val="0"/>
          <c:cat>
            <c:strRef>
              <c:f>Sheet1!$A$31:$A$37</c:f>
              <c:strCache>
                <c:ptCount val="6"/>
                <c:pt idx="0">
                  <c:v>Africa</c:v>
                </c:pt>
                <c:pt idx="1">
                  <c:v>Asia</c:v>
                </c:pt>
                <c:pt idx="2">
                  <c:v>Europe</c:v>
                </c:pt>
                <c:pt idx="3">
                  <c:v>North America</c:v>
                </c:pt>
                <c:pt idx="4">
                  <c:v>Oceania</c:v>
                </c:pt>
                <c:pt idx="5">
                  <c:v>South America</c:v>
                </c:pt>
              </c:strCache>
            </c:strRef>
          </c:cat>
          <c:val>
            <c:numRef>
              <c:f>Sheet1!$R$31:$R$37</c:f>
              <c:numCache>
                <c:formatCode>General</c:formatCode>
                <c:ptCount val="6"/>
                <c:pt idx="3">
                  <c:v>12600</c:v>
                </c:pt>
              </c:numCache>
            </c:numRef>
          </c:val>
          <c:extLst>
            <c:ext xmlns:c16="http://schemas.microsoft.com/office/drawing/2014/chart" uri="{C3380CC4-5D6E-409C-BE32-E72D297353CC}">
              <c16:uniqueId val="{00000039-6CE9-4A65-92CA-62A1CE7C8B15}"/>
            </c:ext>
          </c:extLst>
        </c:ser>
        <c:dLbls>
          <c:showLegendKey val="0"/>
          <c:showVal val="0"/>
          <c:showCatName val="0"/>
          <c:showSerName val="0"/>
          <c:showPercent val="0"/>
          <c:showBubbleSize val="0"/>
        </c:dLbls>
        <c:gapWidth val="219"/>
        <c:shape val="box"/>
        <c:axId val="833730415"/>
        <c:axId val="833732335"/>
        <c:axId val="0"/>
      </c:bar3DChart>
      <c:catAx>
        <c:axId val="833730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32335"/>
        <c:crosses val="autoZero"/>
        <c:auto val="1"/>
        <c:lblAlgn val="ctr"/>
        <c:lblOffset val="100"/>
        <c:noMultiLvlLbl val="0"/>
      </c:catAx>
      <c:valAx>
        <c:axId val="83373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3730415"/>
        <c:crosses val="autoZero"/>
        <c:crossBetween val="between"/>
      </c:valAx>
      <c:spPr>
        <a:noFill/>
        <a:ln>
          <a:noFill/>
        </a:ln>
        <a:effectLst/>
      </c:spPr>
    </c:plotArea>
    <c:legend>
      <c:legendPos val="r"/>
      <c:layout>
        <c:manualLayout>
          <c:xMode val="edge"/>
          <c:yMode val="edge"/>
          <c:x val="0.84973891785954192"/>
          <c:y val="4.4779090113735792E-2"/>
          <c:w val="0.14814247328582611"/>
          <c:h val="0.908079615048118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Calss.xlsm]Sheet1!PivotTable3</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Sheet1!$B$14</c:f>
              <c:strCache>
                <c:ptCount val="1"/>
                <c:pt idx="0">
                  <c:v>Total</c:v>
                </c:pt>
              </c:strCache>
            </c:strRef>
          </c:tx>
          <c:spPr>
            <a:solidFill>
              <a:schemeClr val="accent1"/>
            </a:solidFill>
            <a:ln>
              <a:noFill/>
            </a:ln>
            <a:effectLst/>
          </c:spPr>
          <c:invertIfNegative val="0"/>
          <c:cat>
            <c:strRef>
              <c:f>Sheet1!$A$15:$A$21</c:f>
              <c:strCache>
                <c:ptCount val="6"/>
                <c:pt idx="0">
                  <c:v>Africa</c:v>
                </c:pt>
                <c:pt idx="1">
                  <c:v>Asia</c:v>
                </c:pt>
                <c:pt idx="2">
                  <c:v>Europe</c:v>
                </c:pt>
                <c:pt idx="3">
                  <c:v>North America</c:v>
                </c:pt>
                <c:pt idx="4">
                  <c:v>Oceania</c:v>
                </c:pt>
                <c:pt idx="5">
                  <c:v>South America</c:v>
                </c:pt>
              </c:strCache>
            </c:strRef>
          </c:cat>
          <c:val>
            <c:numRef>
              <c:f>Sheet1!$B$15:$B$21</c:f>
              <c:numCache>
                <c:formatCode>General</c:formatCode>
                <c:ptCount val="6"/>
                <c:pt idx="0">
                  <c:v>2241000</c:v>
                </c:pt>
                <c:pt idx="1">
                  <c:v>6265000</c:v>
                </c:pt>
                <c:pt idx="2">
                  <c:v>4125000</c:v>
                </c:pt>
                <c:pt idx="3">
                  <c:v>2853000</c:v>
                </c:pt>
                <c:pt idx="4">
                  <c:v>2865000</c:v>
                </c:pt>
                <c:pt idx="5">
                  <c:v>3880000</c:v>
                </c:pt>
              </c:numCache>
            </c:numRef>
          </c:val>
          <c:extLst>
            <c:ext xmlns:c16="http://schemas.microsoft.com/office/drawing/2014/chart" uri="{C3380CC4-5D6E-409C-BE32-E72D297353CC}">
              <c16:uniqueId val="{00000000-F753-4761-828A-FA01A4B56676}"/>
            </c:ext>
          </c:extLst>
        </c:ser>
        <c:dLbls>
          <c:showLegendKey val="0"/>
          <c:showVal val="0"/>
          <c:showCatName val="0"/>
          <c:showSerName val="0"/>
          <c:showPercent val="0"/>
          <c:showBubbleSize val="0"/>
        </c:dLbls>
        <c:gapWidth val="219"/>
        <c:overlap val="-27"/>
        <c:axId val="1790174415"/>
        <c:axId val="1790174895"/>
      </c:barChart>
      <c:catAx>
        <c:axId val="1790174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74895"/>
        <c:crosses val="autoZero"/>
        <c:auto val="1"/>
        <c:lblAlgn val="ctr"/>
        <c:lblOffset val="100"/>
        <c:noMultiLvlLbl val="0"/>
      </c:catAx>
      <c:valAx>
        <c:axId val="179017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1744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[Macros Calss.xlsm]Sheet1!PivotTable7</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Sheet1!$B$58:$B$59</c:f>
              <c:strCache>
                <c:ptCount val="1"/>
                <c:pt idx="0">
                  <c:v>Electronics</c:v>
                </c:pt>
              </c:strCache>
            </c:strRef>
          </c:tx>
          <c:spPr>
            <a:solidFill>
              <a:schemeClr val="accent1"/>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Sheet1!$B$60:$B$71</c:f>
              <c:numCache>
                <c:formatCode>General</c:formatCode>
                <c:ptCount val="11"/>
                <c:pt idx="3">
                  <c:v>4317500</c:v>
                </c:pt>
                <c:pt idx="7">
                  <c:v>8370000</c:v>
                </c:pt>
                <c:pt idx="8">
                  <c:v>2106000</c:v>
                </c:pt>
              </c:numCache>
            </c:numRef>
          </c:val>
          <c:extLst>
            <c:ext xmlns:c16="http://schemas.microsoft.com/office/drawing/2014/chart" uri="{C3380CC4-5D6E-409C-BE32-E72D297353CC}">
              <c16:uniqueId val="{00000000-D416-4ADA-B983-1987807333C3}"/>
            </c:ext>
          </c:extLst>
        </c:ser>
        <c:ser>
          <c:idx val="1"/>
          <c:order val="1"/>
          <c:tx>
            <c:strRef>
              <c:f>Sheet1!$C$58:$C$59</c:f>
              <c:strCache>
                <c:ptCount val="1"/>
                <c:pt idx="0">
                  <c:v>Fashion</c:v>
                </c:pt>
              </c:strCache>
            </c:strRef>
          </c:tx>
          <c:spPr>
            <a:solidFill>
              <a:schemeClr val="accent2"/>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Sheet1!$C$60:$C$71</c:f>
              <c:numCache>
                <c:formatCode>General</c:formatCode>
                <c:ptCount val="11"/>
                <c:pt idx="2">
                  <c:v>1144000</c:v>
                </c:pt>
                <c:pt idx="4">
                  <c:v>2704000</c:v>
                </c:pt>
                <c:pt idx="10">
                  <c:v>2040000</c:v>
                </c:pt>
              </c:numCache>
            </c:numRef>
          </c:val>
          <c:extLst>
            <c:ext xmlns:c16="http://schemas.microsoft.com/office/drawing/2014/chart" uri="{C3380CC4-5D6E-409C-BE32-E72D297353CC}">
              <c16:uniqueId val="{00000001-D416-4ADA-B983-1987807333C3}"/>
            </c:ext>
          </c:extLst>
        </c:ser>
        <c:ser>
          <c:idx val="2"/>
          <c:order val="2"/>
          <c:tx>
            <c:strRef>
              <c:f>Sheet1!$D$58:$D$59</c:f>
              <c:strCache>
                <c:ptCount val="1"/>
                <c:pt idx="0">
                  <c:v>Furniture</c:v>
                </c:pt>
              </c:strCache>
            </c:strRef>
          </c:tx>
          <c:spPr>
            <a:solidFill>
              <a:schemeClr val="accent3"/>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Sheet1!$D$60:$D$71</c:f>
              <c:numCache>
                <c:formatCode>General</c:formatCode>
                <c:ptCount val="11"/>
                <c:pt idx="1">
                  <c:v>2082000</c:v>
                </c:pt>
                <c:pt idx="5">
                  <c:v>1500000</c:v>
                </c:pt>
              </c:numCache>
            </c:numRef>
          </c:val>
          <c:extLst>
            <c:ext xmlns:c16="http://schemas.microsoft.com/office/drawing/2014/chart" uri="{C3380CC4-5D6E-409C-BE32-E72D297353CC}">
              <c16:uniqueId val="{00000002-D416-4ADA-B983-1987807333C3}"/>
            </c:ext>
          </c:extLst>
        </c:ser>
        <c:ser>
          <c:idx val="3"/>
          <c:order val="3"/>
          <c:tx>
            <c:strRef>
              <c:f>Sheet1!$E$58:$E$59</c:f>
              <c:strCache>
                <c:ptCount val="1"/>
                <c:pt idx="0">
                  <c:v>Home Appliances</c:v>
                </c:pt>
              </c:strCache>
            </c:strRef>
          </c:tx>
          <c:spPr>
            <a:solidFill>
              <a:schemeClr val="accent4"/>
            </a:solidFill>
            <a:ln>
              <a:noFill/>
            </a:ln>
            <a:effectLst/>
          </c:spPr>
          <c:invertIfNegative val="0"/>
          <c:cat>
            <c:strRef>
              <c:f>Sheet1!$A$60:$A$71</c:f>
              <c:strCache>
                <c:ptCount val="11"/>
                <c:pt idx="0">
                  <c:v>Air Conditioners</c:v>
                </c:pt>
                <c:pt idx="1">
                  <c:v>Beds</c:v>
                </c:pt>
                <c:pt idx="2">
                  <c:v>Footwear</c:v>
                </c:pt>
                <c:pt idx="3">
                  <c:v>Laptops</c:v>
                </c:pt>
                <c:pt idx="4">
                  <c:v>Menswear</c:v>
                </c:pt>
                <c:pt idx="5">
                  <c:v>Office Chairs</c:v>
                </c:pt>
                <c:pt idx="6">
                  <c:v>Refrigerators</c:v>
                </c:pt>
                <c:pt idx="7">
                  <c:v>Smartphones</c:v>
                </c:pt>
                <c:pt idx="8">
                  <c:v>Tablets</c:v>
                </c:pt>
                <c:pt idx="9">
                  <c:v>Washing Machines</c:v>
                </c:pt>
                <c:pt idx="10">
                  <c:v>Womenswear</c:v>
                </c:pt>
              </c:strCache>
            </c:strRef>
          </c:cat>
          <c:val>
            <c:numRef>
              <c:f>Sheet1!$E$60:$E$71</c:f>
              <c:numCache>
                <c:formatCode>General</c:formatCode>
                <c:ptCount val="11"/>
                <c:pt idx="0">
                  <c:v>990000</c:v>
                </c:pt>
                <c:pt idx="6">
                  <c:v>975000</c:v>
                </c:pt>
                <c:pt idx="9">
                  <c:v>1065000</c:v>
                </c:pt>
              </c:numCache>
            </c:numRef>
          </c:val>
          <c:extLst>
            <c:ext xmlns:c16="http://schemas.microsoft.com/office/drawing/2014/chart" uri="{C3380CC4-5D6E-409C-BE32-E72D297353CC}">
              <c16:uniqueId val="{00000003-D416-4ADA-B983-1987807333C3}"/>
            </c:ext>
          </c:extLst>
        </c:ser>
        <c:dLbls>
          <c:showLegendKey val="0"/>
          <c:showVal val="0"/>
          <c:showCatName val="0"/>
          <c:showSerName val="0"/>
          <c:showPercent val="0"/>
          <c:showBubbleSize val="0"/>
        </c:dLbls>
        <c:gapWidth val="219"/>
        <c:overlap val="100"/>
        <c:axId val="1075839279"/>
        <c:axId val="1075839759"/>
      </c:barChart>
      <c:catAx>
        <c:axId val="1075839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39759"/>
        <c:crosses val="autoZero"/>
        <c:auto val="1"/>
        <c:lblAlgn val="ctr"/>
        <c:lblOffset val="100"/>
        <c:noMultiLvlLbl val="0"/>
      </c:catAx>
      <c:valAx>
        <c:axId val="1075839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5839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17" Type="http://schemas.openxmlformats.org/officeDocument/2006/relationships/customXml" Target="../ink/ink59.xml"/><Relationship Id="rId21" Type="http://schemas.openxmlformats.org/officeDocument/2006/relationships/customXml" Target="../ink/ink11.xml"/><Relationship Id="rId42" Type="http://schemas.openxmlformats.org/officeDocument/2006/relationships/image" Target="../media/image21.png"/><Relationship Id="rId63" Type="http://schemas.openxmlformats.org/officeDocument/2006/relationships/customXml" Target="../ink/ink32.xml"/><Relationship Id="rId84" Type="http://schemas.openxmlformats.org/officeDocument/2006/relationships/image" Target="../media/image42.png"/><Relationship Id="rId138" Type="http://schemas.openxmlformats.org/officeDocument/2006/relationships/image" Target="../media/image69.png"/><Relationship Id="rId159" Type="http://schemas.openxmlformats.org/officeDocument/2006/relationships/customXml" Target="../ink/ink80.xml"/><Relationship Id="rId107" Type="http://schemas.openxmlformats.org/officeDocument/2006/relationships/customXml" Target="../ink/ink54.xml"/><Relationship Id="rId11" Type="http://schemas.openxmlformats.org/officeDocument/2006/relationships/customXml" Target="../ink/ink6.xml"/><Relationship Id="rId32" Type="http://schemas.openxmlformats.org/officeDocument/2006/relationships/image" Target="../media/image16.png"/><Relationship Id="rId53" Type="http://schemas.openxmlformats.org/officeDocument/2006/relationships/customXml" Target="../ink/ink27.xml"/><Relationship Id="rId74" Type="http://schemas.openxmlformats.org/officeDocument/2006/relationships/image" Target="../media/image37.png"/><Relationship Id="rId128" Type="http://schemas.openxmlformats.org/officeDocument/2006/relationships/image" Target="../media/image64.png"/><Relationship Id="rId149" Type="http://schemas.openxmlformats.org/officeDocument/2006/relationships/customXml" Target="../ink/ink75.xml"/><Relationship Id="rId5" Type="http://schemas.openxmlformats.org/officeDocument/2006/relationships/customXml" Target="../ink/ink3.xml"/><Relationship Id="rId95" Type="http://schemas.openxmlformats.org/officeDocument/2006/relationships/customXml" Target="../ink/ink48.xml"/><Relationship Id="rId160" Type="http://schemas.openxmlformats.org/officeDocument/2006/relationships/image" Target="../media/image80.png"/><Relationship Id="rId22" Type="http://schemas.openxmlformats.org/officeDocument/2006/relationships/image" Target="../media/image11.png"/><Relationship Id="rId43" Type="http://schemas.openxmlformats.org/officeDocument/2006/relationships/customXml" Target="../ink/ink22.xml"/><Relationship Id="rId64" Type="http://schemas.openxmlformats.org/officeDocument/2006/relationships/image" Target="../media/image32.png"/><Relationship Id="rId118" Type="http://schemas.openxmlformats.org/officeDocument/2006/relationships/image" Target="../media/image59.png"/><Relationship Id="rId139" Type="http://schemas.openxmlformats.org/officeDocument/2006/relationships/customXml" Target="../ink/ink70.xml"/><Relationship Id="rId85" Type="http://schemas.openxmlformats.org/officeDocument/2006/relationships/customXml" Target="../ink/ink43.xml"/><Relationship Id="rId150" Type="http://schemas.openxmlformats.org/officeDocument/2006/relationships/image" Target="../media/image75.png"/><Relationship Id="rId12" Type="http://schemas.openxmlformats.org/officeDocument/2006/relationships/image" Target="../media/image6.png"/><Relationship Id="rId17" Type="http://schemas.openxmlformats.org/officeDocument/2006/relationships/customXml" Target="../ink/ink9.xml"/><Relationship Id="rId33" Type="http://schemas.openxmlformats.org/officeDocument/2006/relationships/customXml" Target="../ink/ink17.xml"/><Relationship Id="rId38" Type="http://schemas.openxmlformats.org/officeDocument/2006/relationships/image" Target="../media/image19.png"/><Relationship Id="rId59" Type="http://schemas.openxmlformats.org/officeDocument/2006/relationships/customXml" Target="../ink/ink30.xml"/><Relationship Id="rId103" Type="http://schemas.openxmlformats.org/officeDocument/2006/relationships/customXml" Target="../ink/ink52.xml"/><Relationship Id="rId108" Type="http://schemas.openxmlformats.org/officeDocument/2006/relationships/image" Target="../media/image54.png"/><Relationship Id="rId124" Type="http://schemas.openxmlformats.org/officeDocument/2006/relationships/image" Target="../media/image62.png"/><Relationship Id="rId129" Type="http://schemas.openxmlformats.org/officeDocument/2006/relationships/customXml" Target="../ink/ink65.xml"/><Relationship Id="rId54" Type="http://schemas.openxmlformats.org/officeDocument/2006/relationships/image" Target="../media/image27.png"/><Relationship Id="rId70" Type="http://schemas.openxmlformats.org/officeDocument/2006/relationships/image" Target="../media/image35.png"/><Relationship Id="rId75" Type="http://schemas.openxmlformats.org/officeDocument/2006/relationships/customXml" Target="../ink/ink38.xml"/><Relationship Id="rId91" Type="http://schemas.openxmlformats.org/officeDocument/2006/relationships/customXml" Target="../ink/ink46.xml"/><Relationship Id="rId96" Type="http://schemas.openxmlformats.org/officeDocument/2006/relationships/image" Target="../media/image48.png"/><Relationship Id="rId140" Type="http://schemas.openxmlformats.org/officeDocument/2006/relationships/image" Target="../media/image70.png"/><Relationship Id="rId145" Type="http://schemas.openxmlformats.org/officeDocument/2006/relationships/customXml" Target="../ink/ink73.xml"/><Relationship Id="rId161" Type="http://schemas.openxmlformats.org/officeDocument/2006/relationships/customXml" Target="../ink/ink81.xml"/><Relationship Id="rId1" Type="http://schemas.openxmlformats.org/officeDocument/2006/relationships/customXml" Target="../ink/ink1.xml"/><Relationship Id="rId6" Type="http://schemas.openxmlformats.org/officeDocument/2006/relationships/image" Target="../media/image3.png"/><Relationship Id="rId23" Type="http://schemas.openxmlformats.org/officeDocument/2006/relationships/customXml" Target="../ink/ink12.xml"/><Relationship Id="rId28" Type="http://schemas.openxmlformats.org/officeDocument/2006/relationships/image" Target="../media/image14.png"/><Relationship Id="rId49" Type="http://schemas.openxmlformats.org/officeDocument/2006/relationships/customXml" Target="../ink/ink25.xml"/><Relationship Id="rId114" Type="http://schemas.openxmlformats.org/officeDocument/2006/relationships/image" Target="../media/image57.png"/><Relationship Id="rId119" Type="http://schemas.openxmlformats.org/officeDocument/2006/relationships/customXml" Target="../ink/ink60.xml"/><Relationship Id="rId44" Type="http://schemas.openxmlformats.org/officeDocument/2006/relationships/image" Target="../media/image22.png"/><Relationship Id="rId60" Type="http://schemas.openxmlformats.org/officeDocument/2006/relationships/image" Target="../media/image30.png"/><Relationship Id="rId65" Type="http://schemas.openxmlformats.org/officeDocument/2006/relationships/customXml" Target="../ink/ink33.xml"/><Relationship Id="rId81" Type="http://schemas.openxmlformats.org/officeDocument/2006/relationships/customXml" Target="../ink/ink41.xml"/><Relationship Id="rId86" Type="http://schemas.openxmlformats.org/officeDocument/2006/relationships/image" Target="../media/image43.png"/><Relationship Id="rId130" Type="http://schemas.openxmlformats.org/officeDocument/2006/relationships/image" Target="../media/image65.png"/><Relationship Id="rId135" Type="http://schemas.openxmlformats.org/officeDocument/2006/relationships/customXml" Target="../ink/ink68.xml"/><Relationship Id="rId151" Type="http://schemas.openxmlformats.org/officeDocument/2006/relationships/customXml" Target="../ink/ink76.xml"/><Relationship Id="rId156" Type="http://schemas.openxmlformats.org/officeDocument/2006/relationships/image" Target="../media/image78.png"/><Relationship Id="rId13" Type="http://schemas.openxmlformats.org/officeDocument/2006/relationships/customXml" Target="../ink/ink7.xml"/><Relationship Id="rId18" Type="http://schemas.openxmlformats.org/officeDocument/2006/relationships/image" Target="../media/image9.png"/><Relationship Id="rId39" Type="http://schemas.openxmlformats.org/officeDocument/2006/relationships/customXml" Target="../ink/ink20.xml"/><Relationship Id="rId109" Type="http://schemas.openxmlformats.org/officeDocument/2006/relationships/customXml" Target="../ink/ink55.xml"/><Relationship Id="rId34" Type="http://schemas.openxmlformats.org/officeDocument/2006/relationships/image" Target="../media/image17.png"/><Relationship Id="rId50" Type="http://schemas.openxmlformats.org/officeDocument/2006/relationships/image" Target="../media/image25.png"/><Relationship Id="rId55" Type="http://schemas.openxmlformats.org/officeDocument/2006/relationships/customXml" Target="../ink/ink28.xml"/><Relationship Id="rId76" Type="http://schemas.openxmlformats.org/officeDocument/2006/relationships/image" Target="../media/image38.png"/><Relationship Id="rId97" Type="http://schemas.openxmlformats.org/officeDocument/2006/relationships/customXml" Target="../ink/ink49.xml"/><Relationship Id="rId104" Type="http://schemas.openxmlformats.org/officeDocument/2006/relationships/image" Target="../media/image52.png"/><Relationship Id="rId120" Type="http://schemas.openxmlformats.org/officeDocument/2006/relationships/image" Target="../media/image60.png"/><Relationship Id="rId125" Type="http://schemas.openxmlformats.org/officeDocument/2006/relationships/customXml" Target="../ink/ink63.xml"/><Relationship Id="rId141" Type="http://schemas.openxmlformats.org/officeDocument/2006/relationships/customXml" Target="../ink/ink71.xml"/><Relationship Id="rId146" Type="http://schemas.openxmlformats.org/officeDocument/2006/relationships/image" Target="../media/image73.png"/><Relationship Id="rId7" Type="http://schemas.openxmlformats.org/officeDocument/2006/relationships/customXml" Target="../ink/ink4.xml"/><Relationship Id="rId71" Type="http://schemas.openxmlformats.org/officeDocument/2006/relationships/customXml" Target="../ink/ink36.xml"/><Relationship Id="rId92" Type="http://schemas.openxmlformats.org/officeDocument/2006/relationships/image" Target="../media/image46.png"/><Relationship Id="rId162" Type="http://schemas.openxmlformats.org/officeDocument/2006/relationships/image" Target="../media/image81.png"/><Relationship Id="rId2" Type="http://schemas.openxmlformats.org/officeDocument/2006/relationships/image" Target="../media/image1.png"/><Relationship Id="rId29" Type="http://schemas.openxmlformats.org/officeDocument/2006/relationships/customXml" Target="../ink/ink15.xml"/><Relationship Id="rId24" Type="http://schemas.openxmlformats.org/officeDocument/2006/relationships/image" Target="../media/image12.png"/><Relationship Id="rId40" Type="http://schemas.openxmlformats.org/officeDocument/2006/relationships/image" Target="../media/image20.png"/><Relationship Id="rId45" Type="http://schemas.openxmlformats.org/officeDocument/2006/relationships/customXml" Target="../ink/ink23.xml"/><Relationship Id="rId66" Type="http://schemas.openxmlformats.org/officeDocument/2006/relationships/image" Target="../media/image33.png"/><Relationship Id="rId87" Type="http://schemas.openxmlformats.org/officeDocument/2006/relationships/customXml" Target="../ink/ink44.xml"/><Relationship Id="rId110" Type="http://schemas.openxmlformats.org/officeDocument/2006/relationships/image" Target="../media/image55.png"/><Relationship Id="rId115" Type="http://schemas.openxmlformats.org/officeDocument/2006/relationships/customXml" Target="../ink/ink58.xml"/><Relationship Id="rId131" Type="http://schemas.openxmlformats.org/officeDocument/2006/relationships/customXml" Target="../ink/ink66.xml"/><Relationship Id="rId136" Type="http://schemas.openxmlformats.org/officeDocument/2006/relationships/image" Target="../media/image68.png"/><Relationship Id="rId157" Type="http://schemas.openxmlformats.org/officeDocument/2006/relationships/customXml" Target="../ink/ink79.xml"/><Relationship Id="rId61" Type="http://schemas.openxmlformats.org/officeDocument/2006/relationships/customXml" Target="../ink/ink31.xml"/><Relationship Id="rId82" Type="http://schemas.openxmlformats.org/officeDocument/2006/relationships/image" Target="../media/image41.png"/><Relationship Id="rId152" Type="http://schemas.openxmlformats.org/officeDocument/2006/relationships/image" Target="../media/image76.png"/><Relationship Id="rId19" Type="http://schemas.openxmlformats.org/officeDocument/2006/relationships/customXml" Target="../ink/ink10.xml"/><Relationship Id="rId14" Type="http://schemas.openxmlformats.org/officeDocument/2006/relationships/image" Target="../media/image7.png"/><Relationship Id="rId30" Type="http://schemas.openxmlformats.org/officeDocument/2006/relationships/image" Target="../media/image15.png"/><Relationship Id="rId35" Type="http://schemas.openxmlformats.org/officeDocument/2006/relationships/customXml" Target="../ink/ink18.xml"/><Relationship Id="rId56" Type="http://schemas.openxmlformats.org/officeDocument/2006/relationships/image" Target="../media/image28.png"/><Relationship Id="rId77" Type="http://schemas.openxmlformats.org/officeDocument/2006/relationships/customXml" Target="../ink/ink39.xml"/><Relationship Id="rId100" Type="http://schemas.openxmlformats.org/officeDocument/2006/relationships/image" Target="../media/image50.png"/><Relationship Id="rId105" Type="http://schemas.openxmlformats.org/officeDocument/2006/relationships/customXml" Target="../ink/ink53.xml"/><Relationship Id="rId126" Type="http://schemas.openxmlformats.org/officeDocument/2006/relationships/image" Target="../media/image63.png"/><Relationship Id="rId147" Type="http://schemas.openxmlformats.org/officeDocument/2006/relationships/customXml" Target="../ink/ink74.xml"/><Relationship Id="rId8" Type="http://schemas.openxmlformats.org/officeDocument/2006/relationships/image" Target="../media/image4.png"/><Relationship Id="rId51" Type="http://schemas.openxmlformats.org/officeDocument/2006/relationships/customXml" Target="../ink/ink26.xml"/><Relationship Id="rId72" Type="http://schemas.openxmlformats.org/officeDocument/2006/relationships/image" Target="../media/image36.png"/><Relationship Id="rId93" Type="http://schemas.openxmlformats.org/officeDocument/2006/relationships/customXml" Target="../ink/ink47.xml"/><Relationship Id="rId98" Type="http://schemas.openxmlformats.org/officeDocument/2006/relationships/image" Target="../media/image49.png"/><Relationship Id="rId121" Type="http://schemas.openxmlformats.org/officeDocument/2006/relationships/customXml" Target="../ink/ink61.xml"/><Relationship Id="rId142" Type="http://schemas.openxmlformats.org/officeDocument/2006/relationships/image" Target="../media/image71.png"/><Relationship Id="rId163" Type="http://schemas.openxmlformats.org/officeDocument/2006/relationships/customXml" Target="../ink/ink82.xml"/><Relationship Id="rId3" Type="http://schemas.openxmlformats.org/officeDocument/2006/relationships/customXml" Target="../ink/ink2.xml"/><Relationship Id="rId25" Type="http://schemas.openxmlformats.org/officeDocument/2006/relationships/customXml" Target="../ink/ink13.xml"/><Relationship Id="rId46" Type="http://schemas.openxmlformats.org/officeDocument/2006/relationships/image" Target="../media/image23.png"/><Relationship Id="rId67" Type="http://schemas.openxmlformats.org/officeDocument/2006/relationships/customXml" Target="../ink/ink34.xml"/><Relationship Id="rId116" Type="http://schemas.openxmlformats.org/officeDocument/2006/relationships/image" Target="../media/image58.png"/><Relationship Id="rId137" Type="http://schemas.openxmlformats.org/officeDocument/2006/relationships/customXml" Target="../ink/ink69.xml"/><Relationship Id="rId158" Type="http://schemas.openxmlformats.org/officeDocument/2006/relationships/image" Target="../media/image79.png"/><Relationship Id="rId20" Type="http://schemas.openxmlformats.org/officeDocument/2006/relationships/image" Target="../media/image10.png"/><Relationship Id="rId41" Type="http://schemas.openxmlformats.org/officeDocument/2006/relationships/customXml" Target="../ink/ink21.xml"/><Relationship Id="rId62" Type="http://schemas.openxmlformats.org/officeDocument/2006/relationships/image" Target="../media/image31.png"/><Relationship Id="rId83" Type="http://schemas.openxmlformats.org/officeDocument/2006/relationships/customXml" Target="../ink/ink42.xml"/><Relationship Id="rId88" Type="http://schemas.openxmlformats.org/officeDocument/2006/relationships/image" Target="../media/image44.png"/><Relationship Id="rId111" Type="http://schemas.openxmlformats.org/officeDocument/2006/relationships/customXml" Target="../ink/ink56.xml"/><Relationship Id="rId132" Type="http://schemas.openxmlformats.org/officeDocument/2006/relationships/image" Target="../media/image66.png"/><Relationship Id="rId153" Type="http://schemas.openxmlformats.org/officeDocument/2006/relationships/customXml" Target="../ink/ink77.xml"/><Relationship Id="rId15" Type="http://schemas.openxmlformats.org/officeDocument/2006/relationships/customXml" Target="../ink/ink8.xml"/><Relationship Id="rId36" Type="http://schemas.openxmlformats.org/officeDocument/2006/relationships/image" Target="../media/image18.png"/><Relationship Id="rId57" Type="http://schemas.openxmlformats.org/officeDocument/2006/relationships/customXml" Target="../ink/ink29.xml"/><Relationship Id="rId106" Type="http://schemas.openxmlformats.org/officeDocument/2006/relationships/image" Target="../media/image53.png"/><Relationship Id="rId127" Type="http://schemas.openxmlformats.org/officeDocument/2006/relationships/customXml" Target="../ink/ink64.xml"/><Relationship Id="rId10" Type="http://schemas.openxmlformats.org/officeDocument/2006/relationships/image" Target="../media/image5.png"/><Relationship Id="rId31" Type="http://schemas.openxmlformats.org/officeDocument/2006/relationships/customXml" Target="../ink/ink16.xml"/><Relationship Id="rId52" Type="http://schemas.openxmlformats.org/officeDocument/2006/relationships/image" Target="../media/image26.png"/><Relationship Id="rId73" Type="http://schemas.openxmlformats.org/officeDocument/2006/relationships/customXml" Target="../ink/ink37.xml"/><Relationship Id="rId78" Type="http://schemas.openxmlformats.org/officeDocument/2006/relationships/image" Target="../media/image39.png"/><Relationship Id="rId94" Type="http://schemas.openxmlformats.org/officeDocument/2006/relationships/image" Target="../media/image47.png"/><Relationship Id="rId99" Type="http://schemas.openxmlformats.org/officeDocument/2006/relationships/customXml" Target="../ink/ink50.xml"/><Relationship Id="rId101" Type="http://schemas.openxmlformats.org/officeDocument/2006/relationships/customXml" Target="../ink/ink51.xml"/><Relationship Id="rId122" Type="http://schemas.openxmlformats.org/officeDocument/2006/relationships/image" Target="../media/image61.png"/><Relationship Id="rId143" Type="http://schemas.openxmlformats.org/officeDocument/2006/relationships/customXml" Target="../ink/ink72.xml"/><Relationship Id="rId148" Type="http://schemas.openxmlformats.org/officeDocument/2006/relationships/image" Target="../media/image74.png"/><Relationship Id="rId164" Type="http://schemas.openxmlformats.org/officeDocument/2006/relationships/image" Target="../media/image82.png"/><Relationship Id="rId4" Type="http://schemas.openxmlformats.org/officeDocument/2006/relationships/image" Target="../media/image2.png"/><Relationship Id="rId9" Type="http://schemas.openxmlformats.org/officeDocument/2006/relationships/customXml" Target="../ink/ink5.xml"/><Relationship Id="rId26" Type="http://schemas.openxmlformats.org/officeDocument/2006/relationships/image" Target="../media/image13.png"/><Relationship Id="rId47" Type="http://schemas.openxmlformats.org/officeDocument/2006/relationships/customXml" Target="../ink/ink24.xml"/><Relationship Id="rId68" Type="http://schemas.openxmlformats.org/officeDocument/2006/relationships/image" Target="../media/image34.png"/><Relationship Id="rId89" Type="http://schemas.openxmlformats.org/officeDocument/2006/relationships/customXml" Target="../ink/ink45.xml"/><Relationship Id="rId112" Type="http://schemas.openxmlformats.org/officeDocument/2006/relationships/image" Target="../media/image56.png"/><Relationship Id="rId133" Type="http://schemas.openxmlformats.org/officeDocument/2006/relationships/customXml" Target="../ink/ink67.xml"/><Relationship Id="rId154" Type="http://schemas.openxmlformats.org/officeDocument/2006/relationships/image" Target="../media/image77.png"/><Relationship Id="rId16" Type="http://schemas.openxmlformats.org/officeDocument/2006/relationships/image" Target="../media/image8.png"/><Relationship Id="rId37" Type="http://schemas.openxmlformats.org/officeDocument/2006/relationships/customXml" Target="../ink/ink19.xml"/><Relationship Id="rId58" Type="http://schemas.openxmlformats.org/officeDocument/2006/relationships/image" Target="../media/image29.png"/><Relationship Id="rId79" Type="http://schemas.openxmlformats.org/officeDocument/2006/relationships/customXml" Target="../ink/ink40.xml"/><Relationship Id="rId102" Type="http://schemas.openxmlformats.org/officeDocument/2006/relationships/image" Target="../media/image51.png"/><Relationship Id="rId123" Type="http://schemas.openxmlformats.org/officeDocument/2006/relationships/customXml" Target="../ink/ink62.xml"/><Relationship Id="rId144" Type="http://schemas.openxmlformats.org/officeDocument/2006/relationships/image" Target="../media/image72.png"/><Relationship Id="rId90" Type="http://schemas.openxmlformats.org/officeDocument/2006/relationships/image" Target="../media/image45.png"/><Relationship Id="rId27" Type="http://schemas.openxmlformats.org/officeDocument/2006/relationships/customXml" Target="../ink/ink14.xml"/><Relationship Id="rId48" Type="http://schemas.openxmlformats.org/officeDocument/2006/relationships/image" Target="../media/image24.png"/><Relationship Id="rId69" Type="http://schemas.openxmlformats.org/officeDocument/2006/relationships/customXml" Target="../ink/ink35.xml"/><Relationship Id="rId113" Type="http://schemas.openxmlformats.org/officeDocument/2006/relationships/customXml" Target="../ink/ink57.xml"/><Relationship Id="rId134" Type="http://schemas.openxmlformats.org/officeDocument/2006/relationships/image" Target="../media/image67.png"/><Relationship Id="rId80" Type="http://schemas.openxmlformats.org/officeDocument/2006/relationships/image" Target="../media/image40.png"/><Relationship Id="rId155" Type="http://schemas.openxmlformats.org/officeDocument/2006/relationships/customXml" Target="../ink/ink78.xml"/></Relationships>
</file>

<file path=xl/drawings/_rels/drawing2.xml.rels><?xml version="1.0" encoding="UTF-8" standalone="yes"?>
<Relationships xmlns="http://schemas.openxmlformats.org/package/2006/relationships"><Relationship Id="rId8" Type="http://schemas.openxmlformats.org/officeDocument/2006/relationships/image" Target="../media/image86.png"/><Relationship Id="rId3" Type="http://schemas.openxmlformats.org/officeDocument/2006/relationships/customXml" Target="../ink/ink84.xml"/><Relationship Id="rId7" Type="http://schemas.openxmlformats.org/officeDocument/2006/relationships/customXml" Target="../ink/ink86.xml"/><Relationship Id="rId2" Type="http://schemas.openxmlformats.org/officeDocument/2006/relationships/image" Target="../media/image83.png"/><Relationship Id="rId1" Type="http://schemas.openxmlformats.org/officeDocument/2006/relationships/customXml" Target="../ink/ink83.xml"/><Relationship Id="rId6" Type="http://schemas.openxmlformats.org/officeDocument/2006/relationships/image" Target="../media/image85.png"/><Relationship Id="rId5" Type="http://schemas.openxmlformats.org/officeDocument/2006/relationships/customXml" Target="../ink/ink85.xml"/><Relationship Id="rId4" Type="http://schemas.openxmlformats.org/officeDocument/2006/relationships/image" Target="../media/image84.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image" Target="../media/image1.jpeg"/><Relationship Id="rId4"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1</xdr:col>
      <xdr:colOff>177720</xdr:colOff>
      <xdr:row>0</xdr:row>
      <xdr:rowOff>137160</xdr:rowOff>
    </xdr:from>
    <xdr:to>
      <xdr:col>2</xdr:col>
      <xdr:colOff>460200</xdr:colOff>
      <xdr:row>2</xdr:row>
      <xdr:rowOff>97560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9" name="Ink 8">
              <a:extLst>
                <a:ext uri="{FF2B5EF4-FFF2-40B4-BE49-F238E27FC236}">
                  <a16:creationId xmlns:a16="http://schemas.microsoft.com/office/drawing/2014/main" id="{BD22DBB5-8FCD-E0F0-64D6-E2CAB57DF4FE}"/>
                </a:ext>
              </a:extLst>
            </xdr14:cNvPr>
            <xdr14:cNvContentPartPr/>
          </xdr14:nvContentPartPr>
          <xdr14:nvPr macro=""/>
          <xdr14:xfrm>
            <a:off x="787320" y="137160"/>
            <a:ext cx="892080" cy="326160"/>
          </xdr14:xfrm>
        </xdr:contentPart>
      </mc:Choice>
      <mc:Fallback xmlns="">
        <xdr:pic>
          <xdr:nvPicPr>
            <xdr:cNvPr id="9" name="Ink 8">
              <a:extLst>
                <a:ext uri="{FF2B5EF4-FFF2-40B4-BE49-F238E27FC236}">
                  <a16:creationId xmlns:a16="http://schemas.microsoft.com/office/drawing/2014/main" id="{BD22DBB5-8FCD-E0F0-64D6-E2CAB57DF4FE}"/>
                </a:ext>
              </a:extLst>
            </xdr:cNvPr>
            <xdr:cNvPicPr/>
          </xdr:nvPicPr>
          <xdr:blipFill>
            <a:blip xmlns:r="http://schemas.openxmlformats.org/officeDocument/2006/relationships" r:embed="rId2"/>
            <a:stretch>
              <a:fillRect/>
            </a:stretch>
          </xdr:blipFill>
          <xdr:spPr>
            <a:xfrm>
              <a:off x="781200" y="131040"/>
              <a:ext cx="904320" cy="338400"/>
            </a:xfrm>
            <a:prstGeom prst="rect">
              <a:avLst/>
            </a:prstGeom>
          </xdr:spPr>
        </xdr:pic>
      </mc:Fallback>
    </mc:AlternateContent>
    <xdr:clientData/>
  </xdr:twoCellAnchor>
  <xdr:twoCellAnchor editAs="oneCell">
    <xdr:from>
      <xdr:col>3</xdr:col>
      <xdr:colOff>55800</xdr:colOff>
      <xdr:row>0</xdr:row>
      <xdr:rowOff>73440</xdr:rowOff>
    </xdr:from>
    <xdr:to>
      <xdr:col>7</xdr:col>
      <xdr:colOff>384720</xdr:colOff>
      <xdr:row>2</xdr:row>
      <xdr:rowOff>95400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18" name="Ink 17">
              <a:extLst>
                <a:ext uri="{FF2B5EF4-FFF2-40B4-BE49-F238E27FC236}">
                  <a16:creationId xmlns:a16="http://schemas.microsoft.com/office/drawing/2014/main" id="{FE05ECEE-299D-525D-1325-A765A31FD553}"/>
                </a:ext>
              </a:extLst>
            </xdr14:cNvPr>
            <xdr14:cNvContentPartPr/>
          </xdr14:nvContentPartPr>
          <xdr14:nvPr macro=""/>
          <xdr14:xfrm>
            <a:off x="1884600" y="73440"/>
            <a:ext cx="2767320" cy="387720"/>
          </xdr14:xfrm>
        </xdr:contentPart>
      </mc:Choice>
      <mc:Fallback xmlns="">
        <xdr:pic>
          <xdr:nvPicPr>
            <xdr:cNvPr id="18" name="Ink 17">
              <a:extLst>
                <a:ext uri="{FF2B5EF4-FFF2-40B4-BE49-F238E27FC236}">
                  <a16:creationId xmlns:a16="http://schemas.microsoft.com/office/drawing/2014/main" id="{FE05ECEE-299D-525D-1325-A765A31FD553}"/>
                </a:ext>
              </a:extLst>
            </xdr:cNvPr>
            <xdr:cNvPicPr/>
          </xdr:nvPicPr>
          <xdr:blipFill>
            <a:blip xmlns:r="http://schemas.openxmlformats.org/officeDocument/2006/relationships" r:embed="rId4"/>
            <a:stretch>
              <a:fillRect/>
            </a:stretch>
          </xdr:blipFill>
          <xdr:spPr>
            <a:xfrm>
              <a:off x="1875600" y="64800"/>
              <a:ext cx="2784960" cy="405360"/>
            </a:xfrm>
            <a:prstGeom prst="rect">
              <a:avLst/>
            </a:prstGeom>
          </xdr:spPr>
        </xdr:pic>
      </mc:Fallback>
    </mc:AlternateContent>
    <xdr:clientData/>
  </xdr:twoCellAnchor>
  <xdr:twoCellAnchor editAs="oneCell">
    <xdr:from>
      <xdr:col>3</xdr:col>
      <xdr:colOff>235080</xdr:colOff>
      <xdr:row>1</xdr:row>
      <xdr:rowOff>71640</xdr:rowOff>
    </xdr:from>
    <xdr:to>
      <xdr:col>18</xdr:col>
      <xdr:colOff>289440</xdr:colOff>
      <xdr:row>4</xdr:row>
      <xdr:rowOff>75960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47" name="Ink 46">
              <a:extLst>
                <a:ext uri="{FF2B5EF4-FFF2-40B4-BE49-F238E27FC236}">
                  <a16:creationId xmlns:a16="http://schemas.microsoft.com/office/drawing/2014/main" id="{95288AC4-D136-FF12-A776-127128AFC51F}"/>
                </a:ext>
              </a:extLst>
            </xdr14:cNvPr>
            <xdr14:cNvContentPartPr/>
          </xdr14:nvContentPartPr>
          <xdr14:nvPr macro=""/>
          <xdr14:xfrm>
            <a:off x="2063880" y="254520"/>
            <a:ext cx="9198360" cy="552960"/>
          </xdr14:xfrm>
        </xdr:contentPart>
      </mc:Choice>
      <mc:Fallback xmlns="">
        <xdr:pic>
          <xdr:nvPicPr>
            <xdr:cNvPr id="47" name="Ink 46">
              <a:extLst>
                <a:ext uri="{FF2B5EF4-FFF2-40B4-BE49-F238E27FC236}">
                  <a16:creationId xmlns:a16="http://schemas.microsoft.com/office/drawing/2014/main" id="{95288AC4-D136-FF12-A776-127128AFC51F}"/>
                </a:ext>
              </a:extLst>
            </xdr:cNvPr>
            <xdr:cNvPicPr/>
          </xdr:nvPicPr>
          <xdr:blipFill>
            <a:blip xmlns:r="http://schemas.openxmlformats.org/officeDocument/2006/relationships" r:embed="rId6"/>
            <a:stretch>
              <a:fillRect/>
            </a:stretch>
          </xdr:blipFill>
          <xdr:spPr>
            <a:xfrm>
              <a:off x="2055240" y="245880"/>
              <a:ext cx="9216001" cy="570600"/>
            </a:xfrm>
            <a:prstGeom prst="rect">
              <a:avLst/>
            </a:prstGeom>
          </xdr:spPr>
        </xdr:pic>
      </mc:Fallback>
    </mc:AlternateContent>
    <xdr:clientData/>
  </xdr:twoCellAnchor>
  <xdr:twoCellAnchor editAs="oneCell">
    <xdr:from>
      <xdr:col>3</xdr:col>
      <xdr:colOff>325440</xdr:colOff>
      <xdr:row>5</xdr:row>
      <xdr:rowOff>166320</xdr:rowOff>
    </xdr:from>
    <xdr:to>
      <xdr:col>18</xdr:col>
      <xdr:colOff>351000</xdr:colOff>
      <xdr:row>8</xdr:row>
      <xdr:rowOff>34920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79" name="Ink 78">
              <a:extLst>
                <a:ext uri="{FF2B5EF4-FFF2-40B4-BE49-F238E27FC236}">
                  <a16:creationId xmlns:a16="http://schemas.microsoft.com/office/drawing/2014/main" id="{4952CB43-D644-F474-CCB9-B25D8F8B6357}"/>
                </a:ext>
              </a:extLst>
            </xdr14:cNvPr>
            <xdr14:cNvContentPartPr/>
          </xdr14:nvContentPartPr>
          <xdr14:nvPr macro=""/>
          <xdr14:xfrm>
            <a:off x="2154240" y="1080720"/>
            <a:ext cx="9169560" cy="417240"/>
          </xdr14:xfrm>
        </xdr:contentPart>
      </mc:Choice>
      <mc:Fallback xmlns="">
        <xdr:pic>
          <xdr:nvPicPr>
            <xdr:cNvPr id="79" name="Ink 78">
              <a:extLst>
                <a:ext uri="{FF2B5EF4-FFF2-40B4-BE49-F238E27FC236}">
                  <a16:creationId xmlns:a16="http://schemas.microsoft.com/office/drawing/2014/main" id="{4952CB43-D644-F474-CCB9-B25D8F8B6357}"/>
                </a:ext>
              </a:extLst>
            </xdr:cNvPr>
            <xdr:cNvPicPr/>
          </xdr:nvPicPr>
          <xdr:blipFill>
            <a:blip xmlns:r="http://schemas.openxmlformats.org/officeDocument/2006/relationships" r:embed="rId8"/>
            <a:stretch>
              <a:fillRect/>
            </a:stretch>
          </xdr:blipFill>
          <xdr:spPr>
            <a:xfrm>
              <a:off x="2145240" y="1072073"/>
              <a:ext cx="9187200" cy="434895"/>
            </a:xfrm>
            <a:prstGeom prst="rect">
              <a:avLst/>
            </a:prstGeom>
          </xdr:spPr>
        </xdr:pic>
      </mc:Fallback>
    </mc:AlternateContent>
    <xdr:clientData/>
  </xdr:twoCellAnchor>
  <xdr:twoCellAnchor editAs="oneCell">
    <xdr:from>
      <xdr:col>4</xdr:col>
      <xdr:colOff>208320</xdr:colOff>
      <xdr:row>8</xdr:row>
      <xdr:rowOff>179640</xdr:rowOff>
    </xdr:from>
    <xdr:to>
      <xdr:col>5</xdr:col>
      <xdr:colOff>492240</xdr:colOff>
      <xdr:row>10</xdr:row>
      <xdr:rowOff>55440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84" name="Ink 83">
              <a:extLst>
                <a:ext uri="{FF2B5EF4-FFF2-40B4-BE49-F238E27FC236}">
                  <a16:creationId xmlns:a16="http://schemas.microsoft.com/office/drawing/2014/main" id="{C4E397FD-B04A-7D34-A51D-3A4A74514EF5}"/>
                </a:ext>
              </a:extLst>
            </xdr14:cNvPr>
            <xdr14:cNvContentPartPr/>
          </xdr14:nvContentPartPr>
          <xdr14:nvPr macro=""/>
          <xdr14:xfrm>
            <a:off x="2646720" y="1642680"/>
            <a:ext cx="893520" cy="241560"/>
          </xdr14:xfrm>
        </xdr:contentPart>
      </mc:Choice>
      <mc:Fallback xmlns="">
        <xdr:pic>
          <xdr:nvPicPr>
            <xdr:cNvPr id="84" name="Ink 83">
              <a:extLst>
                <a:ext uri="{FF2B5EF4-FFF2-40B4-BE49-F238E27FC236}">
                  <a16:creationId xmlns:a16="http://schemas.microsoft.com/office/drawing/2014/main" id="{C4E397FD-B04A-7D34-A51D-3A4A74514EF5}"/>
                </a:ext>
              </a:extLst>
            </xdr:cNvPr>
            <xdr:cNvPicPr/>
          </xdr:nvPicPr>
          <xdr:blipFill>
            <a:blip xmlns:r="http://schemas.openxmlformats.org/officeDocument/2006/relationships" r:embed="rId10"/>
            <a:stretch>
              <a:fillRect/>
            </a:stretch>
          </xdr:blipFill>
          <xdr:spPr>
            <a:xfrm>
              <a:off x="2638080" y="1634040"/>
              <a:ext cx="911160" cy="259200"/>
            </a:xfrm>
            <a:prstGeom prst="rect">
              <a:avLst/>
            </a:prstGeom>
          </xdr:spPr>
        </xdr:pic>
      </mc:Fallback>
    </mc:AlternateContent>
    <xdr:clientData/>
  </xdr:twoCellAnchor>
  <xdr:twoCellAnchor editAs="oneCell">
    <xdr:from>
      <xdr:col>6</xdr:col>
      <xdr:colOff>304920</xdr:colOff>
      <xdr:row>10</xdr:row>
      <xdr:rowOff>21240</xdr:rowOff>
    </xdr:from>
    <xdr:to>
      <xdr:col>6</xdr:col>
      <xdr:colOff>305280</xdr:colOff>
      <xdr:row>10</xdr:row>
      <xdr:rowOff>21600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85" name="Ink 84">
              <a:extLst>
                <a:ext uri="{FF2B5EF4-FFF2-40B4-BE49-F238E27FC236}">
                  <a16:creationId xmlns:a16="http://schemas.microsoft.com/office/drawing/2014/main" id="{6DBA1533-B814-CE75-B2C4-CF136DCB485B}"/>
                </a:ext>
              </a:extLst>
            </xdr14:cNvPr>
            <xdr14:cNvContentPartPr/>
          </xdr14:nvContentPartPr>
          <xdr14:nvPr macro=""/>
          <xdr14:xfrm>
            <a:off x="3962520" y="1850040"/>
            <a:ext cx="360" cy="360"/>
          </xdr14:xfrm>
        </xdr:contentPart>
      </mc:Choice>
      <mc:Fallback xmlns="">
        <xdr:pic>
          <xdr:nvPicPr>
            <xdr:cNvPr id="85" name="Ink 84">
              <a:extLst>
                <a:ext uri="{FF2B5EF4-FFF2-40B4-BE49-F238E27FC236}">
                  <a16:creationId xmlns:a16="http://schemas.microsoft.com/office/drawing/2014/main" id="{6DBA1533-B814-CE75-B2C4-CF136DCB485B}"/>
                </a:ext>
              </a:extLst>
            </xdr:cNvPr>
            <xdr:cNvPicPr/>
          </xdr:nvPicPr>
          <xdr:blipFill>
            <a:blip xmlns:r="http://schemas.openxmlformats.org/officeDocument/2006/relationships" r:embed="rId12"/>
            <a:stretch>
              <a:fillRect/>
            </a:stretch>
          </xdr:blipFill>
          <xdr:spPr>
            <a:xfrm>
              <a:off x="3953880" y="1841040"/>
              <a:ext cx="18000" cy="18000"/>
            </a:xfrm>
            <a:prstGeom prst="rect">
              <a:avLst/>
            </a:prstGeom>
          </xdr:spPr>
        </xdr:pic>
      </mc:Fallback>
    </mc:AlternateContent>
    <xdr:clientData/>
  </xdr:twoCellAnchor>
  <xdr:twoCellAnchor editAs="oneCell">
    <xdr:from>
      <xdr:col>6</xdr:col>
      <xdr:colOff>235080</xdr:colOff>
      <xdr:row>12</xdr:row>
      <xdr:rowOff>163440</xdr:rowOff>
    </xdr:from>
    <xdr:to>
      <xdr:col>6</xdr:col>
      <xdr:colOff>249840</xdr:colOff>
      <xdr:row>12</xdr:row>
      <xdr:rowOff>180720</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86" name="Ink 85">
              <a:extLst>
                <a:ext uri="{FF2B5EF4-FFF2-40B4-BE49-F238E27FC236}">
                  <a16:creationId xmlns:a16="http://schemas.microsoft.com/office/drawing/2014/main" id="{6EB1D863-58F5-3880-63FC-90D14E6A8CF4}"/>
                </a:ext>
              </a:extLst>
            </xdr14:cNvPr>
            <xdr14:cNvContentPartPr/>
          </xdr14:nvContentPartPr>
          <xdr14:nvPr macro=""/>
          <xdr14:xfrm>
            <a:off x="3892680" y="2358000"/>
            <a:ext cx="14760" cy="17280"/>
          </xdr14:xfrm>
        </xdr:contentPart>
      </mc:Choice>
      <mc:Fallback xmlns="">
        <xdr:pic>
          <xdr:nvPicPr>
            <xdr:cNvPr id="86" name="Ink 85">
              <a:extLst>
                <a:ext uri="{FF2B5EF4-FFF2-40B4-BE49-F238E27FC236}">
                  <a16:creationId xmlns:a16="http://schemas.microsoft.com/office/drawing/2014/main" id="{6EB1D863-58F5-3880-63FC-90D14E6A8CF4}"/>
                </a:ext>
              </a:extLst>
            </xdr:cNvPr>
            <xdr:cNvPicPr/>
          </xdr:nvPicPr>
          <xdr:blipFill>
            <a:blip xmlns:r="http://schemas.openxmlformats.org/officeDocument/2006/relationships" r:embed="rId14"/>
            <a:stretch>
              <a:fillRect/>
            </a:stretch>
          </xdr:blipFill>
          <xdr:spPr>
            <a:xfrm>
              <a:off x="3884040" y="2349000"/>
              <a:ext cx="32400" cy="34920"/>
            </a:xfrm>
            <a:prstGeom prst="rect">
              <a:avLst/>
            </a:prstGeom>
          </xdr:spPr>
        </xdr:pic>
      </mc:Fallback>
    </mc:AlternateContent>
    <xdr:clientData/>
  </xdr:twoCellAnchor>
  <xdr:twoCellAnchor editAs="oneCell">
    <xdr:from>
      <xdr:col>2</xdr:col>
      <xdr:colOff>337440</xdr:colOff>
      <xdr:row>7</xdr:row>
      <xdr:rowOff>96480</xdr:rowOff>
    </xdr:from>
    <xdr:to>
      <xdr:col>2</xdr:col>
      <xdr:colOff>392160</xdr:colOff>
      <xdr:row>8</xdr:row>
      <xdr:rowOff>61560</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87" name="Ink 86">
              <a:extLst>
                <a:ext uri="{FF2B5EF4-FFF2-40B4-BE49-F238E27FC236}">
                  <a16:creationId xmlns:a16="http://schemas.microsoft.com/office/drawing/2014/main" id="{8D61B956-3615-A086-4449-5C9118DD6EF9}"/>
                </a:ext>
              </a:extLst>
            </xdr14:cNvPr>
            <xdr14:cNvContentPartPr/>
          </xdr14:nvContentPartPr>
          <xdr14:nvPr macro=""/>
          <xdr14:xfrm>
            <a:off x="1556640" y="1376640"/>
            <a:ext cx="54720" cy="147960"/>
          </xdr14:xfrm>
        </xdr:contentPart>
      </mc:Choice>
      <mc:Fallback xmlns="">
        <xdr:pic>
          <xdr:nvPicPr>
            <xdr:cNvPr id="87" name="Ink 86">
              <a:extLst>
                <a:ext uri="{FF2B5EF4-FFF2-40B4-BE49-F238E27FC236}">
                  <a16:creationId xmlns:a16="http://schemas.microsoft.com/office/drawing/2014/main" id="{8D61B956-3615-A086-4449-5C9118DD6EF9}"/>
                </a:ext>
              </a:extLst>
            </xdr:cNvPr>
            <xdr:cNvPicPr/>
          </xdr:nvPicPr>
          <xdr:blipFill>
            <a:blip xmlns:r="http://schemas.openxmlformats.org/officeDocument/2006/relationships" r:embed="rId16"/>
            <a:stretch>
              <a:fillRect/>
            </a:stretch>
          </xdr:blipFill>
          <xdr:spPr>
            <a:xfrm>
              <a:off x="1548000" y="1367640"/>
              <a:ext cx="72360" cy="165600"/>
            </a:xfrm>
            <a:prstGeom prst="rect">
              <a:avLst/>
            </a:prstGeom>
          </xdr:spPr>
        </xdr:pic>
      </mc:Fallback>
    </mc:AlternateContent>
    <xdr:clientData/>
  </xdr:twoCellAnchor>
  <xdr:twoCellAnchor editAs="oneCell">
    <xdr:from>
      <xdr:col>7</xdr:col>
      <xdr:colOff>187080</xdr:colOff>
      <xdr:row>10</xdr:row>
      <xdr:rowOff>119160</xdr:rowOff>
    </xdr:from>
    <xdr:to>
      <xdr:col>12</xdr:col>
      <xdr:colOff>17280</xdr:colOff>
      <xdr:row>15</xdr:row>
      <xdr:rowOff>3600</xdr:rowOff>
    </xdr:to>
    <mc:AlternateContent xmlns:mc="http://schemas.openxmlformats.org/markup-compatibility/2006" xmlns:xdr14="http://schemas.microsoft.com/office/excel/2010/spreadsheetDrawing">
      <mc:Choice Requires="xdr14">
        <xdr:contentPart xmlns:r="http://schemas.openxmlformats.org/officeDocument/2006/relationships" r:id="rId17">
          <xdr14:nvContentPartPr>
            <xdr14:cNvPr id="100" name="Ink 99">
              <a:extLst>
                <a:ext uri="{FF2B5EF4-FFF2-40B4-BE49-F238E27FC236}">
                  <a16:creationId xmlns:a16="http://schemas.microsoft.com/office/drawing/2014/main" id="{5C947401-A860-DBB9-B77A-B5378BEB2EE5}"/>
                </a:ext>
              </a:extLst>
            </xdr14:cNvPr>
            <xdr14:cNvContentPartPr/>
          </xdr14:nvContentPartPr>
          <xdr14:nvPr macro=""/>
          <xdr14:xfrm>
            <a:off x="4454280" y="1947960"/>
            <a:ext cx="2878200" cy="798840"/>
          </xdr14:xfrm>
        </xdr:contentPart>
      </mc:Choice>
      <mc:Fallback xmlns="">
        <xdr:pic>
          <xdr:nvPicPr>
            <xdr:cNvPr id="100" name="Ink 99">
              <a:extLst>
                <a:ext uri="{FF2B5EF4-FFF2-40B4-BE49-F238E27FC236}">
                  <a16:creationId xmlns:a16="http://schemas.microsoft.com/office/drawing/2014/main" id="{5C947401-A860-DBB9-B77A-B5378BEB2EE5}"/>
                </a:ext>
              </a:extLst>
            </xdr:cNvPr>
            <xdr:cNvPicPr/>
          </xdr:nvPicPr>
          <xdr:blipFill>
            <a:blip xmlns:r="http://schemas.openxmlformats.org/officeDocument/2006/relationships" r:embed="rId18"/>
            <a:stretch>
              <a:fillRect/>
            </a:stretch>
          </xdr:blipFill>
          <xdr:spPr>
            <a:xfrm>
              <a:off x="4448160" y="1941840"/>
              <a:ext cx="2890440" cy="811080"/>
            </a:xfrm>
            <a:prstGeom prst="rect">
              <a:avLst/>
            </a:prstGeom>
          </xdr:spPr>
        </xdr:pic>
      </mc:Fallback>
    </mc:AlternateContent>
    <xdr:clientData/>
  </xdr:twoCellAnchor>
  <xdr:twoCellAnchor editAs="oneCell">
    <xdr:from>
      <xdr:col>0</xdr:col>
      <xdr:colOff>-6840</xdr:colOff>
      <xdr:row>17</xdr:row>
      <xdr:rowOff>169920</xdr:rowOff>
    </xdr:from>
    <xdr:to>
      <xdr:col>23</xdr:col>
      <xdr:colOff>157800</xdr:colOff>
      <xdr:row>18</xdr:row>
      <xdr:rowOff>135720</xdr:rowOff>
    </xdr:to>
    <mc:AlternateContent xmlns:mc="http://schemas.openxmlformats.org/markup-compatibility/2006" xmlns:xdr14="http://schemas.microsoft.com/office/excel/2010/spreadsheetDrawing">
      <mc:Choice Requires="xdr14">
        <xdr:contentPart xmlns:r="http://schemas.openxmlformats.org/officeDocument/2006/relationships" r:id="rId19">
          <xdr14:nvContentPartPr>
            <xdr14:cNvPr id="101" name="Ink 100">
              <a:extLst>
                <a:ext uri="{FF2B5EF4-FFF2-40B4-BE49-F238E27FC236}">
                  <a16:creationId xmlns:a16="http://schemas.microsoft.com/office/drawing/2014/main" id="{CD842D2D-898A-2EB6-C0BB-770DDC308DDA}"/>
                </a:ext>
              </a:extLst>
            </xdr14:cNvPr>
            <xdr14:cNvContentPartPr/>
          </xdr14:nvContentPartPr>
          <xdr14:nvPr macro=""/>
          <xdr14:xfrm>
            <a:off x="-6840" y="3278880"/>
            <a:ext cx="14185440" cy="148680"/>
          </xdr14:xfrm>
        </xdr:contentPart>
      </mc:Choice>
      <mc:Fallback xmlns="">
        <xdr:pic>
          <xdr:nvPicPr>
            <xdr:cNvPr id="101" name="Ink 100">
              <a:extLst>
                <a:ext uri="{FF2B5EF4-FFF2-40B4-BE49-F238E27FC236}">
                  <a16:creationId xmlns:a16="http://schemas.microsoft.com/office/drawing/2014/main" id="{CD842D2D-898A-2EB6-C0BB-770DDC308DDA}"/>
                </a:ext>
              </a:extLst>
            </xdr:cNvPr>
            <xdr:cNvPicPr/>
          </xdr:nvPicPr>
          <xdr:blipFill>
            <a:blip xmlns:r="http://schemas.openxmlformats.org/officeDocument/2006/relationships" r:embed="rId20"/>
            <a:stretch>
              <a:fillRect/>
            </a:stretch>
          </xdr:blipFill>
          <xdr:spPr>
            <a:xfrm>
              <a:off x="-12960" y="3272760"/>
              <a:ext cx="14197680" cy="160920"/>
            </a:xfrm>
            <a:prstGeom prst="rect">
              <a:avLst/>
            </a:prstGeom>
          </xdr:spPr>
        </xdr:pic>
      </mc:Fallback>
    </mc:AlternateContent>
    <xdr:clientData/>
  </xdr:twoCellAnchor>
  <xdr:twoCellAnchor editAs="oneCell">
    <xdr:from>
      <xdr:col>2</xdr:col>
      <xdr:colOff>266880</xdr:colOff>
      <xdr:row>19</xdr:row>
      <xdr:rowOff>127440</xdr:rowOff>
    </xdr:from>
    <xdr:to>
      <xdr:col>4</xdr:col>
      <xdr:colOff>165480</xdr:colOff>
      <xdr:row>22</xdr:row>
      <xdr:rowOff>5760</xdr:rowOff>
    </xdr:to>
    <mc:AlternateContent xmlns:mc="http://schemas.openxmlformats.org/markup-compatibility/2006" xmlns:xdr14="http://schemas.microsoft.com/office/excel/2010/spreadsheetDrawing">
      <mc:Choice Requires="xdr14">
        <xdr:contentPart xmlns:r="http://schemas.openxmlformats.org/officeDocument/2006/relationships" r:id="rId21">
          <xdr14:nvContentPartPr>
            <xdr14:cNvPr id="107" name="Ink 106">
              <a:extLst>
                <a:ext uri="{FF2B5EF4-FFF2-40B4-BE49-F238E27FC236}">
                  <a16:creationId xmlns:a16="http://schemas.microsoft.com/office/drawing/2014/main" id="{3938A82A-7477-4669-28DB-8F34383B9557}"/>
                </a:ext>
              </a:extLst>
            </xdr14:cNvPr>
            <xdr14:cNvContentPartPr/>
          </xdr14:nvContentPartPr>
          <xdr14:nvPr macro=""/>
          <xdr14:xfrm>
            <a:off x="1486080" y="3602160"/>
            <a:ext cx="1117800" cy="426960"/>
          </xdr14:xfrm>
        </xdr:contentPart>
      </mc:Choice>
      <mc:Fallback xmlns="">
        <xdr:pic>
          <xdr:nvPicPr>
            <xdr:cNvPr id="107" name="Ink 106">
              <a:extLst>
                <a:ext uri="{FF2B5EF4-FFF2-40B4-BE49-F238E27FC236}">
                  <a16:creationId xmlns:a16="http://schemas.microsoft.com/office/drawing/2014/main" id="{3938A82A-7477-4669-28DB-8F34383B9557}"/>
                </a:ext>
              </a:extLst>
            </xdr:cNvPr>
            <xdr:cNvPicPr/>
          </xdr:nvPicPr>
          <xdr:blipFill>
            <a:blip xmlns:r="http://schemas.openxmlformats.org/officeDocument/2006/relationships" r:embed="rId22"/>
            <a:stretch>
              <a:fillRect/>
            </a:stretch>
          </xdr:blipFill>
          <xdr:spPr>
            <a:xfrm>
              <a:off x="1477083" y="3593520"/>
              <a:ext cx="1135434" cy="444600"/>
            </a:xfrm>
            <a:prstGeom prst="rect">
              <a:avLst/>
            </a:prstGeom>
          </xdr:spPr>
        </xdr:pic>
      </mc:Fallback>
    </mc:AlternateContent>
    <xdr:clientData/>
  </xdr:twoCellAnchor>
  <xdr:twoCellAnchor editAs="oneCell">
    <xdr:from>
      <xdr:col>2</xdr:col>
      <xdr:colOff>303600</xdr:colOff>
      <xdr:row>21</xdr:row>
      <xdr:rowOff>55080</xdr:rowOff>
    </xdr:from>
    <xdr:to>
      <xdr:col>4</xdr:col>
      <xdr:colOff>495960</xdr:colOff>
      <xdr:row>24</xdr:row>
      <xdr:rowOff>69840</xdr:rowOff>
    </xdr:to>
    <mc:AlternateContent xmlns:mc="http://schemas.openxmlformats.org/markup-compatibility/2006" xmlns:xdr14="http://schemas.microsoft.com/office/excel/2010/spreadsheetDrawing">
      <mc:Choice Requires="xdr14">
        <xdr:contentPart xmlns:r="http://schemas.openxmlformats.org/officeDocument/2006/relationships" r:id="rId23">
          <xdr14:nvContentPartPr>
            <xdr14:cNvPr id="117" name="Ink 116">
              <a:extLst>
                <a:ext uri="{FF2B5EF4-FFF2-40B4-BE49-F238E27FC236}">
                  <a16:creationId xmlns:a16="http://schemas.microsoft.com/office/drawing/2014/main" id="{F6CBB0FB-389D-4901-4898-CF45FBEE9E40}"/>
                </a:ext>
              </a:extLst>
            </xdr14:cNvPr>
            <xdr14:cNvContentPartPr/>
          </xdr14:nvContentPartPr>
          <xdr14:nvPr macro=""/>
          <xdr14:xfrm>
            <a:off x="1522800" y="3895560"/>
            <a:ext cx="1411560" cy="563400"/>
          </xdr14:xfrm>
        </xdr:contentPart>
      </mc:Choice>
      <mc:Fallback xmlns="">
        <xdr:pic>
          <xdr:nvPicPr>
            <xdr:cNvPr id="117" name="Ink 116">
              <a:extLst>
                <a:ext uri="{FF2B5EF4-FFF2-40B4-BE49-F238E27FC236}">
                  <a16:creationId xmlns:a16="http://schemas.microsoft.com/office/drawing/2014/main" id="{F6CBB0FB-389D-4901-4898-CF45FBEE9E40}"/>
                </a:ext>
              </a:extLst>
            </xdr:cNvPr>
            <xdr:cNvPicPr/>
          </xdr:nvPicPr>
          <xdr:blipFill>
            <a:blip xmlns:r="http://schemas.openxmlformats.org/officeDocument/2006/relationships" r:embed="rId24"/>
            <a:stretch>
              <a:fillRect/>
            </a:stretch>
          </xdr:blipFill>
          <xdr:spPr>
            <a:xfrm>
              <a:off x="1514158" y="3886920"/>
              <a:ext cx="1429205" cy="581040"/>
            </a:xfrm>
            <a:prstGeom prst="rect">
              <a:avLst/>
            </a:prstGeom>
          </xdr:spPr>
        </xdr:pic>
      </mc:Fallback>
    </mc:AlternateContent>
    <xdr:clientData/>
  </xdr:twoCellAnchor>
  <xdr:twoCellAnchor editAs="oneCell">
    <xdr:from>
      <xdr:col>3</xdr:col>
      <xdr:colOff>104400</xdr:colOff>
      <xdr:row>23</xdr:row>
      <xdr:rowOff>30600</xdr:rowOff>
    </xdr:from>
    <xdr:to>
      <xdr:col>8</xdr:col>
      <xdr:colOff>414120</xdr:colOff>
      <xdr:row>29</xdr:row>
      <xdr:rowOff>15120</xdr:rowOff>
    </xdr:to>
    <mc:AlternateContent xmlns:mc="http://schemas.openxmlformats.org/markup-compatibility/2006" xmlns:xdr14="http://schemas.microsoft.com/office/excel/2010/spreadsheetDrawing">
      <mc:Choice Requires="xdr14">
        <xdr:contentPart xmlns:r="http://schemas.openxmlformats.org/officeDocument/2006/relationships" r:id="rId25">
          <xdr14:nvContentPartPr>
            <xdr14:cNvPr id="144" name="Ink 143">
              <a:extLst>
                <a:ext uri="{FF2B5EF4-FFF2-40B4-BE49-F238E27FC236}">
                  <a16:creationId xmlns:a16="http://schemas.microsoft.com/office/drawing/2014/main" id="{61441100-893E-1DD9-F6F5-21C9BF44F9C9}"/>
                </a:ext>
              </a:extLst>
            </xdr14:cNvPr>
            <xdr14:cNvContentPartPr/>
          </xdr14:nvContentPartPr>
          <xdr14:nvPr macro=""/>
          <xdr14:xfrm>
            <a:off x="1933200" y="4236840"/>
            <a:ext cx="3357720" cy="1081800"/>
          </xdr14:xfrm>
        </xdr:contentPart>
      </mc:Choice>
      <mc:Fallback xmlns="">
        <xdr:pic>
          <xdr:nvPicPr>
            <xdr:cNvPr id="144" name="Ink 143">
              <a:extLst>
                <a:ext uri="{FF2B5EF4-FFF2-40B4-BE49-F238E27FC236}">
                  <a16:creationId xmlns:a16="http://schemas.microsoft.com/office/drawing/2014/main" id="{61441100-893E-1DD9-F6F5-21C9BF44F9C9}"/>
                </a:ext>
              </a:extLst>
            </xdr:cNvPr>
            <xdr:cNvPicPr/>
          </xdr:nvPicPr>
          <xdr:blipFill>
            <a:blip xmlns:r="http://schemas.openxmlformats.org/officeDocument/2006/relationships" r:embed="rId26"/>
            <a:stretch>
              <a:fillRect/>
            </a:stretch>
          </xdr:blipFill>
          <xdr:spPr>
            <a:xfrm>
              <a:off x="1924560" y="4228200"/>
              <a:ext cx="3375360" cy="1099440"/>
            </a:xfrm>
            <a:prstGeom prst="rect">
              <a:avLst/>
            </a:prstGeom>
          </xdr:spPr>
        </xdr:pic>
      </mc:Fallback>
    </mc:AlternateContent>
    <xdr:clientData/>
  </xdr:twoCellAnchor>
  <xdr:twoCellAnchor editAs="oneCell">
    <xdr:from>
      <xdr:col>12</xdr:col>
      <xdr:colOff>509040</xdr:colOff>
      <xdr:row>20</xdr:row>
      <xdr:rowOff>138240</xdr:rowOff>
    </xdr:from>
    <xdr:to>
      <xdr:col>13</xdr:col>
      <xdr:colOff>134880</xdr:colOff>
      <xdr:row>22</xdr:row>
      <xdr:rowOff>55440</xdr:rowOff>
    </xdr:to>
    <mc:AlternateContent xmlns:mc="http://schemas.openxmlformats.org/markup-compatibility/2006" xmlns:xdr14="http://schemas.microsoft.com/office/excel/2010/spreadsheetDrawing">
      <mc:Choice Requires="xdr14">
        <xdr:contentPart xmlns:r="http://schemas.openxmlformats.org/officeDocument/2006/relationships" r:id="rId27">
          <xdr14:nvContentPartPr>
            <xdr14:cNvPr id="148" name="Ink 147">
              <a:extLst>
                <a:ext uri="{FF2B5EF4-FFF2-40B4-BE49-F238E27FC236}">
                  <a16:creationId xmlns:a16="http://schemas.microsoft.com/office/drawing/2014/main" id="{51766E21-E8E1-8A87-1A78-B0F6B1C2F90F}"/>
                </a:ext>
              </a:extLst>
            </xdr14:cNvPr>
            <xdr14:cNvContentPartPr/>
          </xdr14:nvContentPartPr>
          <xdr14:nvPr macro=""/>
          <xdr14:xfrm>
            <a:off x="7824240" y="3795840"/>
            <a:ext cx="235440" cy="282960"/>
          </xdr14:xfrm>
        </xdr:contentPart>
      </mc:Choice>
      <mc:Fallback xmlns="">
        <xdr:pic>
          <xdr:nvPicPr>
            <xdr:cNvPr id="148" name="Ink 147">
              <a:extLst>
                <a:ext uri="{FF2B5EF4-FFF2-40B4-BE49-F238E27FC236}">
                  <a16:creationId xmlns:a16="http://schemas.microsoft.com/office/drawing/2014/main" id="{51766E21-E8E1-8A87-1A78-B0F6B1C2F90F}"/>
                </a:ext>
              </a:extLst>
            </xdr:cNvPr>
            <xdr:cNvPicPr/>
          </xdr:nvPicPr>
          <xdr:blipFill>
            <a:blip xmlns:r="http://schemas.openxmlformats.org/officeDocument/2006/relationships" r:embed="rId28"/>
            <a:stretch>
              <a:fillRect/>
            </a:stretch>
          </xdr:blipFill>
          <xdr:spPr>
            <a:xfrm>
              <a:off x="7815240" y="3786840"/>
              <a:ext cx="253080" cy="300600"/>
            </a:xfrm>
            <a:prstGeom prst="rect">
              <a:avLst/>
            </a:prstGeom>
          </xdr:spPr>
        </xdr:pic>
      </mc:Fallback>
    </mc:AlternateContent>
    <xdr:clientData/>
  </xdr:twoCellAnchor>
  <xdr:twoCellAnchor editAs="oneCell">
    <xdr:from>
      <xdr:col>13</xdr:col>
      <xdr:colOff>331440</xdr:colOff>
      <xdr:row>20</xdr:row>
      <xdr:rowOff>114480</xdr:rowOff>
    </xdr:from>
    <xdr:to>
      <xdr:col>15</xdr:col>
      <xdr:colOff>135360</xdr:colOff>
      <xdr:row>22</xdr:row>
      <xdr:rowOff>107640</xdr:rowOff>
    </xdr:to>
    <mc:AlternateContent xmlns:mc="http://schemas.openxmlformats.org/markup-compatibility/2006" xmlns:xdr14="http://schemas.microsoft.com/office/excel/2010/spreadsheetDrawing">
      <mc:Choice Requires="xdr14">
        <xdr:contentPart xmlns:r="http://schemas.openxmlformats.org/officeDocument/2006/relationships" r:id="rId29">
          <xdr14:nvContentPartPr>
            <xdr14:cNvPr id="158" name="Ink 157">
              <a:extLst>
                <a:ext uri="{FF2B5EF4-FFF2-40B4-BE49-F238E27FC236}">
                  <a16:creationId xmlns:a16="http://schemas.microsoft.com/office/drawing/2014/main" id="{2268F8FC-C9D4-9DED-4243-763DA3C695A4}"/>
                </a:ext>
              </a:extLst>
            </xdr14:cNvPr>
            <xdr14:cNvContentPartPr/>
          </xdr14:nvContentPartPr>
          <xdr14:nvPr macro=""/>
          <xdr14:xfrm>
            <a:off x="8256240" y="3772080"/>
            <a:ext cx="1023120" cy="358920"/>
          </xdr14:xfrm>
        </xdr:contentPart>
      </mc:Choice>
      <mc:Fallback xmlns="">
        <xdr:pic>
          <xdr:nvPicPr>
            <xdr:cNvPr id="158" name="Ink 157">
              <a:extLst>
                <a:ext uri="{FF2B5EF4-FFF2-40B4-BE49-F238E27FC236}">
                  <a16:creationId xmlns:a16="http://schemas.microsoft.com/office/drawing/2014/main" id="{2268F8FC-C9D4-9DED-4243-763DA3C695A4}"/>
                </a:ext>
              </a:extLst>
            </xdr:cNvPr>
            <xdr:cNvPicPr/>
          </xdr:nvPicPr>
          <xdr:blipFill>
            <a:blip xmlns:r="http://schemas.openxmlformats.org/officeDocument/2006/relationships" r:embed="rId30"/>
            <a:stretch>
              <a:fillRect/>
            </a:stretch>
          </xdr:blipFill>
          <xdr:spPr>
            <a:xfrm>
              <a:off x="8247240" y="3763089"/>
              <a:ext cx="1040760" cy="376542"/>
            </a:xfrm>
            <a:prstGeom prst="rect">
              <a:avLst/>
            </a:prstGeom>
          </xdr:spPr>
        </xdr:pic>
      </mc:Fallback>
    </mc:AlternateContent>
    <xdr:clientData/>
  </xdr:twoCellAnchor>
  <xdr:twoCellAnchor editAs="oneCell">
    <xdr:from>
      <xdr:col>12</xdr:col>
      <xdr:colOff>583200</xdr:colOff>
      <xdr:row>23</xdr:row>
      <xdr:rowOff>151200</xdr:rowOff>
    </xdr:from>
    <xdr:to>
      <xdr:col>15</xdr:col>
      <xdr:colOff>270000</xdr:colOff>
      <xdr:row>25</xdr:row>
      <xdr:rowOff>84600</xdr:rowOff>
    </xdr:to>
    <mc:AlternateContent xmlns:mc="http://schemas.openxmlformats.org/markup-compatibility/2006" xmlns:xdr14="http://schemas.microsoft.com/office/excel/2010/spreadsheetDrawing">
      <mc:Choice Requires="xdr14">
        <xdr:contentPart xmlns:r="http://schemas.openxmlformats.org/officeDocument/2006/relationships" r:id="rId31">
          <xdr14:nvContentPartPr>
            <xdr14:cNvPr id="162" name="Ink 161">
              <a:extLst>
                <a:ext uri="{FF2B5EF4-FFF2-40B4-BE49-F238E27FC236}">
                  <a16:creationId xmlns:a16="http://schemas.microsoft.com/office/drawing/2014/main" id="{5585EEA7-7BC8-AED8-2FFC-FDC417F7F5AC}"/>
                </a:ext>
              </a:extLst>
            </xdr14:cNvPr>
            <xdr14:cNvContentPartPr/>
          </xdr14:nvContentPartPr>
          <xdr14:nvPr macro=""/>
          <xdr14:xfrm>
            <a:off x="7898400" y="4357440"/>
            <a:ext cx="1515600" cy="299160"/>
          </xdr14:xfrm>
        </xdr:contentPart>
      </mc:Choice>
      <mc:Fallback xmlns="">
        <xdr:pic>
          <xdr:nvPicPr>
            <xdr:cNvPr id="162" name="Ink 161">
              <a:extLst>
                <a:ext uri="{FF2B5EF4-FFF2-40B4-BE49-F238E27FC236}">
                  <a16:creationId xmlns:a16="http://schemas.microsoft.com/office/drawing/2014/main" id="{5585EEA7-7BC8-AED8-2FFC-FDC417F7F5AC}"/>
                </a:ext>
              </a:extLst>
            </xdr:cNvPr>
            <xdr:cNvPicPr/>
          </xdr:nvPicPr>
          <xdr:blipFill>
            <a:blip xmlns:r="http://schemas.openxmlformats.org/officeDocument/2006/relationships" r:embed="rId32"/>
            <a:stretch>
              <a:fillRect/>
            </a:stretch>
          </xdr:blipFill>
          <xdr:spPr>
            <a:xfrm>
              <a:off x="7889758" y="4348790"/>
              <a:ext cx="1533244" cy="316821"/>
            </a:xfrm>
            <a:prstGeom prst="rect">
              <a:avLst/>
            </a:prstGeom>
          </xdr:spPr>
        </xdr:pic>
      </mc:Fallback>
    </mc:AlternateContent>
    <xdr:clientData/>
  </xdr:twoCellAnchor>
  <xdr:twoCellAnchor editAs="oneCell">
    <xdr:from>
      <xdr:col>17</xdr:col>
      <xdr:colOff>183360</xdr:colOff>
      <xdr:row>19</xdr:row>
      <xdr:rowOff>114840</xdr:rowOff>
    </xdr:from>
    <xdr:to>
      <xdr:col>17</xdr:col>
      <xdr:colOff>183720</xdr:colOff>
      <xdr:row>19</xdr:row>
      <xdr:rowOff>115200</xdr:rowOff>
    </xdr:to>
    <mc:AlternateContent xmlns:mc="http://schemas.openxmlformats.org/markup-compatibility/2006" xmlns:xdr14="http://schemas.microsoft.com/office/excel/2010/spreadsheetDrawing">
      <mc:Choice Requires="xdr14">
        <xdr:contentPart xmlns:r="http://schemas.openxmlformats.org/officeDocument/2006/relationships" r:id="rId33">
          <xdr14:nvContentPartPr>
            <xdr14:cNvPr id="170" name="Ink 169">
              <a:extLst>
                <a:ext uri="{FF2B5EF4-FFF2-40B4-BE49-F238E27FC236}">
                  <a16:creationId xmlns:a16="http://schemas.microsoft.com/office/drawing/2014/main" id="{ECDDA0E7-0193-5C54-B35F-9BFF81BE4001}"/>
                </a:ext>
              </a:extLst>
            </xdr14:cNvPr>
            <xdr14:cNvContentPartPr/>
          </xdr14:nvContentPartPr>
          <xdr14:nvPr macro=""/>
          <xdr14:xfrm>
            <a:off x="10546560" y="3589560"/>
            <a:ext cx="360" cy="360"/>
          </xdr14:xfrm>
        </xdr:contentPart>
      </mc:Choice>
      <mc:Fallback xmlns="">
        <xdr:pic>
          <xdr:nvPicPr>
            <xdr:cNvPr id="170" name="Ink 169">
              <a:extLst>
                <a:ext uri="{FF2B5EF4-FFF2-40B4-BE49-F238E27FC236}">
                  <a16:creationId xmlns:a16="http://schemas.microsoft.com/office/drawing/2014/main" id="{ECDDA0E7-0193-5C54-B35F-9BFF81BE4001}"/>
                </a:ext>
              </a:extLst>
            </xdr:cNvPr>
            <xdr:cNvPicPr/>
          </xdr:nvPicPr>
          <xdr:blipFill>
            <a:blip xmlns:r="http://schemas.openxmlformats.org/officeDocument/2006/relationships" r:embed="rId34"/>
            <a:stretch>
              <a:fillRect/>
            </a:stretch>
          </xdr:blipFill>
          <xdr:spPr>
            <a:xfrm>
              <a:off x="10537920" y="3580560"/>
              <a:ext cx="18000" cy="18000"/>
            </a:xfrm>
            <a:prstGeom prst="rect">
              <a:avLst/>
            </a:prstGeom>
          </xdr:spPr>
        </xdr:pic>
      </mc:Fallback>
    </mc:AlternateContent>
    <xdr:clientData/>
  </xdr:twoCellAnchor>
  <xdr:twoCellAnchor editAs="oneCell">
    <xdr:from>
      <xdr:col>15</xdr:col>
      <xdr:colOff>281160</xdr:colOff>
      <xdr:row>19</xdr:row>
      <xdr:rowOff>136800</xdr:rowOff>
    </xdr:from>
    <xdr:to>
      <xdr:col>22</xdr:col>
      <xdr:colOff>321000</xdr:colOff>
      <xdr:row>21</xdr:row>
      <xdr:rowOff>162000</xdr:rowOff>
    </xdr:to>
    <mc:AlternateContent xmlns:mc="http://schemas.openxmlformats.org/markup-compatibility/2006" xmlns:xdr14="http://schemas.microsoft.com/office/excel/2010/spreadsheetDrawing">
      <mc:Choice Requires="xdr14">
        <xdr:contentPart xmlns:r="http://schemas.openxmlformats.org/officeDocument/2006/relationships" r:id="rId35">
          <xdr14:nvContentPartPr>
            <xdr14:cNvPr id="191" name="Ink 190">
              <a:extLst>
                <a:ext uri="{FF2B5EF4-FFF2-40B4-BE49-F238E27FC236}">
                  <a16:creationId xmlns:a16="http://schemas.microsoft.com/office/drawing/2014/main" id="{6912D1AA-FA0F-BC5A-9C6B-ADBEB2CEEFD9}"/>
                </a:ext>
              </a:extLst>
            </xdr14:cNvPr>
            <xdr14:cNvContentPartPr/>
          </xdr14:nvContentPartPr>
          <xdr14:nvPr macro=""/>
          <xdr14:xfrm>
            <a:off x="9425160" y="3611520"/>
            <a:ext cx="4307040" cy="390960"/>
          </xdr14:xfrm>
        </xdr:contentPart>
      </mc:Choice>
      <mc:Fallback xmlns="">
        <xdr:pic>
          <xdr:nvPicPr>
            <xdr:cNvPr id="191" name="Ink 190">
              <a:extLst>
                <a:ext uri="{FF2B5EF4-FFF2-40B4-BE49-F238E27FC236}">
                  <a16:creationId xmlns:a16="http://schemas.microsoft.com/office/drawing/2014/main" id="{6912D1AA-FA0F-BC5A-9C6B-ADBEB2CEEFD9}"/>
                </a:ext>
              </a:extLst>
            </xdr:cNvPr>
            <xdr:cNvPicPr/>
          </xdr:nvPicPr>
          <xdr:blipFill>
            <a:blip xmlns:r="http://schemas.openxmlformats.org/officeDocument/2006/relationships" r:embed="rId36"/>
            <a:stretch>
              <a:fillRect/>
            </a:stretch>
          </xdr:blipFill>
          <xdr:spPr>
            <a:xfrm>
              <a:off x="9416520" y="3602880"/>
              <a:ext cx="4324680" cy="408600"/>
            </a:xfrm>
            <a:prstGeom prst="rect">
              <a:avLst/>
            </a:prstGeom>
          </xdr:spPr>
        </xdr:pic>
      </mc:Fallback>
    </mc:AlternateContent>
    <xdr:clientData/>
  </xdr:twoCellAnchor>
  <xdr:twoCellAnchor editAs="oneCell">
    <xdr:from>
      <xdr:col>15</xdr:col>
      <xdr:colOff>383760</xdr:colOff>
      <xdr:row>23</xdr:row>
      <xdr:rowOff>178920</xdr:rowOff>
    </xdr:from>
    <xdr:to>
      <xdr:col>16</xdr:col>
      <xdr:colOff>59640</xdr:colOff>
      <xdr:row>24</xdr:row>
      <xdr:rowOff>105480</xdr:rowOff>
    </xdr:to>
    <mc:AlternateContent xmlns:mc="http://schemas.openxmlformats.org/markup-compatibility/2006" xmlns:xdr14="http://schemas.microsoft.com/office/excel/2010/spreadsheetDrawing">
      <mc:Choice Requires="xdr14">
        <xdr:contentPart xmlns:r="http://schemas.openxmlformats.org/officeDocument/2006/relationships" r:id="rId37">
          <xdr14:nvContentPartPr>
            <xdr14:cNvPr id="194" name="Ink 193">
              <a:extLst>
                <a:ext uri="{FF2B5EF4-FFF2-40B4-BE49-F238E27FC236}">
                  <a16:creationId xmlns:a16="http://schemas.microsoft.com/office/drawing/2014/main" id="{2EEC959A-5124-872B-22A0-0859668E3E3C}"/>
                </a:ext>
              </a:extLst>
            </xdr14:cNvPr>
            <xdr14:cNvContentPartPr/>
          </xdr14:nvContentPartPr>
          <xdr14:nvPr macro=""/>
          <xdr14:xfrm>
            <a:off x="9527760" y="4385160"/>
            <a:ext cx="285480" cy="109440"/>
          </xdr14:xfrm>
        </xdr:contentPart>
      </mc:Choice>
      <mc:Fallback xmlns="">
        <xdr:pic>
          <xdr:nvPicPr>
            <xdr:cNvPr id="194" name="Ink 193">
              <a:extLst>
                <a:ext uri="{FF2B5EF4-FFF2-40B4-BE49-F238E27FC236}">
                  <a16:creationId xmlns:a16="http://schemas.microsoft.com/office/drawing/2014/main" id="{2EEC959A-5124-872B-22A0-0859668E3E3C}"/>
                </a:ext>
              </a:extLst>
            </xdr:cNvPr>
            <xdr:cNvPicPr/>
          </xdr:nvPicPr>
          <xdr:blipFill>
            <a:blip xmlns:r="http://schemas.openxmlformats.org/officeDocument/2006/relationships" r:embed="rId38"/>
            <a:stretch>
              <a:fillRect/>
            </a:stretch>
          </xdr:blipFill>
          <xdr:spPr>
            <a:xfrm>
              <a:off x="9518760" y="4376520"/>
              <a:ext cx="303120" cy="127080"/>
            </a:xfrm>
            <a:prstGeom prst="rect">
              <a:avLst/>
            </a:prstGeom>
          </xdr:spPr>
        </xdr:pic>
      </mc:Fallback>
    </mc:AlternateContent>
    <xdr:clientData/>
  </xdr:twoCellAnchor>
  <xdr:twoCellAnchor editAs="oneCell">
    <xdr:from>
      <xdr:col>16</xdr:col>
      <xdr:colOff>287880</xdr:colOff>
      <xdr:row>23</xdr:row>
      <xdr:rowOff>43560</xdr:rowOff>
    </xdr:from>
    <xdr:to>
      <xdr:col>21</xdr:col>
      <xdr:colOff>498960</xdr:colOff>
      <xdr:row>27</xdr:row>
      <xdr:rowOff>97560</xdr:rowOff>
    </xdr:to>
    <mc:AlternateContent xmlns:mc="http://schemas.openxmlformats.org/markup-compatibility/2006" xmlns:xdr14="http://schemas.microsoft.com/office/excel/2010/spreadsheetDrawing">
      <mc:Choice Requires="xdr14">
        <xdr:contentPart xmlns:r="http://schemas.openxmlformats.org/officeDocument/2006/relationships" r:id="rId39">
          <xdr14:nvContentPartPr>
            <xdr14:cNvPr id="232" name="Ink 231">
              <a:extLst>
                <a:ext uri="{FF2B5EF4-FFF2-40B4-BE49-F238E27FC236}">
                  <a16:creationId xmlns:a16="http://schemas.microsoft.com/office/drawing/2014/main" id="{A77E4204-5BA9-E3AB-587D-743BBE74BB03}"/>
                </a:ext>
              </a:extLst>
            </xdr14:cNvPr>
            <xdr14:cNvContentPartPr/>
          </xdr14:nvContentPartPr>
          <xdr14:nvPr macro=""/>
          <xdr14:xfrm>
            <a:off x="10041480" y="4249800"/>
            <a:ext cx="3259080" cy="785520"/>
          </xdr14:xfrm>
        </xdr:contentPart>
      </mc:Choice>
      <mc:Fallback xmlns="">
        <xdr:pic>
          <xdr:nvPicPr>
            <xdr:cNvPr id="232" name="Ink 231">
              <a:extLst>
                <a:ext uri="{FF2B5EF4-FFF2-40B4-BE49-F238E27FC236}">
                  <a16:creationId xmlns:a16="http://schemas.microsoft.com/office/drawing/2014/main" id="{A77E4204-5BA9-E3AB-587D-743BBE74BB03}"/>
                </a:ext>
              </a:extLst>
            </xdr:cNvPr>
            <xdr:cNvPicPr/>
          </xdr:nvPicPr>
          <xdr:blipFill>
            <a:blip xmlns:r="http://schemas.openxmlformats.org/officeDocument/2006/relationships" r:embed="rId40"/>
            <a:stretch>
              <a:fillRect/>
            </a:stretch>
          </xdr:blipFill>
          <xdr:spPr>
            <a:xfrm>
              <a:off x="10032481" y="4240800"/>
              <a:ext cx="3276718" cy="803160"/>
            </a:xfrm>
            <a:prstGeom prst="rect">
              <a:avLst/>
            </a:prstGeom>
          </xdr:spPr>
        </xdr:pic>
      </mc:Fallback>
    </mc:AlternateContent>
    <xdr:clientData/>
  </xdr:twoCellAnchor>
  <xdr:twoCellAnchor editAs="oneCell">
    <xdr:from>
      <xdr:col>1</xdr:col>
      <xdr:colOff>252240</xdr:colOff>
      <xdr:row>13</xdr:row>
      <xdr:rowOff>182160</xdr:rowOff>
    </xdr:from>
    <xdr:to>
      <xdr:col>1</xdr:col>
      <xdr:colOff>328560</xdr:colOff>
      <xdr:row>14</xdr:row>
      <xdr:rowOff>148680</xdr:rowOff>
    </xdr:to>
    <mc:AlternateContent xmlns:mc="http://schemas.openxmlformats.org/markup-compatibility/2006" xmlns:xdr14="http://schemas.microsoft.com/office/excel/2010/spreadsheetDrawing">
      <mc:Choice Requires="xdr14">
        <xdr:contentPart xmlns:r="http://schemas.openxmlformats.org/officeDocument/2006/relationships" r:id="rId41">
          <xdr14:nvContentPartPr>
            <xdr14:cNvPr id="235" name="Ink 234">
              <a:extLst>
                <a:ext uri="{FF2B5EF4-FFF2-40B4-BE49-F238E27FC236}">
                  <a16:creationId xmlns:a16="http://schemas.microsoft.com/office/drawing/2014/main" id="{B5B422A9-51BD-6F24-D9B1-E74B9A0AFCCB}"/>
                </a:ext>
              </a:extLst>
            </xdr14:cNvPr>
            <xdr14:cNvContentPartPr/>
          </xdr14:nvContentPartPr>
          <xdr14:nvPr macro=""/>
          <xdr14:xfrm>
            <a:off x="861840" y="2559600"/>
            <a:ext cx="76320" cy="149400"/>
          </xdr14:xfrm>
        </xdr:contentPart>
      </mc:Choice>
      <mc:Fallback xmlns="">
        <xdr:pic>
          <xdr:nvPicPr>
            <xdr:cNvPr id="235" name="Ink 234">
              <a:extLst>
                <a:ext uri="{FF2B5EF4-FFF2-40B4-BE49-F238E27FC236}">
                  <a16:creationId xmlns:a16="http://schemas.microsoft.com/office/drawing/2014/main" id="{B5B422A9-51BD-6F24-D9B1-E74B9A0AFCCB}"/>
                </a:ext>
              </a:extLst>
            </xdr:cNvPr>
            <xdr:cNvPicPr/>
          </xdr:nvPicPr>
          <xdr:blipFill>
            <a:blip xmlns:r="http://schemas.openxmlformats.org/officeDocument/2006/relationships" r:embed="rId42"/>
            <a:stretch>
              <a:fillRect/>
            </a:stretch>
          </xdr:blipFill>
          <xdr:spPr>
            <a:xfrm>
              <a:off x="852840" y="2550960"/>
              <a:ext cx="93960" cy="167040"/>
            </a:xfrm>
            <a:prstGeom prst="rect">
              <a:avLst/>
            </a:prstGeom>
          </xdr:spPr>
        </xdr:pic>
      </mc:Fallback>
    </mc:AlternateContent>
    <xdr:clientData/>
  </xdr:twoCellAnchor>
  <xdr:twoCellAnchor editAs="oneCell">
    <xdr:from>
      <xdr:col>1</xdr:col>
      <xdr:colOff>306600</xdr:colOff>
      <xdr:row>15</xdr:row>
      <xdr:rowOff>79920</xdr:rowOff>
    </xdr:from>
    <xdr:to>
      <xdr:col>1</xdr:col>
      <xdr:colOff>447360</xdr:colOff>
      <xdr:row>15</xdr:row>
      <xdr:rowOff>160200</xdr:rowOff>
    </xdr:to>
    <mc:AlternateContent xmlns:mc="http://schemas.openxmlformats.org/markup-compatibility/2006" xmlns:xdr14="http://schemas.microsoft.com/office/excel/2010/spreadsheetDrawing">
      <mc:Choice Requires="xdr14">
        <xdr:contentPart xmlns:r="http://schemas.openxmlformats.org/officeDocument/2006/relationships" r:id="rId43">
          <xdr14:nvContentPartPr>
            <xdr14:cNvPr id="238" name="Ink 237">
              <a:extLst>
                <a:ext uri="{FF2B5EF4-FFF2-40B4-BE49-F238E27FC236}">
                  <a16:creationId xmlns:a16="http://schemas.microsoft.com/office/drawing/2014/main" id="{5F6336D5-2B01-B14C-A918-06AD6B0782D7}"/>
                </a:ext>
              </a:extLst>
            </xdr14:cNvPr>
            <xdr14:cNvContentPartPr/>
          </xdr14:nvContentPartPr>
          <xdr14:nvPr macro=""/>
          <xdr14:xfrm>
            <a:off x="916200" y="2823120"/>
            <a:ext cx="140760" cy="80280"/>
          </xdr14:xfrm>
        </xdr:contentPart>
      </mc:Choice>
      <mc:Fallback xmlns="">
        <xdr:pic>
          <xdr:nvPicPr>
            <xdr:cNvPr id="238" name="Ink 237">
              <a:extLst>
                <a:ext uri="{FF2B5EF4-FFF2-40B4-BE49-F238E27FC236}">
                  <a16:creationId xmlns:a16="http://schemas.microsoft.com/office/drawing/2014/main" id="{5F6336D5-2B01-B14C-A918-06AD6B0782D7}"/>
                </a:ext>
              </a:extLst>
            </xdr:cNvPr>
            <xdr:cNvPicPr/>
          </xdr:nvPicPr>
          <xdr:blipFill>
            <a:blip xmlns:r="http://schemas.openxmlformats.org/officeDocument/2006/relationships" r:embed="rId44"/>
            <a:stretch>
              <a:fillRect/>
            </a:stretch>
          </xdr:blipFill>
          <xdr:spPr>
            <a:xfrm>
              <a:off x="907200" y="2814120"/>
              <a:ext cx="158400" cy="97920"/>
            </a:xfrm>
            <a:prstGeom prst="rect">
              <a:avLst/>
            </a:prstGeom>
          </xdr:spPr>
        </xdr:pic>
      </mc:Fallback>
    </mc:AlternateContent>
    <xdr:clientData/>
  </xdr:twoCellAnchor>
  <xdr:twoCellAnchor editAs="oneCell">
    <xdr:from>
      <xdr:col>1</xdr:col>
      <xdr:colOff>408480</xdr:colOff>
      <xdr:row>14</xdr:row>
      <xdr:rowOff>78480</xdr:rowOff>
    </xdr:from>
    <xdr:to>
      <xdr:col>1</xdr:col>
      <xdr:colOff>500280</xdr:colOff>
      <xdr:row>15</xdr:row>
      <xdr:rowOff>66600</xdr:rowOff>
    </xdr:to>
    <mc:AlternateContent xmlns:mc="http://schemas.openxmlformats.org/markup-compatibility/2006" xmlns:xdr14="http://schemas.microsoft.com/office/excel/2010/spreadsheetDrawing">
      <mc:Choice Requires="xdr14">
        <xdr:contentPart xmlns:r="http://schemas.openxmlformats.org/officeDocument/2006/relationships" r:id="rId45">
          <xdr14:nvContentPartPr>
            <xdr14:cNvPr id="239" name="Ink 238">
              <a:extLst>
                <a:ext uri="{FF2B5EF4-FFF2-40B4-BE49-F238E27FC236}">
                  <a16:creationId xmlns:a16="http://schemas.microsoft.com/office/drawing/2014/main" id="{5EBC4107-87E4-228E-CC32-F52A151082BD}"/>
                </a:ext>
              </a:extLst>
            </xdr14:cNvPr>
            <xdr14:cNvContentPartPr/>
          </xdr14:nvContentPartPr>
          <xdr14:nvPr macro=""/>
          <xdr14:xfrm>
            <a:off x="1018080" y="2638800"/>
            <a:ext cx="91800" cy="171000"/>
          </xdr14:xfrm>
        </xdr:contentPart>
      </mc:Choice>
      <mc:Fallback xmlns="">
        <xdr:pic>
          <xdr:nvPicPr>
            <xdr:cNvPr id="239" name="Ink 238">
              <a:extLst>
                <a:ext uri="{FF2B5EF4-FFF2-40B4-BE49-F238E27FC236}">
                  <a16:creationId xmlns:a16="http://schemas.microsoft.com/office/drawing/2014/main" id="{5EBC4107-87E4-228E-CC32-F52A151082BD}"/>
                </a:ext>
              </a:extLst>
            </xdr:cNvPr>
            <xdr:cNvPicPr/>
          </xdr:nvPicPr>
          <xdr:blipFill>
            <a:blip xmlns:r="http://schemas.openxmlformats.org/officeDocument/2006/relationships" r:embed="rId46"/>
            <a:stretch>
              <a:fillRect/>
            </a:stretch>
          </xdr:blipFill>
          <xdr:spPr>
            <a:xfrm>
              <a:off x="1009440" y="2629800"/>
              <a:ext cx="109440" cy="188640"/>
            </a:xfrm>
            <a:prstGeom prst="rect">
              <a:avLst/>
            </a:prstGeom>
          </xdr:spPr>
        </xdr:pic>
      </mc:Fallback>
    </mc:AlternateContent>
    <xdr:clientData/>
  </xdr:twoCellAnchor>
  <xdr:twoCellAnchor editAs="oneCell">
    <xdr:from>
      <xdr:col>0</xdr:col>
      <xdr:colOff>9720</xdr:colOff>
      <xdr:row>31</xdr:row>
      <xdr:rowOff>70560</xdr:rowOff>
    </xdr:from>
    <xdr:to>
      <xdr:col>23</xdr:col>
      <xdr:colOff>160320</xdr:colOff>
      <xdr:row>32</xdr:row>
      <xdr:rowOff>177840</xdr:rowOff>
    </xdr:to>
    <mc:AlternateContent xmlns:mc="http://schemas.openxmlformats.org/markup-compatibility/2006" xmlns:xdr14="http://schemas.microsoft.com/office/excel/2010/spreadsheetDrawing">
      <mc:Choice Requires="xdr14">
        <xdr:contentPart xmlns:r="http://schemas.openxmlformats.org/officeDocument/2006/relationships" r:id="rId47">
          <xdr14:nvContentPartPr>
            <xdr14:cNvPr id="240" name="Ink 239">
              <a:extLst>
                <a:ext uri="{FF2B5EF4-FFF2-40B4-BE49-F238E27FC236}">
                  <a16:creationId xmlns:a16="http://schemas.microsoft.com/office/drawing/2014/main" id="{2D272FA3-66EF-DC01-C46A-C00E0BC3AD60}"/>
                </a:ext>
              </a:extLst>
            </xdr14:cNvPr>
            <xdr14:cNvContentPartPr/>
          </xdr14:nvContentPartPr>
          <xdr14:nvPr macro=""/>
          <xdr14:xfrm>
            <a:off x="9720" y="5739840"/>
            <a:ext cx="14171400" cy="290160"/>
          </xdr14:xfrm>
        </xdr:contentPart>
      </mc:Choice>
      <mc:Fallback xmlns="">
        <xdr:pic>
          <xdr:nvPicPr>
            <xdr:cNvPr id="240" name="Ink 239">
              <a:extLst>
                <a:ext uri="{FF2B5EF4-FFF2-40B4-BE49-F238E27FC236}">
                  <a16:creationId xmlns:a16="http://schemas.microsoft.com/office/drawing/2014/main" id="{2D272FA3-66EF-DC01-C46A-C00E0BC3AD60}"/>
                </a:ext>
              </a:extLst>
            </xdr:cNvPr>
            <xdr:cNvPicPr/>
          </xdr:nvPicPr>
          <xdr:blipFill>
            <a:blip xmlns:r="http://schemas.openxmlformats.org/officeDocument/2006/relationships" r:embed="rId48"/>
            <a:stretch>
              <a:fillRect/>
            </a:stretch>
          </xdr:blipFill>
          <xdr:spPr>
            <a:xfrm>
              <a:off x="1080" y="5731200"/>
              <a:ext cx="14189040" cy="307800"/>
            </a:xfrm>
            <a:prstGeom prst="rect">
              <a:avLst/>
            </a:prstGeom>
          </xdr:spPr>
        </xdr:pic>
      </mc:Fallback>
    </mc:AlternateContent>
    <xdr:clientData/>
  </xdr:twoCellAnchor>
  <xdr:twoCellAnchor editAs="oneCell">
    <xdr:from>
      <xdr:col>9</xdr:col>
      <xdr:colOff>557640</xdr:colOff>
      <xdr:row>32</xdr:row>
      <xdr:rowOff>22320</xdr:rowOff>
    </xdr:from>
    <xdr:to>
      <xdr:col>15</xdr:col>
      <xdr:colOff>582480</xdr:colOff>
      <xdr:row>35</xdr:row>
      <xdr:rowOff>11880</xdr:rowOff>
    </xdr:to>
    <mc:AlternateContent xmlns:mc="http://schemas.openxmlformats.org/markup-compatibility/2006" xmlns:xdr14="http://schemas.microsoft.com/office/excel/2010/spreadsheetDrawing">
      <mc:Choice Requires="xdr14">
        <xdr:contentPart xmlns:r="http://schemas.openxmlformats.org/officeDocument/2006/relationships" r:id="rId49">
          <xdr14:nvContentPartPr>
            <xdr14:cNvPr id="257" name="Ink 256">
              <a:extLst>
                <a:ext uri="{FF2B5EF4-FFF2-40B4-BE49-F238E27FC236}">
                  <a16:creationId xmlns:a16="http://schemas.microsoft.com/office/drawing/2014/main" id="{E2C1828B-F848-EE7A-5A67-EA99BD97731B}"/>
                </a:ext>
              </a:extLst>
            </xdr14:cNvPr>
            <xdr14:cNvContentPartPr/>
          </xdr14:nvContentPartPr>
          <xdr14:nvPr macro=""/>
          <xdr14:xfrm>
            <a:off x="6044040" y="5874480"/>
            <a:ext cx="3682440" cy="538200"/>
          </xdr14:xfrm>
        </xdr:contentPart>
      </mc:Choice>
      <mc:Fallback xmlns="">
        <xdr:pic>
          <xdr:nvPicPr>
            <xdr:cNvPr id="257" name="Ink 256">
              <a:extLst>
                <a:ext uri="{FF2B5EF4-FFF2-40B4-BE49-F238E27FC236}">
                  <a16:creationId xmlns:a16="http://schemas.microsoft.com/office/drawing/2014/main" id="{E2C1828B-F848-EE7A-5A67-EA99BD97731B}"/>
                </a:ext>
              </a:extLst>
            </xdr:cNvPr>
            <xdr:cNvPicPr/>
          </xdr:nvPicPr>
          <xdr:blipFill>
            <a:blip xmlns:r="http://schemas.openxmlformats.org/officeDocument/2006/relationships" r:embed="rId50"/>
            <a:stretch>
              <a:fillRect/>
            </a:stretch>
          </xdr:blipFill>
          <xdr:spPr>
            <a:xfrm>
              <a:off x="6035041" y="5865834"/>
              <a:ext cx="3700078" cy="555852"/>
            </a:xfrm>
            <a:prstGeom prst="rect">
              <a:avLst/>
            </a:prstGeom>
          </xdr:spPr>
        </xdr:pic>
      </mc:Fallback>
    </mc:AlternateContent>
    <xdr:clientData/>
  </xdr:twoCellAnchor>
  <xdr:twoCellAnchor editAs="oneCell">
    <xdr:from>
      <xdr:col>8</xdr:col>
      <xdr:colOff>324840</xdr:colOff>
      <xdr:row>33</xdr:row>
      <xdr:rowOff>81720</xdr:rowOff>
    </xdr:from>
    <xdr:to>
      <xdr:col>9</xdr:col>
      <xdr:colOff>253800</xdr:colOff>
      <xdr:row>34</xdr:row>
      <xdr:rowOff>93960</xdr:rowOff>
    </xdr:to>
    <mc:AlternateContent xmlns:mc="http://schemas.openxmlformats.org/markup-compatibility/2006" xmlns:xdr14="http://schemas.microsoft.com/office/excel/2010/spreadsheetDrawing">
      <mc:Choice Requires="xdr14">
        <xdr:contentPart xmlns:r="http://schemas.openxmlformats.org/officeDocument/2006/relationships" r:id="rId51">
          <xdr14:nvContentPartPr>
            <xdr14:cNvPr id="258" name="Ink 257">
              <a:extLst>
                <a:ext uri="{FF2B5EF4-FFF2-40B4-BE49-F238E27FC236}">
                  <a16:creationId xmlns:a16="http://schemas.microsoft.com/office/drawing/2014/main" id="{DD56A985-1101-B959-4E03-636BAA74D983}"/>
                </a:ext>
              </a:extLst>
            </xdr14:cNvPr>
            <xdr14:cNvContentPartPr/>
          </xdr14:nvContentPartPr>
          <xdr14:nvPr macro=""/>
          <xdr14:xfrm>
            <a:off x="5201640" y="6116760"/>
            <a:ext cx="538560" cy="195120"/>
          </xdr14:xfrm>
        </xdr:contentPart>
      </mc:Choice>
      <mc:Fallback xmlns="">
        <xdr:pic>
          <xdr:nvPicPr>
            <xdr:cNvPr id="258" name="Ink 257">
              <a:extLst>
                <a:ext uri="{FF2B5EF4-FFF2-40B4-BE49-F238E27FC236}">
                  <a16:creationId xmlns:a16="http://schemas.microsoft.com/office/drawing/2014/main" id="{DD56A985-1101-B959-4E03-636BAA74D983}"/>
                </a:ext>
              </a:extLst>
            </xdr:cNvPr>
            <xdr:cNvPicPr/>
          </xdr:nvPicPr>
          <xdr:blipFill>
            <a:blip xmlns:r="http://schemas.openxmlformats.org/officeDocument/2006/relationships" r:embed="rId52"/>
            <a:stretch>
              <a:fillRect/>
            </a:stretch>
          </xdr:blipFill>
          <xdr:spPr>
            <a:xfrm>
              <a:off x="5192640" y="6108104"/>
              <a:ext cx="556200" cy="212793"/>
            </a:xfrm>
            <a:prstGeom prst="rect">
              <a:avLst/>
            </a:prstGeom>
          </xdr:spPr>
        </xdr:pic>
      </mc:Fallback>
    </mc:AlternateContent>
    <xdr:clientData/>
  </xdr:twoCellAnchor>
  <xdr:twoCellAnchor editAs="oneCell">
    <xdr:from>
      <xdr:col>8</xdr:col>
      <xdr:colOff>391440</xdr:colOff>
      <xdr:row>34</xdr:row>
      <xdr:rowOff>83520</xdr:rowOff>
    </xdr:from>
    <xdr:to>
      <xdr:col>16</xdr:col>
      <xdr:colOff>233160</xdr:colOff>
      <xdr:row>35</xdr:row>
      <xdr:rowOff>92520</xdr:rowOff>
    </xdr:to>
    <mc:AlternateContent xmlns:mc="http://schemas.openxmlformats.org/markup-compatibility/2006" xmlns:xdr14="http://schemas.microsoft.com/office/excel/2010/spreadsheetDrawing">
      <mc:Choice Requires="xdr14">
        <xdr:contentPart xmlns:r="http://schemas.openxmlformats.org/officeDocument/2006/relationships" r:id="rId53">
          <xdr14:nvContentPartPr>
            <xdr14:cNvPr id="259" name="Ink 258">
              <a:extLst>
                <a:ext uri="{FF2B5EF4-FFF2-40B4-BE49-F238E27FC236}">
                  <a16:creationId xmlns:a16="http://schemas.microsoft.com/office/drawing/2014/main" id="{BEF33608-980D-93BE-7DED-D7398E4C80ED}"/>
                </a:ext>
              </a:extLst>
            </xdr14:cNvPr>
            <xdr14:cNvContentPartPr/>
          </xdr14:nvContentPartPr>
          <xdr14:nvPr macro=""/>
          <xdr14:xfrm>
            <a:off x="5268240" y="6301440"/>
            <a:ext cx="4718520" cy="191880"/>
          </xdr14:xfrm>
        </xdr:contentPart>
      </mc:Choice>
      <mc:Fallback xmlns="">
        <xdr:pic>
          <xdr:nvPicPr>
            <xdr:cNvPr id="259" name="Ink 258">
              <a:extLst>
                <a:ext uri="{FF2B5EF4-FFF2-40B4-BE49-F238E27FC236}">
                  <a16:creationId xmlns:a16="http://schemas.microsoft.com/office/drawing/2014/main" id="{BEF33608-980D-93BE-7DED-D7398E4C80ED}"/>
                </a:ext>
              </a:extLst>
            </xdr:cNvPr>
            <xdr:cNvPicPr/>
          </xdr:nvPicPr>
          <xdr:blipFill>
            <a:blip xmlns:r="http://schemas.openxmlformats.org/officeDocument/2006/relationships" r:embed="rId54"/>
            <a:stretch>
              <a:fillRect/>
            </a:stretch>
          </xdr:blipFill>
          <xdr:spPr>
            <a:xfrm>
              <a:off x="5259600" y="6292440"/>
              <a:ext cx="4736160" cy="209520"/>
            </a:xfrm>
            <a:prstGeom prst="rect">
              <a:avLst/>
            </a:prstGeom>
          </xdr:spPr>
        </xdr:pic>
      </mc:Fallback>
    </mc:AlternateContent>
    <xdr:clientData/>
  </xdr:twoCellAnchor>
  <xdr:twoCellAnchor editAs="oneCell">
    <xdr:from>
      <xdr:col>0</xdr:col>
      <xdr:colOff>371520</xdr:colOff>
      <xdr:row>38</xdr:row>
      <xdr:rowOff>57240</xdr:rowOff>
    </xdr:from>
    <xdr:to>
      <xdr:col>1</xdr:col>
      <xdr:colOff>394440</xdr:colOff>
      <xdr:row>39</xdr:row>
      <xdr:rowOff>156960</xdr:rowOff>
    </xdr:to>
    <mc:AlternateContent xmlns:mc="http://schemas.openxmlformats.org/markup-compatibility/2006" xmlns:xdr14="http://schemas.microsoft.com/office/excel/2010/spreadsheetDrawing">
      <mc:Choice Requires="xdr14">
        <xdr:contentPart xmlns:r="http://schemas.openxmlformats.org/officeDocument/2006/relationships" r:id="rId55">
          <xdr14:nvContentPartPr>
            <xdr14:cNvPr id="265" name="Ink 264">
              <a:extLst>
                <a:ext uri="{FF2B5EF4-FFF2-40B4-BE49-F238E27FC236}">
                  <a16:creationId xmlns:a16="http://schemas.microsoft.com/office/drawing/2014/main" id="{CFFE12A7-9DA8-B14A-09D2-032F711F46CC}"/>
                </a:ext>
              </a:extLst>
            </xdr14:cNvPr>
            <xdr14:cNvContentPartPr/>
          </xdr14:nvContentPartPr>
          <xdr14:nvPr macro=""/>
          <xdr14:xfrm>
            <a:off x="371520" y="7006680"/>
            <a:ext cx="632520" cy="282600"/>
          </xdr14:xfrm>
        </xdr:contentPart>
      </mc:Choice>
      <mc:Fallback xmlns="">
        <xdr:pic>
          <xdr:nvPicPr>
            <xdr:cNvPr id="265" name="Ink 264">
              <a:extLst>
                <a:ext uri="{FF2B5EF4-FFF2-40B4-BE49-F238E27FC236}">
                  <a16:creationId xmlns:a16="http://schemas.microsoft.com/office/drawing/2014/main" id="{CFFE12A7-9DA8-B14A-09D2-032F711F46CC}"/>
                </a:ext>
              </a:extLst>
            </xdr:cNvPr>
            <xdr:cNvPicPr/>
          </xdr:nvPicPr>
          <xdr:blipFill>
            <a:blip xmlns:r="http://schemas.openxmlformats.org/officeDocument/2006/relationships" r:embed="rId56"/>
            <a:stretch>
              <a:fillRect/>
            </a:stretch>
          </xdr:blipFill>
          <xdr:spPr>
            <a:xfrm>
              <a:off x="362525" y="6997680"/>
              <a:ext cx="650150" cy="300240"/>
            </a:xfrm>
            <a:prstGeom prst="rect">
              <a:avLst/>
            </a:prstGeom>
          </xdr:spPr>
        </xdr:pic>
      </mc:Fallback>
    </mc:AlternateContent>
    <xdr:clientData/>
  </xdr:twoCellAnchor>
  <xdr:twoCellAnchor editAs="oneCell">
    <xdr:from>
      <xdr:col>2</xdr:col>
      <xdr:colOff>179040</xdr:colOff>
      <xdr:row>38</xdr:row>
      <xdr:rowOff>141120</xdr:rowOff>
    </xdr:from>
    <xdr:to>
      <xdr:col>2</xdr:col>
      <xdr:colOff>377040</xdr:colOff>
      <xdr:row>39</xdr:row>
      <xdr:rowOff>61560</xdr:rowOff>
    </xdr:to>
    <mc:AlternateContent xmlns:mc="http://schemas.openxmlformats.org/markup-compatibility/2006" xmlns:xdr14="http://schemas.microsoft.com/office/excel/2010/spreadsheetDrawing">
      <mc:Choice Requires="xdr14">
        <xdr:contentPart xmlns:r="http://schemas.openxmlformats.org/officeDocument/2006/relationships" r:id="rId57">
          <xdr14:nvContentPartPr>
            <xdr14:cNvPr id="268" name="Ink 267">
              <a:extLst>
                <a:ext uri="{FF2B5EF4-FFF2-40B4-BE49-F238E27FC236}">
                  <a16:creationId xmlns:a16="http://schemas.microsoft.com/office/drawing/2014/main" id="{3B48D29F-2CEA-C29C-47B4-FA7B3FC85D0F}"/>
                </a:ext>
              </a:extLst>
            </xdr14:cNvPr>
            <xdr14:cNvContentPartPr/>
          </xdr14:nvContentPartPr>
          <xdr14:nvPr macro=""/>
          <xdr14:xfrm>
            <a:off x="1398240" y="7090560"/>
            <a:ext cx="198000" cy="103320"/>
          </xdr14:xfrm>
        </xdr:contentPart>
      </mc:Choice>
      <mc:Fallback xmlns="">
        <xdr:pic>
          <xdr:nvPicPr>
            <xdr:cNvPr id="268" name="Ink 267">
              <a:extLst>
                <a:ext uri="{FF2B5EF4-FFF2-40B4-BE49-F238E27FC236}">
                  <a16:creationId xmlns:a16="http://schemas.microsoft.com/office/drawing/2014/main" id="{3B48D29F-2CEA-C29C-47B4-FA7B3FC85D0F}"/>
                </a:ext>
              </a:extLst>
            </xdr:cNvPr>
            <xdr:cNvPicPr/>
          </xdr:nvPicPr>
          <xdr:blipFill>
            <a:blip xmlns:r="http://schemas.openxmlformats.org/officeDocument/2006/relationships" r:embed="rId58"/>
            <a:stretch>
              <a:fillRect/>
            </a:stretch>
          </xdr:blipFill>
          <xdr:spPr>
            <a:xfrm>
              <a:off x="1389600" y="7081560"/>
              <a:ext cx="215640" cy="120960"/>
            </a:xfrm>
            <a:prstGeom prst="rect">
              <a:avLst/>
            </a:prstGeom>
          </xdr:spPr>
        </xdr:pic>
      </mc:Fallback>
    </mc:AlternateContent>
    <xdr:clientData/>
  </xdr:twoCellAnchor>
  <xdr:twoCellAnchor editAs="oneCell">
    <xdr:from>
      <xdr:col>3</xdr:col>
      <xdr:colOff>52920</xdr:colOff>
      <xdr:row>38</xdr:row>
      <xdr:rowOff>12960</xdr:rowOff>
    </xdr:from>
    <xdr:to>
      <xdr:col>4</xdr:col>
      <xdr:colOff>462120</xdr:colOff>
      <xdr:row>39</xdr:row>
      <xdr:rowOff>105480</xdr:rowOff>
    </xdr:to>
    <mc:AlternateContent xmlns:mc="http://schemas.openxmlformats.org/markup-compatibility/2006" xmlns:xdr14="http://schemas.microsoft.com/office/excel/2010/spreadsheetDrawing">
      <mc:Choice Requires="xdr14">
        <xdr:contentPart xmlns:r="http://schemas.openxmlformats.org/officeDocument/2006/relationships" r:id="rId59">
          <xdr14:nvContentPartPr>
            <xdr14:cNvPr id="276" name="Ink 275">
              <a:extLst>
                <a:ext uri="{FF2B5EF4-FFF2-40B4-BE49-F238E27FC236}">
                  <a16:creationId xmlns:a16="http://schemas.microsoft.com/office/drawing/2014/main" id="{89A3CE2D-6D2D-FC0D-6DD6-D0FA3786CCE8}"/>
                </a:ext>
              </a:extLst>
            </xdr14:cNvPr>
            <xdr14:cNvContentPartPr/>
          </xdr14:nvContentPartPr>
          <xdr14:nvPr macro=""/>
          <xdr14:xfrm>
            <a:off x="1881720" y="6962400"/>
            <a:ext cx="1018800" cy="275400"/>
          </xdr14:xfrm>
        </xdr:contentPart>
      </mc:Choice>
      <mc:Fallback xmlns="">
        <xdr:pic>
          <xdr:nvPicPr>
            <xdr:cNvPr id="276" name="Ink 275">
              <a:extLst>
                <a:ext uri="{FF2B5EF4-FFF2-40B4-BE49-F238E27FC236}">
                  <a16:creationId xmlns:a16="http://schemas.microsoft.com/office/drawing/2014/main" id="{89A3CE2D-6D2D-FC0D-6DD6-D0FA3786CCE8}"/>
                </a:ext>
              </a:extLst>
            </xdr:cNvPr>
            <xdr:cNvPicPr/>
          </xdr:nvPicPr>
          <xdr:blipFill>
            <a:blip xmlns:r="http://schemas.openxmlformats.org/officeDocument/2006/relationships" r:embed="rId60"/>
            <a:stretch>
              <a:fillRect/>
            </a:stretch>
          </xdr:blipFill>
          <xdr:spPr>
            <a:xfrm>
              <a:off x="1873080" y="6953400"/>
              <a:ext cx="1036440" cy="293040"/>
            </a:xfrm>
            <a:prstGeom prst="rect">
              <a:avLst/>
            </a:prstGeom>
          </xdr:spPr>
        </xdr:pic>
      </mc:Fallback>
    </mc:AlternateContent>
    <xdr:clientData/>
  </xdr:twoCellAnchor>
  <xdr:twoCellAnchor editAs="oneCell">
    <xdr:from>
      <xdr:col>5</xdr:col>
      <xdr:colOff>380280</xdr:colOff>
      <xdr:row>37</xdr:row>
      <xdr:rowOff>128520</xdr:rowOff>
    </xdr:from>
    <xdr:to>
      <xdr:col>6</xdr:col>
      <xdr:colOff>380160</xdr:colOff>
      <xdr:row>40</xdr:row>
      <xdr:rowOff>3960</xdr:rowOff>
    </xdr:to>
    <mc:AlternateContent xmlns:mc="http://schemas.openxmlformats.org/markup-compatibility/2006" xmlns:xdr14="http://schemas.microsoft.com/office/excel/2010/spreadsheetDrawing">
      <mc:Choice Requires="xdr14">
        <xdr:contentPart xmlns:r="http://schemas.openxmlformats.org/officeDocument/2006/relationships" r:id="rId61">
          <xdr14:nvContentPartPr>
            <xdr14:cNvPr id="286" name="Ink 285">
              <a:extLst>
                <a:ext uri="{FF2B5EF4-FFF2-40B4-BE49-F238E27FC236}">
                  <a16:creationId xmlns:a16="http://schemas.microsoft.com/office/drawing/2014/main" id="{AA385243-9EC8-231A-300C-D34CB7F31B9B}"/>
                </a:ext>
              </a:extLst>
            </xdr14:cNvPr>
            <xdr14:cNvContentPartPr/>
          </xdr14:nvContentPartPr>
          <xdr14:nvPr macro=""/>
          <xdr14:xfrm>
            <a:off x="3428280" y="6895080"/>
            <a:ext cx="609480" cy="424080"/>
          </xdr14:xfrm>
        </xdr:contentPart>
      </mc:Choice>
      <mc:Fallback xmlns="">
        <xdr:pic>
          <xdr:nvPicPr>
            <xdr:cNvPr id="286" name="Ink 285">
              <a:extLst>
                <a:ext uri="{FF2B5EF4-FFF2-40B4-BE49-F238E27FC236}">
                  <a16:creationId xmlns:a16="http://schemas.microsoft.com/office/drawing/2014/main" id="{AA385243-9EC8-231A-300C-D34CB7F31B9B}"/>
                </a:ext>
              </a:extLst>
            </xdr:cNvPr>
            <xdr:cNvPicPr/>
          </xdr:nvPicPr>
          <xdr:blipFill>
            <a:blip xmlns:r="http://schemas.openxmlformats.org/officeDocument/2006/relationships" r:embed="rId62"/>
            <a:stretch>
              <a:fillRect/>
            </a:stretch>
          </xdr:blipFill>
          <xdr:spPr>
            <a:xfrm>
              <a:off x="3419285" y="6886080"/>
              <a:ext cx="627110" cy="441720"/>
            </a:xfrm>
            <a:prstGeom prst="rect">
              <a:avLst/>
            </a:prstGeom>
          </xdr:spPr>
        </xdr:pic>
      </mc:Fallback>
    </mc:AlternateContent>
    <xdr:clientData/>
  </xdr:twoCellAnchor>
  <xdr:twoCellAnchor editAs="oneCell">
    <xdr:from>
      <xdr:col>3</xdr:col>
      <xdr:colOff>75960</xdr:colOff>
      <xdr:row>39</xdr:row>
      <xdr:rowOff>140400</xdr:rowOff>
    </xdr:from>
    <xdr:to>
      <xdr:col>3</xdr:col>
      <xdr:colOff>456120</xdr:colOff>
      <xdr:row>39</xdr:row>
      <xdr:rowOff>177840</xdr:rowOff>
    </xdr:to>
    <mc:AlternateContent xmlns:mc="http://schemas.openxmlformats.org/markup-compatibility/2006" xmlns:xdr14="http://schemas.microsoft.com/office/excel/2010/spreadsheetDrawing">
      <mc:Choice Requires="xdr14">
        <xdr:contentPart xmlns:r="http://schemas.openxmlformats.org/officeDocument/2006/relationships" r:id="rId63">
          <xdr14:nvContentPartPr>
            <xdr14:cNvPr id="291" name="Ink 290">
              <a:extLst>
                <a:ext uri="{FF2B5EF4-FFF2-40B4-BE49-F238E27FC236}">
                  <a16:creationId xmlns:a16="http://schemas.microsoft.com/office/drawing/2014/main" id="{52779BD2-8C99-7FC3-9CE6-0D877290F1AF}"/>
                </a:ext>
              </a:extLst>
            </xdr14:cNvPr>
            <xdr14:cNvContentPartPr/>
          </xdr14:nvContentPartPr>
          <xdr14:nvPr macro=""/>
          <xdr14:xfrm>
            <a:off x="1904760" y="7272720"/>
            <a:ext cx="380160" cy="37440"/>
          </xdr14:xfrm>
        </xdr:contentPart>
      </mc:Choice>
      <mc:Fallback xmlns="">
        <xdr:pic>
          <xdr:nvPicPr>
            <xdr:cNvPr id="291" name="Ink 290">
              <a:extLst>
                <a:ext uri="{FF2B5EF4-FFF2-40B4-BE49-F238E27FC236}">
                  <a16:creationId xmlns:a16="http://schemas.microsoft.com/office/drawing/2014/main" id="{52779BD2-8C99-7FC3-9CE6-0D877290F1AF}"/>
                </a:ext>
              </a:extLst>
            </xdr:cNvPr>
            <xdr:cNvPicPr/>
          </xdr:nvPicPr>
          <xdr:blipFill>
            <a:blip xmlns:r="http://schemas.openxmlformats.org/officeDocument/2006/relationships" r:embed="rId64"/>
            <a:stretch>
              <a:fillRect/>
            </a:stretch>
          </xdr:blipFill>
          <xdr:spPr>
            <a:xfrm>
              <a:off x="1896112" y="7263720"/>
              <a:ext cx="397817" cy="55080"/>
            </a:xfrm>
            <a:prstGeom prst="rect">
              <a:avLst/>
            </a:prstGeom>
          </xdr:spPr>
        </xdr:pic>
      </mc:Fallback>
    </mc:AlternateContent>
    <xdr:clientData/>
  </xdr:twoCellAnchor>
  <xdr:twoCellAnchor editAs="oneCell">
    <xdr:from>
      <xdr:col>0</xdr:col>
      <xdr:colOff>318240</xdr:colOff>
      <xdr:row>42</xdr:row>
      <xdr:rowOff>5760</xdr:rowOff>
    </xdr:from>
    <xdr:to>
      <xdr:col>2</xdr:col>
      <xdr:colOff>399720</xdr:colOff>
      <xdr:row>43</xdr:row>
      <xdr:rowOff>163080</xdr:rowOff>
    </xdr:to>
    <mc:AlternateContent xmlns:mc="http://schemas.openxmlformats.org/markup-compatibility/2006" xmlns:xdr14="http://schemas.microsoft.com/office/excel/2010/spreadsheetDrawing">
      <mc:Choice Requires="xdr14">
        <xdr:contentPart xmlns:r="http://schemas.openxmlformats.org/officeDocument/2006/relationships" r:id="rId65">
          <xdr14:nvContentPartPr>
            <xdr14:cNvPr id="309" name="Ink 308">
              <a:extLst>
                <a:ext uri="{FF2B5EF4-FFF2-40B4-BE49-F238E27FC236}">
                  <a16:creationId xmlns:a16="http://schemas.microsoft.com/office/drawing/2014/main" id="{8342F3BE-9034-6ED0-68E7-A3FC6B099369}"/>
                </a:ext>
              </a:extLst>
            </xdr14:cNvPr>
            <xdr14:cNvContentPartPr/>
          </xdr14:nvContentPartPr>
          <xdr14:nvPr macro=""/>
          <xdr14:xfrm>
            <a:off x="318240" y="7686720"/>
            <a:ext cx="1300680" cy="340200"/>
          </xdr14:xfrm>
        </xdr:contentPart>
      </mc:Choice>
      <mc:Fallback xmlns="">
        <xdr:pic>
          <xdr:nvPicPr>
            <xdr:cNvPr id="309" name="Ink 308">
              <a:extLst>
                <a:ext uri="{FF2B5EF4-FFF2-40B4-BE49-F238E27FC236}">
                  <a16:creationId xmlns:a16="http://schemas.microsoft.com/office/drawing/2014/main" id="{8342F3BE-9034-6ED0-68E7-A3FC6B099369}"/>
                </a:ext>
              </a:extLst>
            </xdr:cNvPr>
            <xdr:cNvPicPr/>
          </xdr:nvPicPr>
          <xdr:blipFill>
            <a:blip xmlns:r="http://schemas.openxmlformats.org/officeDocument/2006/relationships" r:embed="rId66"/>
            <a:stretch>
              <a:fillRect/>
            </a:stretch>
          </xdr:blipFill>
          <xdr:spPr>
            <a:xfrm>
              <a:off x="309598" y="7678080"/>
              <a:ext cx="1318325" cy="357840"/>
            </a:xfrm>
            <a:prstGeom prst="rect">
              <a:avLst/>
            </a:prstGeom>
          </xdr:spPr>
        </xdr:pic>
      </mc:Fallback>
    </mc:AlternateContent>
    <xdr:clientData/>
  </xdr:twoCellAnchor>
  <xdr:twoCellAnchor editAs="oneCell">
    <xdr:from>
      <xdr:col>3</xdr:col>
      <xdr:colOff>126360</xdr:colOff>
      <xdr:row>41</xdr:row>
      <xdr:rowOff>75240</xdr:rowOff>
    </xdr:from>
    <xdr:to>
      <xdr:col>6</xdr:col>
      <xdr:colOff>336600</xdr:colOff>
      <xdr:row>43</xdr:row>
      <xdr:rowOff>108360</xdr:rowOff>
    </xdr:to>
    <mc:AlternateContent xmlns:mc="http://schemas.openxmlformats.org/markup-compatibility/2006" xmlns:xdr14="http://schemas.microsoft.com/office/excel/2010/spreadsheetDrawing">
      <mc:Choice Requires="xdr14">
        <xdr:contentPart xmlns:r="http://schemas.openxmlformats.org/officeDocument/2006/relationships" r:id="rId67">
          <xdr14:nvContentPartPr>
            <xdr14:cNvPr id="311" name="Ink 310">
              <a:extLst>
                <a:ext uri="{FF2B5EF4-FFF2-40B4-BE49-F238E27FC236}">
                  <a16:creationId xmlns:a16="http://schemas.microsoft.com/office/drawing/2014/main" id="{311172F2-FE89-2CC0-593D-ABFF1BCDBAB6}"/>
                </a:ext>
              </a:extLst>
            </xdr14:cNvPr>
            <xdr14:cNvContentPartPr/>
          </xdr14:nvContentPartPr>
          <xdr14:nvPr macro=""/>
          <xdr14:xfrm>
            <a:off x="1955160" y="7573320"/>
            <a:ext cx="2039040" cy="398880"/>
          </xdr14:xfrm>
        </xdr:contentPart>
      </mc:Choice>
      <mc:Fallback xmlns="">
        <xdr:pic>
          <xdr:nvPicPr>
            <xdr:cNvPr id="311" name="Ink 310">
              <a:extLst>
                <a:ext uri="{FF2B5EF4-FFF2-40B4-BE49-F238E27FC236}">
                  <a16:creationId xmlns:a16="http://schemas.microsoft.com/office/drawing/2014/main" id="{311172F2-FE89-2CC0-593D-ABFF1BCDBAB6}"/>
                </a:ext>
              </a:extLst>
            </xdr:cNvPr>
            <xdr:cNvPicPr/>
          </xdr:nvPicPr>
          <xdr:blipFill>
            <a:blip xmlns:r="http://schemas.openxmlformats.org/officeDocument/2006/relationships" r:embed="rId68"/>
            <a:stretch>
              <a:fillRect/>
            </a:stretch>
          </xdr:blipFill>
          <xdr:spPr>
            <a:xfrm>
              <a:off x="1946160" y="7564680"/>
              <a:ext cx="2056680" cy="416520"/>
            </a:xfrm>
            <a:prstGeom prst="rect">
              <a:avLst/>
            </a:prstGeom>
          </xdr:spPr>
        </xdr:pic>
      </mc:Fallback>
    </mc:AlternateContent>
    <xdr:clientData/>
  </xdr:twoCellAnchor>
  <xdr:twoCellAnchor editAs="oneCell">
    <xdr:from>
      <xdr:col>6</xdr:col>
      <xdr:colOff>562680</xdr:colOff>
      <xdr:row>44</xdr:row>
      <xdr:rowOff>56160</xdr:rowOff>
    </xdr:from>
    <xdr:to>
      <xdr:col>8</xdr:col>
      <xdr:colOff>448320</xdr:colOff>
      <xdr:row>45</xdr:row>
      <xdr:rowOff>173880</xdr:rowOff>
    </xdr:to>
    <mc:AlternateContent xmlns:mc="http://schemas.openxmlformats.org/markup-compatibility/2006" xmlns:xdr14="http://schemas.microsoft.com/office/excel/2010/spreadsheetDrawing">
      <mc:Choice Requires="xdr14">
        <xdr:contentPart xmlns:r="http://schemas.openxmlformats.org/officeDocument/2006/relationships" r:id="rId69">
          <xdr14:nvContentPartPr>
            <xdr14:cNvPr id="333" name="Ink 332">
              <a:extLst>
                <a:ext uri="{FF2B5EF4-FFF2-40B4-BE49-F238E27FC236}">
                  <a16:creationId xmlns:a16="http://schemas.microsoft.com/office/drawing/2014/main" id="{04E7FC40-CB30-8614-4B6A-E4BA8B9BDB63}"/>
                </a:ext>
              </a:extLst>
            </xdr14:cNvPr>
            <xdr14:cNvContentPartPr/>
          </xdr14:nvContentPartPr>
          <xdr14:nvPr macro=""/>
          <xdr14:xfrm>
            <a:off x="4220280" y="8102880"/>
            <a:ext cx="1104840" cy="300600"/>
          </xdr14:xfrm>
        </xdr:contentPart>
      </mc:Choice>
      <mc:Fallback xmlns="">
        <xdr:pic>
          <xdr:nvPicPr>
            <xdr:cNvPr id="333" name="Ink 332">
              <a:extLst>
                <a:ext uri="{FF2B5EF4-FFF2-40B4-BE49-F238E27FC236}">
                  <a16:creationId xmlns:a16="http://schemas.microsoft.com/office/drawing/2014/main" id="{04E7FC40-CB30-8614-4B6A-E4BA8B9BDB63}"/>
                </a:ext>
              </a:extLst>
            </xdr:cNvPr>
            <xdr:cNvPicPr/>
          </xdr:nvPicPr>
          <xdr:blipFill>
            <a:blip xmlns:r="http://schemas.openxmlformats.org/officeDocument/2006/relationships" r:embed="rId70"/>
            <a:stretch>
              <a:fillRect/>
            </a:stretch>
          </xdr:blipFill>
          <xdr:spPr>
            <a:xfrm>
              <a:off x="4211640" y="8094240"/>
              <a:ext cx="1122480" cy="318240"/>
            </a:xfrm>
            <a:prstGeom prst="rect">
              <a:avLst/>
            </a:prstGeom>
          </xdr:spPr>
        </xdr:pic>
      </mc:Fallback>
    </mc:AlternateContent>
    <xdr:clientData/>
  </xdr:twoCellAnchor>
  <xdr:twoCellAnchor editAs="oneCell">
    <xdr:from>
      <xdr:col>8</xdr:col>
      <xdr:colOff>510600</xdr:colOff>
      <xdr:row>46</xdr:row>
      <xdr:rowOff>91440</xdr:rowOff>
    </xdr:from>
    <xdr:to>
      <xdr:col>13</xdr:col>
      <xdr:colOff>331080</xdr:colOff>
      <xdr:row>49</xdr:row>
      <xdr:rowOff>109440</xdr:rowOff>
    </xdr:to>
    <mc:AlternateContent xmlns:mc="http://schemas.openxmlformats.org/markup-compatibility/2006" xmlns:xdr14="http://schemas.microsoft.com/office/excel/2010/spreadsheetDrawing">
      <mc:Choice Requires="xdr14">
        <xdr:contentPart xmlns:r="http://schemas.openxmlformats.org/officeDocument/2006/relationships" r:id="rId71">
          <xdr14:nvContentPartPr>
            <xdr14:cNvPr id="396" name="Ink 395">
              <a:extLst>
                <a:ext uri="{FF2B5EF4-FFF2-40B4-BE49-F238E27FC236}">
                  <a16:creationId xmlns:a16="http://schemas.microsoft.com/office/drawing/2014/main" id="{FCA11369-D839-23B3-A64B-4D367C7FBDFD}"/>
                </a:ext>
              </a:extLst>
            </xdr14:cNvPr>
            <xdr14:cNvContentPartPr/>
          </xdr14:nvContentPartPr>
          <xdr14:nvPr macro=""/>
          <xdr14:xfrm>
            <a:off x="5387400" y="8503920"/>
            <a:ext cx="2868480" cy="566640"/>
          </xdr14:xfrm>
        </xdr:contentPart>
      </mc:Choice>
      <mc:Fallback xmlns="">
        <xdr:pic>
          <xdr:nvPicPr>
            <xdr:cNvPr id="396" name="Ink 395">
              <a:extLst>
                <a:ext uri="{FF2B5EF4-FFF2-40B4-BE49-F238E27FC236}">
                  <a16:creationId xmlns:a16="http://schemas.microsoft.com/office/drawing/2014/main" id="{FCA11369-D839-23B3-A64B-4D367C7FBDFD}"/>
                </a:ext>
              </a:extLst>
            </xdr:cNvPr>
            <xdr:cNvPicPr/>
          </xdr:nvPicPr>
          <xdr:blipFill>
            <a:blip xmlns:r="http://schemas.openxmlformats.org/officeDocument/2006/relationships" r:embed="rId72"/>
            <a:stretch>
              <a:fillRect/>
            </a:stretch>
          </xdr:blipFill>
          <xdr:spPr>
            <a:xfrm>
              <a:off x="5378759" y="8495280"/>
              <a:ext cx="2886122" cy="584280"/>
            </a:xfrm>
            <a:prstGeom prst="rect">
              <a:avLst/>
            </a:prstGeom>
          </xdr:spPr>
        </xdr:pic>
      </mc:Fallback>
    </mc:AlternateContent>
    <xdr:clientData/>
  </xdr:twoCellAnchor>
  <xdr:twoCellAnchor editAs="oneCell">
    <xdr:from>
      <xdr:col>3</xdr:col>
      <xdr:colOff>477720</xdr:colOff>
      <xdr:row>44</xdr:row>
      <xdr:rowOff>26640</xdr:rowOff>
    </xdr:from>
    <xdr:to>
      <xdr:col>7</xdr:col>
      <xdr:colOff>574080</xdr:colOff>
      <xdr:row>49</xdr:row>
      <xdr:rowOff>55080</xdr:rowOff>
    </xdr:to>
    <mc:AlternateContent xmlns:mc="http://schemas.openxmlformats.org/markup-compatibility/2006" xmlns:xdr14="http://schemas.microsoft.com/office/excel/2010/spreadsheetDrawing">
      <mc:Choice Requires="xdr14">
        <xdr:contentPart xmlns:r="http://schemas.openxmlformats.org/officeDocument/2006/relationships" r:id="rId73">
          <xdr14:nvContentPartPr>
            <xdr14:cNvPr id="400" name="Ink 399">
              <a:extLst>
                <a:ext uri="{FF2B5EF4-FFF2-40B4-BE49-F238E27FC236}">
                  <a16:creationId xmlns:a16="http://schemas.microsoft.com/office/drawing/2014/main" id="{B5746733-889C-A436-CC1B-10E357027ED6}"/>
                </a:ext>
              </a:extLst>
            </xdr14:cNvPr>
            <xdr14:cNvContentPartPr/>
          </xdr14:nvContentPartPr>
          <xdr14:nvPr macro=""/>
          <xdr14:xfrm>
            <a:off x="2306520" y="8073360"/>
            <a:ext cx="2534760" cy="942840"/>
          </xdr14:xfrm>
        </xdr:contentPart>
      </mc:Choice>
      <mc:Fallback xmlns="">
        <xdr:pic>
          <xdr:nvPicPr>
            <xdr:cNvPr id="400" name="Ink 399">
              <a:extLst>
                <a:ext uri="{FF2B5EF4-FFF2-40B4-BE49-F238E27FC236}">
                  <a16:creationId xmlns:a16="http://schemas.microsoft.com/office/drawing/2014/main" id="{B5746733-889C-A436-CC1B-10E357027ED6}"/>
                </a:ext>
              </a:extLst>
            </xdr:cNvPr>
            <xdr:cNvPicPr/>
          </xdr:nvPicPr>
          <xdr:blipFill>
            <a:blip xmlns:r="http://schemas.openxmlformats.org/officeDocument/2006/relationships" r:embed="rId74"/>
            <a:stretch>
              <a:fillRect/>
            </a:stretch>
          </xdr:blipFill>
          <xdr:spPr>
            <a:xfrm>
              <a:off x="2297520" y="8064357"/>
              <a:ext cx="2552400" cy="960487"/>
            </a:xfrm>
            <a:prstGeom prst="rect">
              <a:avLst/>
            </a:prstGeom>
          </xdr:spPr>
        </xdr:pic>
      </mc:Fallback>
    </mc:AlternateContent>
    <xdr:clientData/>
  </xdr:twoCellAnchor>
  <xdr:twoCellAnchor editAs="oneCell">
    <xdr:from>
      <xdr:col>5</xdr:col>
      <xdr:colOff>318360</xdr:colOff>
      <xdr:row>52</xdr:row>
      <xdr:rowOff>49680</xdr:rowOff>
    </xdr:from>
    <xdr:to>
      <xdr:col>10</xdr:col>
      <xdr:colOff>297240</xdr:colOff>
      <xdr:row>54</xdr:row>
      <xdr:rowOff>147240</xdr:rowOff>
    </xdr:to>
    <mc:AlternateContent xmlns:mc="http://schemas.openxmlformats.org/markup-compatibility/2006" xmlns:xdr14="http://schemas.microsoft.com/office/excel/2010/spreadsheetDrawing">
      <mc:Choice Requires="xdr14">
        <xdr:contentPart xmlns:r="http://schemas.openxmlformats.org/officeDocument/2006/relationships" r:id="rId75">
          <xdr14:nvContentPartPr>
            <xdr14:cNvPr id="422" name="Ink 421">
              <a:extLst>
                <a:ext uri="{FF2B5EF4-FFF2-40B4-BE49-F238E27FC236}">
                  <a16:creationId xmlns:a16="http://schemas.microsoft.com/office/drawing/2014/main" id="{5B9D7622-6A2B-DF93-664F-19DD574F68D4}"/>
                </a:ext>
              </a:extLst>
            </xdr14:cNvPr>
            <xdr14:cNvContentPartPr/>
          </xdr14:nvContentPartPr>
          <xdr14:nvPr macro=""/>
          <xdr14:xfrm>
            <a:off x="3366360" y="9559440"/>
            <a:ext cx="3026880" cy="463320"/>
          </xdr14:xfrm>
        </xdr:contentPart>
      </mc:Choice>
      <mc:Fallback xmlns="">
        <xdr:pic>
          <xdr:nvPicPr>
            <xdr:cNvPr id="422" name="Ink 421">
              <a:extLst>
                <a:ext uri="{FF2B5EF4-FFF2-40B4-BE49-F238E27FC236}">
                  <a16:creationId xmlns:a16="http://schemas.microsoft.com/office/drawing/2014/main" id="{5B9D7622-6A2B-DF93-664F-19DD574F68D4}"/>
                </a:ext>
              </a:extLst>
            </xdr:cNvPr>
            <xdr:cNvPicPr/>
          </xdr:nvPicPr>
          <xdr:blipFill>
            <a:blip xmlns:r="http://schemas.openxmlformats.org/officeDocument/2006/relationships" r:embed="rId76"/>
            <a:stretch>
              <a:fillRect/>
            </a:stretch>
          </xdr:blipFill>
          <xdr:spPr>
            <a:xfrm>
              <a:off x="3357360" y="9550440"/>
              <a:ext cx="3044520" cy="480960"/>
            </a:xfrm>
            <a:prstGeom prst="rect">
              <a:avLst/>
            </a:prstGeom>
          </xdr:spPr>
        </xdr:pic>
      </mc:Fallback>
    </mc:AlternateContent>
    <xdr:clientData/>
  </xdr:twoCellAnchor>
  <xdr:twoCellAnchor editAs="oneCell">
    <xdr:from>
      <xdr:col>3</xdr:col>
      <xdr:colOff>440280</xdr:colOff>
      <xdr:row>52</xdr:row>
      <xdr:rowOff>105840</xdr:rowOff>
    </xdr:from>
    <xdr:to>
      <xdr:col>5</xdr:col>
      <xdr:colOff>64200</xdr:colOff>
      <xdr:row>53</xdr:row>
      <xdr:rowOff>156240</xdr:rowOff>
    </xdr:to>
    <mc:AlternateContent xmlns:mc="http://schemas.openxmlformats.org/markup-compatibility/2006" xmlns:xdr14="http://schemas.microsoft.com/office/excel/2010/spreadsheetDrawing">
      <mc:Choice Requires="xdr14">
        <xdr:contentPart xmlns:r="http://schemas.openxmlformats.org/officeDocument/2006/relationships" r:id="rId77">
          <xdr14:nvContentPartPr>
            <xdr14:cNvPr id="430" name="Ink 429">
              <a:extLst>
                <a:ext uri="{FF2B5EF4-FFF2-40B4-BE49-F238E27FC236}">
                  <a16:creationId xmlns:a16="http://schemas.microsoft.com/office/drawing/2014/main" id="{EA037655-94F6-E91C-1E6B-2C51662836DE}"/>
                </a:ext>
              </a:extLst>
            </xdr14:cNvPr>
            <xdr14:cNvContentPartPr/>
          </xdr14:nvContentPartPr>
          <xdr14:nvPr macro=""/>
          <xdr14:xfrm>
            <a:off x="2269080" y="9615600"/>
            <a:ext cx="843120" cy="233280"/>
          </xdr14:xfrm>
        </xdr:contentPart>
      </mc:Choice>
      <mc:Fallback xmlns="">
        <xdr:pic>
          <xdr:nvPicPr>
            <xdr:cNvPr id="430" name="Ink 429">
              <a:extLst>
                <a:ext uri="{FF2B5EF4-FFF2-40B4-BE49-F238E27FC236}">
                  <a16:creationId xmlns:a16="http://schemas.microsoft.com/office/drawing/2014/main" id="{EA037655-94F6-E91C-1E6B-2C51662836DE}"/>
                </a:ext>
              </a:extLst>
            </xdr:cNvPr>
            <xdr:cNvPicPr/>
          </xdr:nvPicPr>
          <xdr:blipFill>
            <a:blip xmlns:r="http://schemas.openxmlformats.org/officeDocument/2006/relationships" r:embed="rId78"/>
            <a:stretch>
              <a:fillRect/>
            </a:stretch>
          </xdr:blipFill>
          <xdr:spPr>
            <a:xfrm>
              <a:off x="2260440" y="9606947"/>
              <a:ext cx="860760" cy="250947"/>
            </a:xfrm>
            <a:prstGeom prst="rect">
              <a:avLst/>
            </a:prstGeom>
          </xdr:spPr>
        </xdr:pic>
      </mc:Fallback>
    </mc:AlternateContent>
    <xdr:clientData/>
  </xdr:twoCellAnchor>
  <xdr:twoCellAnchor editAs="oneCell">
    <xdr:from>
      <xdr:col>8</xdr:col>
      <xdr:colOff>450480</xdr:colOff>
      <xdr:row>54</xdr:row>
      <xdr:rowOff>107640</xdr:rowOff>
    </xdr:from>
    <xdr:to>
      <xdr:col>11</xdr:col>
      <xdr:colOff>30000</xdr:colOff>
      <xdr:row>55</xdr:row>
      <xdr:rowOff>163800</xdr:rowOff>
    </xdr:to>
    <mc:AlternateContent xmlns:mc="http://schemas.openxmlformats.org/markup-compatibility/2006" xmlns:xdr14="http://schemas.microsoft.com/office/excel/2010/spreadsheetDrawing">
      <mc:Choice Requires="xdr14">
        <xdr:contentPart xmlns:r="http://schemas.openxmlformats.org/officeDocument/2006/relationships" r:id="rId79">
          <xdr14:nvContentPartPr>
            <xdr14:cNvPr id="460" name="Ink 459">
              <a:extLst>
                <a:ext uri="{FF2B5EF4-FFF2-40B4-BE49-F238E27FC236}">
                  <a16:creationId xmlns:a16="http://schemas.microsoft.com/office/drawing/2014/main" id="{8D58A2D8-353D-C01C-C15A-2EA8AFB7CDA3}"/>
                </a:ext>
              </a:extLst>
            </xdr14:cNvPr>
            <xdr14:cNvContentPartPr/>
          </xdr14:nvContentPartPr>
          <xdr14:nvPr macro=""/>
          <xdr14:xfrm>
            <a:off x="5327280" y="9983160"/>
            <a:ext cx="1408320" cy="239040"/>
          </xdr14:xfrm>
        </xdr:contentPart>
      </mc:Choice>
      <mc:Fallback xmlns="">
        <xdr:pic>
          <xdr:nvPicPr>
            <xdr:cNvPr id="460" name="Ink 459">
              <a:extLst>
                <a:ext uri="{FF2B5EF4-FFF2-40B4-BE49-F238E27FC236}">
                  <a16:creationId xmlns:a16="http://schemas.microsoft.com/office/drawing/2014/main" id="{8D58A2D8-353D-C01C-C15A-2EA8AFB7CDA3}"/>
                </a:ext>
              </a:extLst>
            </xdr:cNvPr>
            <xdr:cNvPicPr/>
          </xdr:nvPicPr>
          <xdr:blipFill>
            <a:blip xmlns:r="http://schemas.openxmlformats.org/officeDocument/2006/relationships" r:embed="rId80"/>
            <a:stretch>
              <a:fillRect/>
            </a:stretch>
          </xdr:blipFill>
          <xdr:spPr>
            <a:xfrm>
              <a:off x="5318282" y="9974160"/>
              <a:ext cx="1425955" cy="256680"/>
            </a:xfrm>
            <a:prstGeom prst="rect">
              <a:avLst/>
            </a:prstGeom>
          </xdr:spPr>
        </xdr:pic>
      </mc:Fallback>
    </mc:AlternateContent>
    <xdr:clientData/>
  </xdr:twoCellAnchor>
  <xdr:twoCellAnchor editAs="oneCell">
    <xdr:from>
      <xdr:col>5</xdr:col>
      <xdr:colOff>380280</xdr:colOff>
      <xdr:row>54</xdr:row>
      <xdr:rowOff>134280</xdr:rowOff>
    </xdr:from>
    <xdr:to>
      <xdr:col>8</xdr:col>
      <xdr:colOff>303600</xdr:colOff>
      <xdr:row>57</xdr:row>
      <xdr:rowOff>48960</xdr:rowOff>
    </xdr:to>
    <mc:AlternateContent xmlns:mc="http://schemas.openxmlformats.org/markup-compatibility/2006" xmlns:xdr14="http://schemas.microsoft.com/office/excel/2010/spreadsheetDrawing">
      <mc:Choice Requires="xdr14">
        <xdr:contentPart xmlns:r="http://schemas.openxmlformats.org/officeDocument/2006/relationships" r:id="rId81">
          <xdr14:nvContentPartPr>
            <xdr14:cNvPr id="461" name="Ink 460">
              <a:extLst>
                <a:ext uri="{FF2B5EF4-FFF2-40B4-BE49-F238E27FC236}">
                  <a16:creationId xmlns:a16="http://schemas.microsoft.com/office/drawing/2014/main" id="{804E2B07-6BB0-8452-D5E8-E64401B65038}"/>
                </a:ext>
              </a:extLst>
            </xdr14:cNvPr>
            <xdr14:cNvContentPartPr/>
          </xdr14:nvContentPartPr>
          <xdr14:nvPr macro=""/>
          <xdr14:xfrm>
            <a:off x="3428280" y="10009800"/>
            <a:ext cx="1752120" cy="463320"/>
          </xdr14:xfrm>
        </xdr:contentPart>
      </mc:Choice>
      <mc:Fallback xmlns="">
        <xdr:pic>
          <xdr:nvPicPr>
            <xdr:cNvPr id="461" name="Ink 460">
              <a:extLst>
                <a:ext uri="{FF2B5EF4-FFF2-40B4-BE49-F238E27FC236}">
                  <a16:creationId xmlns:a16="http://schemas.microsoft.com/office/drawing/2014/main" id="{804E2B07-6BB0-8452-D5E8-E64401B65038}"/>
                </a:ext>
              </a:extLst>
            </xdr:cNvPr>
            <xdr:cNvPicPr/>
          </xdr:nvPicPr>
          <xdr:blipFill>
            <a:blip xmlns:r="http://schemas.openxmlformats.org/officeDocument/2006/relationships" r:embed="rId82"/>
            <a:stretch>
              <a:fillRect/>
            </a:stretch>
          </xdr:blipFill>
          <xdr:spPr>
            <a:xfrm>
              <a:off x="3419282" y="10000807"/>
              <a:ext cx="1769756" cy="480946"/>
            </a:xfrm>
            <a:prstGeom prst="rect">
              <a:avLst/>
            </a:prstGeom>
          </xdr:spPr>
        </xdr:pic>
      </mc:Fallback>
    </mc:AlternateContent>
    <xdr:clientData/>
  </xdr:twoCellAnchor>
  <xdr:twoCellAnchor editAs="oneCell">
    <xdr:from>
      <xdr:col>4</xdr:col>
      <xdr:colOff>521880</xdr:colOff>
      <xdr:row>55</xdr:row>
      <xdr:rowOff>86040</xdr:rowOff>
    </xdr:from>
    <xdr:to>
      <xdr:col>5</xdr:col>
      <xdr:colOff>116040</xdr:colOff>
      <xdr:row>56</xdr:row>
      <xdr:rowOff>30960</xdr:rowOff>
    </xdr:to>
    <mc:AlternateContent xmlns:mc="http://schemas.openxmlformats.org/markup-compatibility/2006" xmlns:xdr14="http://schemas.microsoft.com/office/excel/2010/spreadsheetDrawing">
      <mc:Choice Requires="xdr14">
        <xdr:contentPart xmlns:r="http://schemas.openxmlformats.org/officeDocument/2006/relationships" r:id="rId83">
          <xdr14:nvContentPartPr>
            <xdr14:cNvPr id="462" name="Ink 461">
              <a:extLst>
                <a:ext uri="{FF2B5EF4-FFF2-40B4-BE49-F238E27FC236}">
                  <a16:creationId xmlns:a16="http://schemas.microsoft.com/office/drawing/2014/main" id="{13BAB47E-3315-A520-3C09-E084B84EF346}"/>
                </a:ext>
              </a:extLst>
            </xdr14:cNvPr>
            <xdr14:cNvContentPartPr/>
          </xdr14:nvContentPartPr>
          <xdr14:nvPr macro=""/>
          <xdr14:xfrm>
            <a:off x="2960280" y="10144440"/>
            <a:ext cx="203760" cy="127800"/>
          </xdr14:xfrm>
        </xdr:contentPart>
      </mc:Choice>
      <mc:Fallback xmlns="">
        <xdr:pic>
          <xdr:nvPicPr>
            <xdr:cNvPr id="462" name="Ink 461">
              <a:extLst>
                <a:ext uri="{FF2B5EF4-FFF2-40B4-BE49-F238E27FC236}">
                  <a16:creationId xmlns:a16="http://schemas.microsoft.com/office/drawing/2014/main" id="{13BAB47E-3315-A520-3C09-E084B84EF346}"/>
                </a:ext>
              </a:extLst>
            </xdr:cNvPr>
            <xdr:cNvPicPr/>
          </xdr:nvPicPr>
          <xdr:blipFill>
            <a:blip xmlns:r="http://schemas.openxmlformats.org/officeDocument/2006/relationships" r:embed="rId84"/>
            <a:stretch>
              <a:fillRect/>
            </a:stretch>
          </xdr:blipFill>
          <xdr:spPr>
            <a:xfrm>
              <a:off x="2951296" y="10135440"/>
              <a:ext cx="221369" cy="145440"/>
            </a:xfrm>
            <a:prstGeom prst="rect">
              <a:avLst/>
            </a:prstGeom>
          </xdr:spPr>
        </xdr:pic>
      </mc:Fallback>
    </mc:AlternateContent>
    <xdr:clientData/>
  </xdr:twoCellAnchor>
  <xdr:twoCellAnchor editAs="oneCell">
    <xdr:from>
      <xdr:col>8</xdr:col>
      <xdr:colOff>438960</xdr:colOff>
      <xdr:row>55</xdr:row>
      <xdr:rowOff>63720</xdr:rowOff>
    </xdr:from>
    <xdr:to>
      <xdr:col>11</xdr:col>
      <xdr:colOff>132600</xdr:colOff>
      <xdr:row>56</xdr:row>
      <xdr:rowOff>75600</xdr:rowOff>
    </xdr:to>
    <mc:AlternateContent xmlns:mc="http://schemas.openxmlformats.org/markup-compatibility/2006" xmlns:xdr14="http://schemas.microsoft.com/office/excel/2010/spreadsheetDrawing">
      <mc:Choice Requires="xdr14">
        <xdr:contentPart xmlns:r="http://schemas.openxmlformats.org/officeDocument/2006/relationships" r:id="rId85">
          <xdr14:nvContentPartPr>
            <xdr14:cNvPr id="465" name="Ink 464">
              <a:extLst>
                <a:ext uri="{FF2B5EF4-FFF2-40B4-BE49-F238E27FC236}">
                  <a16:creationId xmlns:a16="http://schemas.microsoft.com/office/drawing/2014/main" id="{9E3EDEF1-87FE-0971-CA9F-C47C8AACF99B}"/>
                </a:ext>
              </a:extLst>
            </xdr14:cNvPr>
            <xdr14:cNvContentPartPr/>
          </xdr14:nvContentPartPr>
          <xdr14:nvPr macro=""/>
          <xdr14:xfrm>
            <a:off x="5315760" y="10122120"/>
            <a:ext cx="1522440" cy="194760"/>
          </xdr14:xfrm>
        </xdr:contentPart>
      </mc:Choice>
      <mc:Fallback xmlns="">
        <xdr:pic>
          <xdr:nvPicPr>
            <xdr:cNvPr id="465" name="Ink 464">
              <a:extLst>
                <a:ext uri="{FF2B5EF4-FFF2-40B4-BE49-F238E27FC236}">
                  <a16:creationId xmlns:a16="http://schemas.microsoft.com/office/drawing/2014/main" id="{9E3EDEF1-87FE-0971-CA9F-C47C8AACF99B}"/>
                </a:ext>
              </a:extLst>
            </xdr:cNvPr>
            <xdr:cNvPicPr/>
          </xdr:nvPicPr>
          <xdr:blipFill>
            <a:blip xmlns:r="http://schemas.openxmlformats.org/officeDocument/2006/relationships" r:embed="rId86"/>
            <a:stretch>
              <a:fillRect/>
            </a:stretch>
          </xdr:blipFill>
          <xdr:spPr>
            <a:xfrm>
              <a:off x="5307120" y="10113120"/>
              <a:ext cx="1540080" cy="212400"/>
            </a:xfrm>
            <a:prstGeom prst="rect">
              <a:avLst/>
            </a:prstGeom>
          </xdr:spPr>
        </xdr:pic>
      </mc:Fallback>
    </mc:AlternateContent>
    <xdr:clientData/>
  </xdr:twoCellAnchor>
  <xdr:twoCellAnchor editAs="oneCell">
    <xdr:from>
      <xdr:col>11</xdr:col>
      <xdr:colOff>552000</xdr:colOff>
      <xdr:row>58</xdr:row>
      <xdr:rowOff>150840</xdr:rowOff>
    </xdr:from>
    <xdr:to>
      <xdr:col>12</xdr:col>
      <xdr:colOff>17280</xdr:colOff>
      <xdr:row>58</xdr:row>
      <xdr:rowOff>161280</xdr:rowOff>
    </xdr:to>
    <mc:AlternateContent xmlns:mc="http://schemas.openxmlformats.org/markup-compatibility/2006" xmlns:xdr14="http://schemas.microsoft.com/office/excel/2010/spreadsheetDrawing">
      <mc:Choice Requires="xdr14">
        <xdr:contentPart xmlns:r="http://schemas.openxmlformats.org/officeDocument/2006/relationships" r:id="rId87">
          <xdr14:nvContentPartPr>
            <xdr14:cNvPr id="490" name="Ink 489">
              <a:extLst>
                <a:ext uri="{FF2B5EF4-FFF2-40B4-BE49-F238E27FC236}">
                  <a16:creationId xmlns:a16="http://schemas.microsoft.com/office/drawing/2014/main" id="{F12580AD-037C-F2F8-23DE-DADED66A9C8F}"/>
                </a:ext>
              </a:extLst>
            </xdr14:cNvPr>
            <xdr14:cNvContentPartPr/>
          </xdr14:nvContentPartPr>
          <xdr14:nvPr macro=""/>
          <xdr14:xfrm>
            <a:off x="7257600" y="10757880"/>
            <a:ext cx="74880" cy="10440"/>
          </xdr14:xfrm>
        </xdr:contentPart>
      </mc:Choice>
      <mc:Fallback xmlns="">
        <xdr:pic>
          <xdr:nvPicPr>
            <xdr:cNvPr id="490" name="Ink 489">
              <a:extLst>
                <a:ext uri="{FF2B5EF4-FFF2-40B4-BE49-F238E27FC236}">
                  <a16:creationId xmlns:a16="http://schemas.microsoft.com/office/drawing/2014/main" id="{F12580AD-037C-F2F8-23DE-DADED66A9C8F}"/>
                </a:ext>
              </a:extLst>
            </xdr:cNvPr>
            <xdr:cNvPicPr/>
          </xdr:nvPicPr>
          <xdr:blipFill>
            <a:blip xmlns:r="http://schemas.openxmlformats.org/officeDocument/2006/relationships" r:embed="rId88"/>
            <a:stretch>
              <a:fillRect/>
            </a:stretch>
          </xdr:blipFill>
          <xdr:spPr>
            <a:xfrm>
              <a:off x="7248960" y="10749240"/>
              <a:ext cx="92520" cy="28080"/>
            </a:xfrm>
            <a:prstGeom prst="rect">
              <a:avLst/>
            </a:prstGeom>
          </xdr:spPr>
        </xdr:pic>
      </mc:Fallback>
    </mc:AlternateContent>
    <xdr:clientData/>
  </xdr:twoCellAnchor>
  <xdr:twoCellAnchor editAs="oneCell">
    <xdr:from>
      <xdr:col>11</xdr:col>
      <xdr:colOff>526440</xdr:colOff>
      <xdr:row>59</xdr:row>
      <xdr:rowOff>68400</xdr:rowOff>
    </xdr:from>
    <xdr:to>
      <xdr:col>12</xdr:col>
      <xdr:colOff>1800</xdr:colOff>
      <xdr:row>59</xdr:row>
      <xdr:rowOff>77040</xdr:rowOff>
    </xdr:to>
    <mc:AlternateContent xmlns:mc="http://schemas.openxmlformats.org/markup-compatibility/2006" xmlns:xdr14="http://schemas.microsoft.com/office/excel/2010/spreadsheetDrawing">
      <mc:Choice Requires="xdr14">
        <xdr:contentPart xmlns:r="http://schemas.openxmlformats.org/officeDocument/2006/relationships" r:id="rId89">
          <xdr14:nvContentPartPr>
            <xdr14:cNvPr id="491" name="Ink 490">
              <a:extLst>
                <a:ext uri="{FF2B5EF4-FFF2-40B4-BE49-F238E27FC236}">
                  <a16:creationId xmlns:a16="http://schemas.microsoft.com/office/drawing/2014/main" id="{89E7AC64-94AD-F6B0-B229-377241CB1495}"/>
                </a:ext>
              </a:extLst>
            </xdr14:cNvPr>
            <xdr14:cNvContentPartPr/>
          </xdr14:nvContentPartPr>
          <xdr14:nvPr macro=""/>
          <xdr14:xfrm>
            <a:off x="7232040" y="10858320"/>
            <a:ext cx="84960" cy="8640"/>
          </xdr14:xfrm>
        </xdr:contentPart>
      </mc:Choice>
      <mc:Fallback xmlns="">
        <xdr:pic>
          <xdr:nvPicPr>
            <xdr:cNvPr id="491" name="Ink 490">
              <a:extLst>
                <a:ext uri="{FF2B5EF4-FFF2-40B4-BE49-F238E27FC236}">
                  <a16:creationId xmlns:a16="http://schemas.microsoft.com/office/drawing/2014/main" id="{89E7AC64-94AD-F6B0-B229-377241CB1495}"/>
                </a:ext>
              </a:extLst>
            </xdr:cNvPr>
            <xdr:cNvPicPr/>
          </xdr:nvPicPr>
          <xdr:blipFill>
            <a:blip xmlns:r="http://schemas.openxmlformats.org/officeDocument/2006/relationships" r:embed="rId90"/>
            <a:stretch>
              <a:fillRect/>
            </a:stretch>
          </xdr:blipFill>
          <xdr:spPr>
            <a:xfrm>
              <a:off x="7223040" y="10849320"/>
              <a:ext cx="102600" cy="26280"/>
            </a:xfrm>
            <a:prstGeom prst="rect">
              <a:avLst/>
            </a:prstGeom>
          </xdr:spPr>
        </xdr:pic>
      </mc:Fallback>
    </mc:AlternateContent>
    <xdr:clientData/>
  </xdr:twoCellAnchor>
  <xdr:twoCellAnchor editAs="oneCell">
    <xdr:from>
      <xdr:col>5</xdr:col>
      <xdr:colOff>68520</xdr:colOff>
      <xdr:row>58</xdr:row>
      <xdr:rowOff>62640</xdr:rowOff>
    </xdr:from>
    <xdr:to>
      <xdr:col>11</xdr:col>
      <xdr:colOff>357240</xdr:colOff>
      <xdr:row>60</xdr:row>
      <xdr:rowOff>180360</xdr:rowOff>
    </xdr:to>
    <mc:AlternateContent xmlns:mc="http://schemas.openxmlformats.org/markup-compatibility/2006" xmlns:xdr14="http://schemas.microsoft.com/office/excel/2010/spreadsheetDrawing">
      <mc:Choice Requires="xdr14">
        <xdr:contentPart xmlns:r="http://schemas.openxmlformats.org/officeDocument/2006/relationships" r:id="rId91">
          <xdr14:nvContentPartPr>
            <xdr14:cNvPr id="492" name="Ink 491">
              <a:extLst>
                <a:ext uri="{FF2B5EF4-FFF2-40B4-BE49-F238E27FC236}">
                  <a16:creationId xmlns:a16="http://schemas.microsoft.com/office/drawing/2014/main" id="{D2C8B84D-34EB-1374-86EB-A339824E0B36}"/>
                </a:ext>
              </a:extLst>
            </xdr14:cNvPr>
            <xdr14:cNvContentPartPr/>
          </xdr14:nvContentPartPr>
          <xdr14:nvPr macro=""/>
          <xdr14:xfrm>
            <a:off x="3116520" y="10669680"/>
            <a:ext cx="3946320" cy="483480"/>
          </xdr14:xfrm>
        </xdr:contentPart>
      </mc:Choice>
      <mc:Fallback xmlns="">
        <xdr:pic>
          <xdr:nvPicPr>
            <xdr:cNvPr id="492" name="Ink 491">
              <a:extLst>
                <a:ext uri="{FF2B5EF4-FFF2-40B4-BE49-F238E27FC236}">
                  <a16:creationId xmlns:a16="http://schemas.microsoft.com/office/drawing/2014/main" id="{D2C8B84D-34EB-1374-86EB-A339824E0B36}"/>
                </a:ext>
              </a:extLst>
            </xdr:cNvPr>
            <xdr:cNvPicPr/>
          </xdr:nvPicPr>
          <xdr:blipFill>
            <a:blip xmlns:r="http://schemas.openxmlformats.org/officeDocument/2006/relationships" r:embed="rId92"/>
            <a:stretch>
              <a:fillRect/>
            </a:stretch>
          </xdr:blipFill>
          <xdr:spPr>
            <a:xfrm>
              <a:off x="3107880" y="10661034"/>
              <a:ext cx="3963960" cy="501133"/>
            </a:xfrm>
            <a:prstGeom prst="rect">
              <a:avLst/>
            </a:prstGeom>
          </xdr:spPr>
        </xdr:pic>
      </mc:Fallback>
    </mc:AlternateContent>
    <xdr:clientData/>
  </xdr:twoCellAnchor>
  <xdr:twoCellAnchor editAs="oneCell">
    <xdr:from>
      <xdr:col>12</xdr:col>
      <xdr:colOff>235080</xdr:colOff>
      <xdr:row>58</xdr:row>
      <xdr:rowOff>57240</xdr:rowOff>
    </xdr:from>
    <xdr:to>
      <xdr:col>14</xdr:col>
      <xdr:colOff>4440</xdr:colOff>
      <xdr:row>59</xdr:row>
      <xdr:rowOff>165960</xdr:rowOff>
    </xdr:to>
    <mc:AlternateContent xmlns:mc="http://schemas.openxmlformats.org/markup-compatibility/2006" xmlns:xdr14="http://schemas.microsoft.com/office/excel/2010/spreadsheetDrawing">
      <mc:Choice Requires="xdr14">
        <xdr:contentPart xmlns:r="http://schemas.openxmlformats.org/officeDocument/2006/relationships" r:id="rId93">
          <xdr14:nvContentPartPr>
            <xdr14:cNvPr id="500" name="Ink 499">
              <a:extLst>
                <a:ext uri="{FF2B5EF4-FFF2-40B4-BE49-F238E27FC236}">
                  <a16:creationId xmlns:a16="http://schemas.microsoft.com/office/drawing/2014/main" id="{DEF53F64-9AA9-489B-C997-032D3B1B7E75}"/>
                </a:ext>
              </a:extLst>
            </xdr14:cNvPr>
            <xdr14:cNvContentPartPr/>
          </xdr14:nvContentPartPr>
          <xdr14:nvPr macro=""/>
          <xdr14:xfrm>
            <a:off x="7550280" y="10664280"/>
            <a:ext cx="988560" cy="291600"/>
          </xdr14:xfrm>
        </xdr:contentPart>
      </mc:Choice>
      <mc:Fallback xmlns="">
        <xdr:pic>
          <xdr:nvPicPr>
            <xdr:cNvPr id="500" name="Ink 499">
              <a:extLst>
                <a:ext uri="{FF2B5EF4-FFF2-40B4-BE49-F238E27FC236}">
                  <a16:creationId xmlns:a16="http://schemas.microsoft.com/office/drawing/2014/main" id="{DEF53F64-9AA9-489B-C997-032D3B1B7E75}"/>
                </a:ext>
              </a:extLst>
            </xdr:cNvPr>
            <xdr:cNvPicPr/>
          </xdr:nvPicPr>
          <xdr:blipFill>
            <a:blip xmlns:r="http://schemas.openxmlformats.org/officeDocument/2006/relationships" r:embed="rId94"/>
            <a:stretch>
              <a:fillRect/>
            </a:stretch>
          </xdr:blipFill>
          <xdr:spPr>
            <a:xfrm>
              <a:off x="7541283" y="10655291"/>
              <a:ext cx="1006194" cy="309218"/>
            </a:xfrm>
            <a:prstGeom prst="rect">
              <a:avLst/>
            </a:prstGeom>
          </xdr:spPr>
        </xdr:pic>
      </mc:Fallback>
    </mc:AlternateContent>
    <xdr:clientData/>
  </xdr:twoCellAnchor>
  <xdr:twoCellAnchor editAs="oneCell">
    <xdr:from>
      <xdr:col>5</xdr:col>
      <xdr:colOff>81120</xdr:colOff>
      <xdr:row>64</xdr:row>
      <xdr:rowOff>43920</xdr:rowOff>
    </xdr:from>
    <xdr:to>
      <xdr:col>5</xdr:col>
      <xdr:colOff>284880</xdr:colOff>
      <xdr:row>64</xdr:row>
      <xdr:rowOff>153720</xdr:rowOff>
    </xdr:to>
    <mc:AlternateContent xmlns:mc="http://schemas.openxmlformats.org/markup-compatibility/2006" xmlns:xdr14="http://schemas.microsoft.com/office/excel/2010/spreadsheetDrawing">
      <mc:Choice Requires="xdr14">
        <xdr:contentPart xmlns:r="http://schemas.openxmlformats.org/officeDocument/2006/relationships" r:id="rId95">
          <xdr14:nvContentPartPr>
            <xdr14:cNvPr id="508" name="Ink 507">
              <a:extLst>
                <a:ext uri="{FF2B5EF4-FFF2-40B4-BE49-F238E27FC236}">
                  <a16:creationId xmlns:a16="http://schemas.microsoft.com/office/drawing/2014/main" id="{4AEC73C8-5069-699D-A80C-E174826C3213}"/>
                </a:ext>
              </a:extLst>
            </xdr14:cNvPr>
            <xdr14:cNvContentPartPr/>
          </xdr14:nvContentPartPr>
          <xdr14:nvPr macro=""/>
          <xdr14:xfrm>
            <a:off x="3129120" y="11748240"/>
            <a:ext cx="203760" cy="109800"/>
          </xdr14:xfrm>
        </xdr:contentPart>
      </mc:Choice>
      <mc:Fallback xmlns="">
        <xdr:pic>
          <xdr:nvPicPr>
            <xdr:cNvPr id="508" name="Ink 507">
              <a:extLst>
                <a:ext uri="{FF2B5EF4-FFF2-40B4-BE49-F238E27FC236}">
                  <a16:creationId xmlns:a16="http://schemas.microsoft.com/office/drawing/2014/main" id="{4AEC73C8-5069-699D-A80C-E174826C3213}"/>
                </a:ext>
              </a:extLst>
            </xdr:cNvPr>
            <xdr:cNvPicPr/>
          </xdr:nvPicPr>
          <xdr:blipFill>
            <a:blip xmlns:r="http://schemas.openxmlformats.org/officeDocument/2006/relationships" r:embed="rId96"/>
            <a:stretch>
              <a:fillRect/>
            </a:stretch>
          </xdr:blipFill>
          <xdr:spPr>
            <a:xfrm>
              <a:off x="3120104" y="11739240"/>
              <a:ext cx="221431" cy="127440"/>
            </a:xfrm>
            <a:prstGeom prst="rect">
              <a:avLst/>
            </a:prstGeom>
          </xdr:spPr>
        </xdr:pic>
      </mc:Fallback>
    </mc:AlternateContent>
    <xdr:clientData/>
  </xdr:twoCellAnchor>
  <xdr:twoCellAnchor editAs="oneCell">
    <xdr:from>
      <xdr:col>5</xdr:col>
      <xdr:colOff>572160</xdr:colOff>
      <xdr:row>63</xdr:row>
      <xdr:rowOff>70200</xdr:rowOff>
    </xdr:from>
    <xdr:to>
      <xdr:col>9</xdr:col>
      <xdr:colOff>257400</xdr:colOff>
      <xdr:row>66</xdr:row>
      <xdr:rowOff>35280</xdr:rowOff>
    </xdr:to>
    <mc:AlternateContent xmlns:mc="http://schemas.openxmlformats.org/markup-compatibility/2006" xmlns:xdr14="http://schemas.microsoft.com/office/excel/2010/spreadsheetDrawing">
      <mc:Choice Requires="xdr14">
        <xdr:contentPart xmlns:r="http://schemas.openxmlformats.org/officeDocument/2006/relationships" r:id="rId97">
          <xdr14:nvContentPartPr>
            <xdr14:cNvPr id="521" name="Ink 520">
              <a:extLst>
                <a:ext uri="{FF2B5EF4-FFF2-40B4-BE49-F238E27FC236}">
                  <a16:creationId xmlns:a16="http://schemas.microsoft.com/office/drawing/2014/main" id="{E6FC3F2B-E701-C46E-0540-C05D443A8C1C}"/>
                </a:ext>
              </a:extLst>
            </xdr14:cNvPr>
            <xdr14:cNvContentPartPr/>
          </xdr14:nvContentPartPr>
          <xdr14:nvPr macro=""/>
          <xdr14:xfrm>
            <a:off x="3620160" y="11591640"/>
            <a:ext cx="2123640" cy="513720"/>
          </xdr14:xfrm>
        </xdr:contentPart>
      </mc:Choice>
      <mc:Fallback xmlns="">
        <xdr:pic>
          <xdr:nvPicPr>
            <xdr:cNvPr id="521" name="Ink 520">
              <a:extLst>
                <a:ext uri="{FF2B5EF4-FFF2-40B4-BE49-F238E27FC236}">
                  <a16:creationId xmlns:a16="http://schemas.microsoft.com/office/drawing/2014/main" id="{E6FC3F2B-E701-C46E-0540-C05D443A8C1C}"/>
                </a:ext>
              </a:extLst>
            </xdr:cNvPr>
            <xdr:cNvPicPr/>
          </xdr:nvPicPr>
          <xdr:blipFill>
            <a:blip xmlns:r="http://schemas.openxmlformats.org/officeDocument/2006/relationships" r:embed="rId98"/>
            <a:stretch>
              <a:fillRect/>
            </a:stretch>
          </xdr:blipFill>
          <xdr:spPr>
            <a:xfrm>
              <a:off x="3611160" y="11583000"/>
              <a:ext cx="2141280" cy="531360"/>
            </a:xfrm>
            <a:prstGeom prst="rect">
              <a:avLst/>
            </a:prstGeom>
          </xdr:spPr>
        </xdr:pic>
      </mc:Fallback>
    </mc:AlternateContent>
    <xdr:clientData/>
  </xdr:twoCellAnchor>
  <xdr:twoCellAnchor editAs="oneCell">
    <xdr:from>
      <xdr:col>10</xdr:col>
      <xdr:colOff>472920</xdr:colOff>
      <xdr:row>64</xdr:row>
      <xdr:rowOff>101520</xdr:rowOff>
    </xdr:from>
    <xdr:to>
      <xdr:col>10</xdr:col>
      <xdr:colOff>473280</xdr:colOff>
      <xdr:row>64</xdr:row>
      <xdr:rowOff>101880</xdr:rowOff>
    </xdr:to>
    <mc:AlternateContent xmlns:mc="http://schemas.openxmlformats.org/markup-compatibility/2006" xmlns:xdr14="http://schemas.microsoft.com/office/excel/2010/spreadsheetDrawing">
      <mc:Choice Requires="xdr14">
        <xdr:contentPart xmlns:r="http://schemas.openxmlformats.org/officeDocument/2006/relationships" r:id="rId99">
          <xdr14:nvContentPartPr>
            <xdr14:cNvPr id="526" name="Ink 525">
              <a:extLst>
                <a:ext uri="{FF2B5EF4-FFF2-40B4-BE49-F238E27FC236}">
                  <a16:creationId xmlns:a16="http://schemas.microsoft.com/office/drawing/2014/main" id="{FCFC8046-A316-B1A8-D9BA-B18D9B63BA14}"/>
                </a:ext>
              </a:extLst>
            </xdr14:cNvPr>
            <xdr14:cNvContentPartPr/>
          </xdr14:nvContentPartPr>
          <xdr14:nvPr macro=""/>
          <xdr14:xfrm>
            <a:off x="6568920" y="11805840"/>
            <a:ext cx="360" cy="360"/>
          </xdr14:xfrm>
        </xdr:contentPart>
      </mc:Choice>
      <mc:Fallback xmlns="">
        <xdr:pic>
          <xdr:nvPicPr>
            <xdr:cNvPr id="526" name="Ink 525">
              <a:extLst>
                <a:ext uri="{FF2B5EF4-FFF2-40B4-BE49-F238E27FC236}">
                  <a16:creationId xmlns:a16="http://schemas.microsoft.com/office/drawing/2014/main" id="{FCFC8046-A316-B1A8-D9BA-B18D9B63BA14}"/>
                </a:ext>
              </a:extLst>
            </xdr:cNvPr>
            <xdr:cNvPicPr/>
          </xdr:nvPicPr>
          <xdr:blipFill>
            <a:blip xmlns:r="http://schemas.openxmlformats.org/officeDocument/2006/relationships" r:embed="rId100"/>
            <a:stretch>
              <a:fillRect/>
            </a:stretch>
          </xdr:blipFill>
          <xdr:spPr>
            <a:xfrm>
              <a:off x="6559920" y="11797200"/>
              <a:ext cx="18000" cy="18000"/>
            </a:xfrm>
            <a:prstGeom prst="rect">
              <a:avLst/>
            </a:prstGeom>
          </xdr:spPr>
        </xdr:pic>
      </mc:Fallback>
    </mc:AlternateContent>
    <xdr:clientData/>
  </xdr:twoCellAnchor>
  <xdr:twoCellAnchor editAs="oneCell">
    <xdr:from>
      <xdr:col>13</xdr:col>
      <xdr:colOff>528000</xdr:colOff>
      <xdr:row>64</xdr:row>
      <xdr:rowOff>67680</xdr:rowOff>
    </xdr:from>
    <xdr:to>
      <xdr:col>15</xdr:col>
      <xdr:colOff>371880</xdr:colOff>
      <xdr:row>66</xdr:row>
      <xdr:rowOff>70560</xdr:rowOff>
    </xdr:to>
    <mc:AlternateContent xmlns:mc="http://schemas.openxmlformats.org/markup-compatibility/2006" xmlns:xdr14="http://schemas.microsoft.com/office/excel/2010/spreadsheetDrawing">
      <mc:Choice Requires="xdr14">
        <xdr:contentPart xmlns:r="http://schemas.openxmlformats.org/officeDocument/2006/relationships" r:id="rId101">
          <xdr14:nvContentPartPr>
            <xdr14:cNvPr id="540" name="Ink 539">
              <a:extLst>
                <a:ext uri="{FF2B5EF4-FFF2-40B4-BE49-F238E27FC236}">
                  <a16:creationId xmlns:a16="http://schemas.microsoft.com/office/drawing/2014/main" id="{0DD4ED41-4234-CD65-A9D8-F1AEA0959A82}"/>
                </a:ext>
              </a:extLst>
            </xdr14:cNvPr>
            <xdr14:cNvContentPartPr/>
          </xdr14:nvContentPartPr>
          <xdr14:nvPr macro=""/>
          <xdr14:xfrm>
            <a:off x="8452800" y="11772000"/>
            <a:ext cx="1063080" cy="368640"/>
          </xdr14:xfrm>
        </xdr:contentPart>
      </mc:Choice>
      <mc:Fallback xmlns="">
        <xdr:pic>
          <xdr:nvPicPr>
            <xdr:cNvPr id="540" name="Ink 539">
              <a:extLst>
                <a:ext uri="{FF2B5EF4-FFF2-40B4-BE49-F238E27FC236}">
                  <a16:creationId xmlns:a16="http://schemas.microsoft.com/office/drawing/2014/main" id="{0DD4ED41-4234-CD65-A9D8-F1AEA0959A82}"/>
                </a:ext>
              </a:extLst>
            </xdr:cNvPr>
            <xdr:cNvPicPr/>
          </xdr:nvPicPr>
          <xdr:blipFill>
            <a:blip xmlns:r="http://schemas.openxmlformats.org/officeDocument/2006/relationships" r:embed="rId102"/>
            <a:stretch>
              <a:fillRect/>
            </a:stretch>
          </xdr:blipFill>
          <xdr:spPr>
            <a:xfrm>
              <a:off x="8443803" y="11763009"/>
              <a:ext cx="1080714" cy="386263"/>
            </a:xfrm>
            <a:prstGeom prst="rect">
              <a:avLst/>
            </a:prstGeom>
          </xdr:spPr>
        </xdr:pic>
      </mc:Fallback>
    </mc:AlternateContent>
    <xdr:clientData/>
  </xdr:twoCellAnchor>
  <xdr:twoCellAnchor editAs="oneCell">
    <xdr:from>
      <xdr:col>12</xdr:col>
      <xdr:colOff>281160</xdr:colOff>
      <xdr:row>64</xdr:row>
      <xdr:rowOff>82080</xdr:rowOff>
    </xdr:from>
    <xdr:to>
      <xdr:col>13</xdr:col>
      <xdr:colOff>294360</xdr:colOff>
      <xdr:row>65</xdr:row>
      <xdr:rowOff>141480</xdr:rowOff>
    </xdr:to>
    <mc:AlternateContent xmlns:mc="http://schemas.openxmlformats.org/markup-compatibility/2006" xmlns:xdr14="http://schemas.microsoft.com/office/excel/2010/spreadsheetDrawing">
      <mc:Choice Requires="xdr14">
        <xdr:contentPart xmlns:r="http://schemas.openxmlformats.org/officeDocument/2006/relationships" r:id="rId103">
          <xdr14:nvContentPartPr>
            <xdr14:cNvPr id="541" name="Ink 540">
              <a:extLst>
                <a:ext uri="{FF2B5EF4-FFF2-40B4-BE49-F238E27FC236}">
                  <a16:creationId xmlns:a16="http://schemas.microsoft.com/office/drawing/2014/main" id="{0C609A92-4281-53B1-2D78-47976C74E9C5}"/>
                </a:ext>
              </a:extLst>
            </xdr14:cNvPr>
            <xdr14:cNvContentPartPr/>
          </xdr14:nvContentPartPr>
          <xdr14:nvPr macro=""/>
          <xdr14:xfrm>
            <a:off x="7596360" y="11786400"/>
            <a:ext cx="622800" cy="242280"/>
          </xdr14:xfrm>
        </xdr:contentPart>
      </mc:Choice>
      <mc:Fallback xmlns="">
        <xdr:pic>
          <xdr:nvPicPr>
            <xdr:cNvPr id="541" name="Ink 540">
              <a:extLst>
                <a:ext uri="{FF2B5EF4-FFF2-40B4-BE49-F238E27FC236}">
                  <a16:creationId xmlns:a16="http://schemas.microsoft.com/office/drawing/2014/main" id="{0C609A92-4281-53B1-2D78-47976C74E9C5}"/>
                </a:ext>
              </a:extLst>
            </xdr:cNvPr>
            <xdr:cNvPicPr/>
          </xdr:nvPicPr>
          <xdr:blipFill>
            <a:blip xmlns:r="http://schemas.openxmlformats.org/officeDocument/2006/relationships" r:embed="rId104"/>
            <a:stretch>
              <a:fillRect/>
            </a:stretch>
          </xdr:blipFill>
          <xdr:spPr>
            <a:xfrm>
              <a:off x="7587360" y="11777413"/>
              <a:ext cx="640440" cy="259894"/>
            </a:xfrm>
            <a:prstGeom prst="rect">
              <a:avLst/>
            </a:prstGeom>
          </xdr:spPr>
        </xdr:pic>
      </mc:Fallback>
    </mc:AlternateContent>
    <xdr:clientData/>
  </xdr:twoCellAnchor>
  <xdr:twoCellAnchor editAs="oneCell">
    <xdr:from>
      <xdr:col>11</xdr:col>
      <xdr:colOff>294240</xdr:colOff>
      <xdr:row>64</xdr:row>
      <xdr:rowOff>162720</xdr:rowOff>
    </xdr:from>
    <xdr:to>
      <xdr:col>12</xdr:col>
      <xdr:colOff>21960</xdr:colOff>
      <xdr:row>65</xdr:row>
      <xdr:rowOff>154440</xdr:rowOff>
    </xdr:to>
    <mc:AlternateContent xmlns:mc="http://schemas.openxmlformats.org/markup-compatibility/2006" xmlns:xdr14="http://schemas.microsoft.com/office/excel/2010/spreadsheetDrawing">
      <mc:Choice Requires="xdr14">
        <xdr:contentPart xmlns:r="http://schemas.openxmlformats.org/officeDocument/2006/relationships" r:id="rId105">
          <xdr14:nvContentPartPr>
            <xdr14:cNvPr id="542" name="Ink 541">
              <a:extLst>
                <a:ext uri="{FF2B5EF4-FFF2-40B4-BE49-F238E27FC236}">
                  <a16:creationId xmlns:a16="http://schemas.microsoft.com/office/drawing/2014/main" id="{1DCC8DC7-5A60-67E4-83FB-CA6F121A4752}"/>
                </a:ext>
              </a:extLst>
            </xdr14:cNvPr>
            <xdr14:cNvContentPartPr/>
          </xdr14:nvContentPartPr>
          <xdr14:nvPr macro=""/>
          <xdr14:xfrm>
            <a:off x="6999840" y="11867040"/>
            <a:ext cx="337320" cy="174600"/>
          </xdr14:xfrm>
        </xdr:contentPart>
      </mc:Choice>
      <mc:Fallback xmlns="">
        <xdr:pic>
          <xdr:nvPicPr>
            <xdr:cNvPr id="542" name="Ink 541">
              <a:extLst>
                <a:ext uri="{FF2B5EF4-FFF2-40B4-BE49-F238E27FC236}">
                  <a16:creationId xmlns:a16="http://schemas.microsoft.com/office/drawing/2014/main" id="{1DCC8DC7-5A60-67E4-83FB-CA6F121A4752}"/>
                </a:ext>
              </a:extLst>
            </xdr:cNvPr>
            <xdr:cNvPicPr/>
          </xdr:nvPicPr>
          <xdr:blipFill>
            <a:blip xmlns:r="http://schemas.openxmlformats.org/officeDocument/2006/relationships" r:embed="rId106"/>
            <a:stretch>
              <a:fillRect/>
            </a:stretch>
          </xdr:blipFill>
          <xdr:spPr>
            <a:xfrm>
              <a:off x="6990840" y="11858059"/>
              <a:ext cx="354960" cy="192204"/>
            </a:xfrm>
            <a:prstGeom prst="rect">
              <a:avLst/>
            </a:prstGeom>
          </xdr:spPr>
        </xdr:pic>
      </mc:Fallback>
    </mc:AlternateContent>
    <xdr:clientData/>
  </xdr:twoCellAnchor>
  <xdr:twoCellAnchor editAs="oneCell">
    <xdr:from>
      <xdr:col>8</xdr:col>
      <xdr:colOff>601320</xdr:colOff>
      <xdr:row>65</xdr:row>
      <xdr:rowOff>5760</xdr:rowOff>
    </xdr:from>
    <xdr:to>
      <xdr:col>11</xdr:col>
      <xdr:colOff>76080</xdr:colOff>
      <xdr:row>66</xdr:row>
      <xdr:rowOff>115200</xdr:rowOff>
    </xdr:to>
    <mc:AlternateContent xmlns:mc="http://schemas.openxmlformats.org/markup-compatibility/2006" xmlns:xdr14="http://schemas.microsoft.com/office/excel/2010/spreadsheetDrawing">
      <mc:Choice Requires="xdr14">
        <xdr:contentPart xmlns:r="http://schemas.openxmlformats.org/officeDocument/2006/relationships" r:id="rId107">
          <xdr14:nvContentPartPr>
            <xdr14:cNvPr id="543" name="Ink 542">
              <a:extLst>
                <a:ext uri="{FF2B5EF4-FFF2-40B4-BE49-F238E27FC236}">
                  <a16:creationId xmlns:a16="http://schemas.microsoft.com/office/drawing/2014/main" id="{BDF60237-AD4D-731B-0E78-73E078DD325A}"/>
                </a:ext>
              </a:extLst>
            </xdr14:cNvPr>
            <xdr14:cNvContentPartPr/>
          </xdr14:nvContentPartPr>
          <xdr14:nvPr macro=""/>
          <xdr14:xfrm>
            <a:off x="5478120" y="11892960"/>
            <a:ext cx="1303560" cy="292320"/>
          </xdr14:xfrm>
        </xdr:contentPart>
      </mc:Choice>
      <mc:Fallback xmlns="">
        <xdr:pic>
          <xdr:nvPicPr>
            <xdr:cNvPr id="543" name="Ink 542">
              <a:extLst>
                <a:ext uri="{FF2B5EF4-FFF2-40B4-BE49-F238E27FC236}">
                  <a16:creationId xmlns:a16="http://schemas.microsoft.com/office/drawing/2014/main" id="{BDF60237-AD4D-731B-0E78-73E078DD325A}"/>
                </a:ext>
              </a:extLst>
            </xdr:cNvPr>
            <xdr:cNvPicPr/>
          </xdr:nvPicPr>
          <xdr:blipFill>
            <a:blip xmlns:r="http://schemas.openxmlformats.org/officeDocument/2006/relationships" r:embed="rId108"/>
            <a:stretch>
              <a:fillRect/>
            </a:stretch>
          </xdr:blipFill>
          <xdr:spPr>
            <a:xfrm>
              <a:off x="5469122" y="11884320"/>
              <a:ext cx="1321195" cy="309960"/>
            </a:xfrm>
            <a:prstGeom prst="rect">
              <a:avLst/>
            </a:prstGeom>
          </xdr:spPr>
        </xdr:pic>
      </mc:Fallback>
    </mc:AlternateContent>
    <xdr:clientData/>
  </xdr:twoCellAnchor>
  <xdr:twoCellAnchor editAs="oneCell">
    <xdr:from>
      <xdr:col>5</xdr:col>
      <xdr:colOff>258960</xdr:colOff>
      <xdr:row>71</xdr:row>
      <xdr:rowOff>43560</xdr:rowOff>
    </xdr:from>
    <xdr:to>
      <xdr:col>5</xdr:col>
      <xdr:colOff>562080</xdr:colOff>
      <xdr:row>72</xdr:row>
      <xdr:rowOff>19080</xdr:rowOff>
    </xdr:to>
    <mc:AlternateContent xmlns:mc="http://schemas.openxmlformats.org/markup-compatibility/2006" xmlns:xdr14="http://schemas.microsoft.com/office/excel/2010/spreadsheetDrawing">
      <mc:Choice Requires="xdr14">
        <xdr:contentPart xmlns:r="http://schemas.openxmlformats.org/officeDocument/2006/relationships" r:id="rId109">
          <xdr14:nvContentPartPr>
            <xdr14:cNvPr id="548" name="Ink 547">
              <a:extLst>
                <a:ext uri="{FF2B5EF4-FFF2-40B4-BE49-F238E27FC236}">
                  <a16:creationId xmlns:a16="http://schemas.microsoft.com/office/drawing/2014/main" id="{84EE0776-12DA-FBBC-24A2-C8CB9F0B68B5}"/>
                </a:ext>
              </a:extLst>
            </xdr14:cNvPr>
            <xdr14:cNvContentPartPr/>
          </xdr14:nvContentPartPr>
          <xdr14:nvPr macro=""/>
          <xdr14:xfrm>
            <a:off x="3306960" y="13028040"/>
            <a:ext cx="303120" cy="158400"/>
          </xdr14:xfrm>
        </xdr:contentPart>
      </mc:Choice>
      <mc:Fallback xmlns="">
        <xdr:pic>
          <xdr:nvPicPr>
            <xdr:cNvPr id="548" name="Ink 547">
              <a:extLst>
                <a:ext uri="{FF2B5EF4-FFF2-40B4-BE49-F238E27FC236}">
                  <a16:creationId xmlns:a16="http://schemas.microsoft.com/office/drawing/2014/main" id="{84EE0776-12DA-FBBC-24A2-C8CB9F0B68B5}"/>
                </a:ext>
              </a:extLst>
            </xdr:cNvPr>
            <xdr:cNvPicPr/>
          </xdr:nvPicPr>
          <xdr:blipFill>
            <a:blip xmlns:r="http://schemas.openxmlformats.org/officeDocument/2006/relationships" r:embed="rId110"/>
            <a:stretch>
              <a:fillRect/>
            </a:stretch>
          </xdr:blipFill>
          <xdr:spPr>
            <a:xfrm>
              <a:off x="3297960" y="13019060"/>
              <a:ext cx="320760" cy="176000"/>
            </a:xfrm>
            <a:prstGeom prst="rect">
              <a:avLst/>
            </a:prstGeom>
          </xdr:spPr>
        </xdr:pic>
      </mc:Fallback>
    </mc:AlternateContent>
    <xdr:clientData/>
  </xdr:twoCellAnchor>
  <xdr:twoCellAnchor editAs="oneCell">
    <xdr:from>
      <xdr:col>6</xdr:col>
      <xdr:colOff>58320</xdr:colOff>
      <xdr:row>70</xdr:row>
      <xdr:rowOff>74880</xdr:rowOff>
    </xdr:from>
    <xdr:to>
      <xdr:col>11</xdr:col>
      <xdr:colOff>380280</xdr:colOff>
      <xdr:row>72</xdr:row>
      <xdr:rowOff>164880</xdr:rowOff>
    </xdr:to>
    <mc:AlternateContent xmlns:mc="http://schemas.openxmlformats.org/markup-compatibility/2006" xmlns:xdr14="http://schemas.microsoft.com/office/excel/2010/spreadsheetDrawing">
      <mc:Choice Requires="xdr14">
        <xdr:contentPart xmlns:r="http://schemas.openxmlformats.org/officeDocument/2006/relationships" r:id="rId111">
          <xdr14:nvContentPartPr>
            <xdr14:cNvPr id="566" name="Ink 565">
              <a:extLst>
                <a:ext uri="{FF2B5EF4-FFF2-40B4-BE49-F238E27FC236}">
                  <a16:creationId xmlns:a16="http://schemas.microsoft.com/office/drawing/2014/main" id="{E7BBA4C5-7199-4C6E-F2F0-38F390E7B892}"/>
                </a:ext>
              </a:extLst>
            </xdr14:cNvPr>
            <xdr14:cNvContentPartPr/>
          </xdr14:nvContentPartPr>
          <xdr14:nvPr macro=""/>
          <xdr14:xfrm>
            <a:off x="3715920" y="12876480"/>
            <a:ext cx="3369960" cy="455760"/>
          </xdr14:xfrm>
        </xdr:contentPart>
      </mc:Choice>
      <mc:Fallback xmlns="">
        <xdr:pic>
          <xdr:nvPicPr>
            <xdr:cNvPr id="566" name="Ink 565">
              <a:extLst>
                <a:ext uri="{FF2B5EF4-FFF2-40B4-BE49-F238E27FC236}">
                  <a16:creationId xmlns:a16="http://schemas.microsoft.com/office/drawing/2014/main" id="{E7BBA4C5-7199-4C6E-F2F0-38F390E7B892}"/>
                </a:ext>
              </a:extLst>
            </xdr:cNvPr>
            <xdr:cNvPicPr/>
          </xdr:nvPicPr>
          <xdr:blipFill>
            <a:blip xmlns:r="http://schemas.openxmlformats.org/officeDocument/2006/relationships" r:embed="rId112"/>
            <a:stretch>
              <a:fillRect/>
            </a:stretch>
          </xdr:blipFill>
          <xdr:spPr>
            <a:xfrm>
              <a:off x="3706920" y="12867840"/>
              <a:ext cx="3387600" cy="473400"/>
            </a:xfrm>
            <a:prstGeom prst="rect">
              <a:avLst/>
            </a:prstGeom>
          </xdr:spPr>
        </xdr:pic>
      </mc:Fallback>
    </mc:AlternateContent>
    <xdr:clientData/>
  </xdr:twoCellAnchor>
  <xdr:twoCellAnchor editAs="oneCell">
    <xdr:from>
      <xdr:col>8</xdr:col>
      <xdr:colOff>204600</xdr:colOff>
      <xdr:row>72</xdr:row>
      <xdr:rowOff>52200</xdr:rowOff>
    </xdr:from>
    <xdr:to>
      <xdr:col>11</xdr:col>
      <xdr:colOff>1920</xdr:colOff>
      <xdr:row>74</xdr:row>
      <xdr:rowOff>114120</xdr:rowOff>
    </xdr:to>
    <mc:AlternateContent xmlns:mc="http://schemas.openxmlformats.org/markup-compatibility/2006" xmlns:xdr14="http://schemas.microsoft.com/office/excel/2010/spreadsheetDrawing">
      <mc:Choice Requires="xdr14">
        <xdr:contentPart xmlns:r="http://schemas.openxmlformats.org/officeDocument/2006/relationships" r:id="rId113">
          <xdr14:nvContentPartPr>
            <xdr14:cNvPr id="573" name="Ink 572">
              <a:extLst>
                <a:ext uri="{FF2B5EF4-FFF2-40B4-BE49-F238E27FC236}">
                  <a16:creationId xmlns:a16="http://schemas.microsoft.com/office/drawing/2014/main" id="{D5EEEF42-1D70-73C7-452B-DCE5C0AB43C0}"/>
                </a:ext>
              </a:extLst>
            </xdr14:cNvPr>
            <xdr14:cNvContentPartPr/>
          </xdr14:nvContentPartPr>
          <xdr14:nvPr macro=""/>
          <xdr14:xfrm>
            <a:off x="5081400" y="13219560"/>
            <a:ext cx="1626120" cy="427680"/>
          </xdr14:xfrm>
        </xdr:contentPart>
      </mc:Choice>
      <mc:Fallback xmlns="">
        <xdr:pic>
          <xdr:nvPicPr>
            <xdr:cNvPr id="573" name="Ink 572">
              <a:extLst>
                <a:ext uri="{FF2B5EF4-FFF2-40B4-BE49-F238E27FC236}">
                  <a16:creationId xmlns:a16="http://schemas.microsoft.com/office/drawing/2014/main" id="{D5EEEF42-1D70-73C7-452B-DCE5C0AB43C0}"/>
                </a:ext>
              </a:extLst>
            </xdr:cNvPr>
            <xdr:cNvPicPr/>
          </xdr:nvPicPr>
          <xdr:blipFill>
            <a:blip xmlns:r="http://schemas.openxmlformats.org/officeDocument/2006/relationships" r:embed="rId114"/>
            <a:stretch>
              <a:fillRect/>
            </a:stretch>
          </xdr:blipFill>
          <xdr:spPr>
            <a:xfrm>
              <a:off x="5072400" y="13210560"/>
              <a:ext cx="1643760" cy="445320"/>
            </a:xfrm>
            <a:prstGeom prst="rect">
              <a:avLst/>
            </a:prstGeom>
          </xdr:spPr>
        </xdr:pic>
      </mc:Fallback>
    </mc:AlternateContent>
    <xdr:clientData/>
  </xdr:twoCellAnchor>
  <xdr:twoCellAnchor editAs="oneCell">
    <xdr:from>
      <xdr:col>12</xdr:col>
      <xdr:colOff>545760</xdr:colOff>
      <xdr:row>72</xdr:row>
      <xdr:rowOff>50760</xdr:rowOff>
    </xdr:from>
    <xdr:to>
      <xdr:col>13</xdr:col>
      <xdr:colOff>552480</xdr:colOff>
      <xdr:row>73</xdr:row>
      <xdr:rowOff>133920</xdr:rowOff>
    </xdr:to>
    <mc:AlternateContent xmlns:mc="http://schemas.openxmlformats.org/markup-compatibility/2006" xmlns:xdr14="http://schemas.microsoft.com/office/excel/2010/spreadsheetDrawing">
      <mc:Choice Requires="xdr14">
        <xdr:contentPart xmlns:r="http://schemas.openxmlformats.org/officeDocument/2006/relationships" r:id="rId115">
          <xdr14:nvContentPartPr>
            <xdr14:cNvPr id="587" name="Ink 586">
              <a:extLst>
                <a:ext uri="{FF2B5EF4-FFF2-40B4-BE49-F238E27FC236}">
                  <a16:creationId xmlns:a16="http://schemas.microsoft.com/office/drawing/2014/main" id="{AE6E303C-D2E4-52CF-2E13-4639C0FB9824}"/>
                </a:ext>
              </a:extLst>
            </xdr14:cNvPr>
            <xdr14:cNvContentPartPr/>
          </xdr14:nvContentPartPr>
          <xdr14:nvPr macro=""/>
          <xdr14:xfrm>
            <a:off x="7860960" y="13218120"/>
            <a:ext cx="616320" cy="266040"/>
          </xdr14:xfrm>
        </xdr:contentPart>
      </mc:Choice>
      <mc:Fallback xmlns="">
        <xdr:pic>
          <xdr:nvPicPr>
            <xdr:cNvPr id="587" name="Ink 586">
              <a:extLst>
                <a:ext uri="{FF2B5EF4-FFF2-40B4-BE49-F238E27FC236}">
                  <a16:creationId xmlns:a16="http://schemas.microsoft.com/office/drawing/2014/main" id="{AE6E303C-D2E4-52CF-2E13-4639C0FB9824}"/>
                </a:ext>
              </a:extLst>
            </xdr:cNvPr>
            <xdr:cNvPicPr/>
          </xdr:nvPicPr>
          <xdr:blipFill>
            <a:blip xmlns:r="http://schemas.openxmlformats.org/officeDocument/2006/relationships" r:embed="rId116"/>
            <a:stretch>
              <a:fillRect/>
            </a:stretch>
          </xdr:blipFill>
          <xdr:spPr>
            <a:xfrm>
              <a:off x="7852320" y="13209480"/>
              <a:ext cx="633960" cy="283680"/>
            </a:xfrm>
            <a:prstGeom prst="rect">
              <a:avLst/>
            </a:prstGeom>
          </xdr:spPr>
        </xdr:pic>
      </mc:Fallback>
    </mc:AlternateContent>
    <xdr:clientData/>
  </xdr:twoCellAnchor>
  <xdr:twoCellAnchor editAs="oneCell">
    <xdr:from>
      <xdr:col>11</xdr:col>
      <xdr:colOff>289200</xdr:colOff>
      <xdr:row>72</xdr:row>
      <xdr:rowOff>149040</xdr:rowOff>
    </xdr:from>
    <xdr:to>
      <xdr:col>12</xdr:col>
      <xdr:colOff>287280</xdr:colOff>
      <xdr:row>74</xdr:row>
      <xdr:rowOff>5040</xdr:rowOff>
    </xdr:to>
    <mc:AlternateContent xmlns:mc="http://schemas.openxmlformats.org/markup-compatibility/2006" xmlns:xdr14="http://schemas.microsoft.com/office/excel/2010/spreadsheetDrawing">
      <mc:Choice Requires="xdr14">
        <xdr:contentPart xmlns:r="http://schemas.openxmlformats.org/officeDocument/2006/relationships" r:id="rId117">
          <xdr14:nvContentPartPr>
            <xdr14:cNvPr id="588" name="Ink 587">
              <a:extLst>
                <a:ext uri="{FF2B5EF4-FFF2-40B4-BE49-F238E27FC236}">
                  <a16:creationId xmlns:a16="http://schemas.microsoft.com/office/drawing/2014/main" id="{B30A3973-F00E-CAC9-4FBC-54E50997D3C9}"/>
                </a:ext>
              </a:extLst>
            </xdr14:cNvPr>
            <xdr14:cNvContentPartPr/>
          </xdr14:nvContentPartPr>
          <xdr14:nvPr macro=""/>
          <xdr14:xfrm>
            <a:off x="6994800" y="13316400"/>
            <a:ext cx="607680" cy="221760"/>
          </xdr14:xfrm>
        </xdr:contentPart>
      </mc:Choice>
      <mc:Fallback xmlns="">
        <xdr:pic>
          <xdr:nvPicPr>
            <xdr:cNvPr id="588" name="Ink 587">
              <a:extLst>
                <a:ext uri="{FF2B5EF4-FFF2-40B4-BE49-F238E27FC236}">
                  <a16:creationId xmlns:a16="http://schemas.microsoft.com/office/drawing/2014/main" id="{B30A3973-F00E-CAC9-4FBC-54E50997D3C9}"/>
                </a:ext>
              </a:extLst>
            </xdr:cNvPr>
            <xdr:cNvPicPr/>
          </xdr:nvPicPr>
          <xdr:blipFill>
            <a:blip xmlns:r="http://schemas.openxmlformats.org/officeDocument/2006/relationships" r:embed="rId118"/>
            <a:stretch>
              <a:fillRect/>
            </a:stretch>
          </xdr:blipFill>
          <xdr:spPr>
            <a:xfrm>
              <a:off x="6985805" y="13307400"/>
              <a:ext cx="625310" cy="239400"/>
            </a:xfrm>
            <a:prstGeom prst="rect">
              <a:avLst/>
            </a:prstGeom>
          </xdr:spPr>
        </xdr:pic>
      </mc:Fallback>
    </mc:AlternateContent>
    <xdr:clientData/>
  </xdr:twoCellAnchor>
  <xdr:twoCellAnchor editAs="oneCell">
    <xdr:from>
      <xdr:col>14</xdr:col>
      <xdr:colOff>212520</xdr:colOff>
      <xdr:row>68</xdr:row>
      <xdr:rowOff>33120</xdr:rowOff>
    </xdr:from>
    <xdr:to>
      <xdr:col>19</xdr:col>
      <xdr:colOff>187800</xdr:colOff>
      <xdr:row>73</xdr:row>
      <xdr:rowOff>130320</xdr:rowOff>
    </xdr:to>
    <mc:AlternateContent xmlns:mc="http://schemas.openxmlformats.org/markup-compatibility/2006" xmlns:xdr14="http://schemas.microsoft.com/office/excel/2010/spreadsheetDrawing">
      <mc:Choice Requires="xdr14">
        <xdr:contentPart xmlns:r="http://schemas.openxmlformats.org/officeDocument/2006/relationships" r:id="rId119">
          <xdr14:nvContentPartPr>
            <xdr14:cNvPr id="608" name="Ink 607">
              <a:extLst>
                <a:ext uri="{FF2B5EF4-FFF2-40B4-BE49-F238E27FC236}">
                  <a16:creationId xmlns:a16="http://schemas.microsoft.com/office/drawing/2014/main" id="{0D53D417-15B6-7952-0DAF-E750F3268D35}"/>
                </a:ext>
              </a:extLst>
            </xdr14:cNvPr>
            <xdr14:cNvContentPartPr/>
          </xdr14:nvContentPartPr>
          <xdr14:nvPr macro=""/>
          <xdr14:xfrm>
            <a:off x="8746920" y="12468960"/>
            <a:ext cx="3023280" cy="1011600"/>
          </xdr14:xfrm>
        </xdr:contentPart>
      </mc:Choice>
      <mc:Fallback xmlns="">
        <xdr:pic>
          <xdr:nvPicPr>
            <xdr:cNvPr id="608" name="Ink 607">
              <a:extLst>
                <a:ext uri="{FF2B5EF4-FFF2-40B4-BE49-F238E27FC236}">
                  <a16:creationId xmlns:a16="http://schemas.microsoft.com/office/drawing/2014/main" id="{0D53D417-15B6-7952-0DAF-E750F3268D35}"/>
                </a:ext>
              </a:extLst>
            </xdr:cNvPr>
            <xdr:cNvPicPr/>
          </xdr:nvPicPr>
          <xdr:blipFill>
            <a:blip xmlns:r="http://schemas.openxmlformats.org/officeDocument/2006/relationships" r:embed="rId120"/>
            <a:stretch>
              <a:fillRect/>
            </a:stretch>
          </xdr:blipFill>
          <xdr:spPr>
            <a:xfrm>
              <a:off x="8738280" y="12459963"/>
              <a:ext cx="3040920" cy="1029234"/>
            </a:xfrm>
            <a:prstGeom prst="rect">
              <a:avLst/>
            </a:prstGeom>
          </xdr:spPr>
        </xdr:pic>
      </mc:Fallback>
    </mc:AlternateContent>
    <xdr:clientData/>
  </xdr:twoCellAnchor>
  <xdr:twoCellAnchor editAs="oneCell">
    <xdr:from>
      <xdr:col>9</xdr:col>
      <xdr:colOff>444600</xdr:colOff>
      <xdr:row>75</xdr:row>
      <xdr:rowOff>34560</xdr:rowOff>
    </xdr:from>
    <xdr:to>
      <xdr:col>11</xdr:col>
      <xdr:colOff>604920</xdr:colOff>
      <xdr:row>77</xdr:row>
      <xdr:rowOff>48240</xdr:rowOff>
    </xdr:to>
    <mc:AlternateContent xmlns:mc="http://schemas.openxmlformats.org/markup-compatibility/2006" xmlns:xdr14="http://schemas.microsoft.com/office/excel/2010/spreadsheetDrawing">
      <mc:Choice Requires="xdr14">
        <xdr:contentPart xmlns:r="http://schemas.openxmlformats.org/officeDocument/2006/relationships" r:id="rId121">
          <xdr14:nvContentPartPr>
            <xdr14:cNvPr id="623" name="Ink 622">
              <a:extLst>
                <a:ext uri="{FF2B5EF4-FFF2-40B4-BE49-F238E27FC236}">
                  <a16:creationId xmlns:a16="http://schemas.microsoft.com/office/drawing/2014/main" id="{5D40A620-6A4C-FD32-3705-ED62A90F19E9}"/>
                </a:ext>
              </a:extLst>
            </xdr14:cNvPr>
            <xdr14:cNvContentPartPr/>
          </xdr14:nvContentPartPr>
          <xdr14:nvPr macro=""/>
          <xdr14:xfrm>
            <a:off x="5931000" y="13750560"/>
            <a:ext cx="1379520" cy="379440"/>
          </xdr14:xfrm>
        </xdr:contentPart>
      </mc:Choice>
      <mc:Fallback xmlns="">
        <xdr:pic>
          <xdr:nvPicPr>
            <xdr:cNvPr id="623" name="Ink 622">
              <a:extLst>
                <a:ext uri="{FF2B5EF4-FFF2-40B4-BE49-F238E27FC236}">
                  <a16:creationId xmlns:a16="http://schemas.microsoft.com/office/drawing/2014/main" id="{5D40A620-6A4C-FD32-3705-ED62A90F19E9}"/>
                </a:ext>
              </a:extLst>
            </xdr:cNvPr>
            <xdr:cNvPicPr/>
          </xdr:nvPicPr>
          <xdr:blipFill>
            <a:blip xmlns:r="http://schemas.openxmlformats.org/officeDocument/2006/relationships" r:embed="rId122"/>
            <a:stretch>
              <a:fillRect/>
            </a:stretch>
          </xdr:blipFill>
          <xdr:spPr>
            <a:xfrm>
              <a:off x="5922000" y="13741560"/>
              <a:ext cx="1397160" cy="397080"/>
            </a:xfrm>
            <a:prstGeom prst="rect">
              <a:avLst/>
            </a:prstGeom>
          </xdr:spPr>
        </xdr:pic>
      </mc:Fallback>
    </mc:AlternateContent>
    <xdr:clientData/>
  </xdr:twoCellAnchor>
  <xdr:twoCellAnchor editAs="oneCell">
    <xdr:from>
      <xdr:col>3</xdr:col>
      <xdr:colOff>344880</xdr:colOff>
      <xdr:row>81</xdr:row>
      <xdr:rowOff>36000</xdr:rowOff>
    </xdr:from>
    <xdr:to>
      <xdr:col>5</xdr:col>
      <xdr:colOff>214680</xdr:colOff>
      <xdr:row>82</xdr:row>
      <xdr:rowOff>170280</xdr:rowOff>
    </xdr:to>
    <mc:AlternateContent xmlns:mc="http://schemas.openxmlformats.org/markup-compatibility/2006" xmlns:xdr14="http://schemas.microsoft.com/office/excel/2010/spreadsheetDrawing">
      <mc:Choice Requires="xdr14">
        <xdr:contentPart xmlns:r="http://schemas.openxmlformats.org/officeDocument/2006/relationships" r:id="rId123">
          <xdr14:nvContentPartPr>
            <xdr14:cNvPr id="633" name="Ink 632">
              <a:extLst>
                <a:ext uri="{FF2B5EF4-FFF2-40B4-BE49-F238E27FC236}">
                  <a16:creationId xmlns:a16="http://schemas.microsoft.com/office/drawing/2014/main" id="{64FEC18A-4E1C-F030-C576-DE8FB87E7F0A}"/>
                </a:ext>
              </a:extLst>
            </xdr14:cNvPr>
            <xdr14:cNvContentPartPr/>
          </xdr14:nvContentPartPr>
          <xdr14:nvPr macro=""/>
          <xdr14:xfrm>
            <a:off x="2173680" y="14849280"/>
            <a:ext cx="1089000" cy="317160"/>
          </xdr14:xfrm>
        </xdr:contentPart>
      </mc:Choice>
      <mc:Fallback xmlns="">
        <xdr:pic>
          <xdr:nvPicPr>
            <xdr:cNvPr id="633" name="Ink 632">
              <a:extLst>
                <a:ext uri="{FF2B5EF4-FFF2-40B4-BE49-F238E27FC236}">
                  <a16:creationId xmlns:a16="http://schemas.microsoft.com/office/drawing/2014/main" id="{64FEC18A-4E1C-F030-C576-DE8FB87E7F0A}"/>
                </a:ext>
              </a:extLst>
            </xdr:cNvPr>
            <xdr:cNvPicPr/>
          </xdr:nvPicPr>
          <xdr:blipFill>
            <a:blip xmlns:r="http://schemas.openxmlformats.org/officeDocument/2006/relationships" r:embed="rId124"/>
            <a:stretch>
              <a:fillRect/>
            </a:stretch>
          </xdr:blipFill>
          <xdr:spPr>
            <a:xfrm>
              <a:off x="2165040" y="14840280"/>
              <a:ext cx="1106640" cy="334800"/>
            </a:xfrm>
            <a:prstGeom prst="rect">
              <a:avLst/>
            </a:prstGeom>
          </xdr:spPr>
        </xdr:pic>
      </mc:Fallback>
    </mc:AlternateContent>
    <xdr:clientData/>
  </xdr:twoCellAnchor>
  <xdr:twoCellAnchor editAs="oneCell">
    <xdr:from>
      <xdr:col>5</xdr:col>
      <xdr:colOff>567120</xdr:colOff>
      <xdr:row>81</xdr:row>
      <xdr:rowOff>155880</xdr:rowOff>
    </xdr:from>
    <xdr:to>
      <xdr:col>6</xdr:col>
      <xdr:colOff>174960</xdr:colOff>
      <xdr:row>82</xdr:row>
      <xdr:rowOff>78840</xdr:rowOff>
    </xdr:to>
    <mc:AlternateContent xmlns:mc="http://schemas.openxmlformats.org/markup-compatibility/2006" xmlns:xdr14="http://schemas.microsoft.com/office/excel/2010/spreadsheetDrawing">
      <mc:Choice Requires="xdr14">
        <xdr:contentPart xmlns:r="http://schemas.openxmlformats.org/officeDocument/2006/relationships" r:id="rId125">
          <xdr14:nvContentPartPr>
            <xdr14:cNvPr id="636" name="Ink 635">
              <a:extLst>
                <a:ext uri="{FF2B5EF4-FFF2-40B4-BE49-F238E27FC236}">
                  <a16:creationId xmlns:a16="http://schemas.microsoft.com/office/drawing/2014/main" id="{F80B57C4-E33F-D185-729A-925C5480F6F9}"/>
                </a:ext>
              </a:extLst>
            </xdr14:cNvPr>
            <xdr14:cNvContentPartPr/>
          </xdr14:nvContentPartPr>
          <xdr14:nvPr macro=""/>
          <xdr14:xfrm>
            <a:off x="3615120" y="14969160"/>
            <a:ext cx="217440" cy="105840"/>
          </xdr14:xfrm>
        </xdr:contentPart>
      </mc:Choice>
      <mc:Fallback xmlns="">
        <xdr:pic>
          <xdr:nvPicPr>
            <xdr:cNvPr id="636" name="Ink 635">
              <a:extLst>
                <a:ext uri="{FF2B5EF4-FFF2-40B4-BE49-F238E27FC236}">
                  <a16:creationId xmlns:a16="http://schemas.microsoft.com/office/drawing/2014/main" id="{F80B57C4-E33F-D185-729A-925C5480F6F9}"/>
                </a:ext>
              </a:extLst>
            </xdr:cNvPr>
            <xdr:cNvPicPr/>
          </xdr:nvPicPr>
          <xdr:blipFill>
            <a:blip xmlns:r="http://schemas.openxmlformats.org/officeDocument/2006/relationships" r:embed="rId126"/>
            <a:stretch>
              <a:fillRect/>
            </a:stretch>
          </xdr:blipFill>
          <xdr:spPr>
            <a:xfrm>
              <a:off x="3606120" y="14960160"/>
              <a:ext cx="235080" cy="123480"/>
            </a:xfrm>
            <a:prstGeom prst="rect">
              <a:avLst/>
            </a:prstGeom>
          </xdr:spPr>
        </xdr:pic>
      </mc:Fallback>
    </mc:AlternateContent>
    <xdr:clientData/>
  </xdr:twoCellAnchor>
  <xdr:twoCellAnchor editAs="oneCell">
    <xdr:from>
      <xdr:col>6</xdr:col>
      <xdr:colOff>508320</xdr:colOff>
      <xdr:row>81</xdr:row>
      <xdr:rowOff>47520</xdr:rowOff>
    </xdr:from>
    <xdr:to>
      <xdr:col>8</xdr:col>
      <xdr:colOff>488640</xdr:colOff>
      <xdr:row>83</xdr:row>
      <xdr:rowOff>54000</xdr:rowOff>
    </xdr:to>
    <mc:AlternateContent xmlns:mc="http://schemas.openxmlformats.org/markup-compatibility/2006" xmlns:xdr14="http://schemas.microsoft.com/office/excel/2010/spreadsheetDrawing">
      <mc:Choice Requires="xdr14">
        <xdr:contentPart xmlns:r="http://schemas.openxmlformats.org/officeDocument/2006/relationships" r:id="rId127">
          <xdr14:nvContentPartPr>
            <xdr14:cNvPr id="644" name="Ink 643">
              <a:extLst>
                <a:ext uri="{FF2B5EF4-FFF2-40B4-BE49-F238E27FC236}">
                  <a16:creationId xmlns:a16="http://schemas.microsoft.com/office/drawing/2014/main" id="{30A28725-51C9-D06E-D323-A25C9FDE167C}"/>
                </a:ext>
              </a:extLst>
            </xdr14:cNvPr>
            <xdr14:cNvContentPartPr/>
          </xdr14:nvContentPartPr>
          <xdr14:nvPr macro=""/>
          <xdr14:xfrm>
            <a:off x="4165920" y="14860800"/>
            <a:ext cx="1199520" cy="372240"/>
          </xdr14:xfrm>
        </xdr:contentPart>
      </mc:Choice>
      <mc:Fallback xmlns="">
        <xdr:pic>
          <xdr:nvPicPr>
            <xdr:cNvPr id="644" name="Ink 643">
              <a:extLst>
                <a:ext uri="{FF2B5EF4-FFF2-40B4-BE49-F238E27FC236}">
                  <a16:creationId xmlns:a16="http://schemas.microsoft.com/office/drawing/2014/main" id="{30A28725-51C9-D06E-D323-A25C9FDE167C}"/>
                </a:ext>
              </a:extLst>
            </xdr:cNvPr>
            <xdr:cNvPicPr/>
          </xdr:nvPicPr>
          <xdr:blipFill>
            <a:blip xmlns:r="http://schemas.openxmlformats.org/officeDocument/2006/relationships" r:embed="rId128"/>
            <a:stretch>
              <a:fillRect/>
            </a:stretch>
          </xdr:blipFill>
          <xdr:spPr>
            <a:xfrm>
              <a:off x="4156920" y="14851800"/>
              <a:ext cx="1217160" cy="389880"/>
            </a:xfrm>
            <a:prstGeom prst="rect">
              <a:avLst/>
            </a:prstGeom>
          </xdr:spPr>
        </xdr:pic>
      </mc:Fallback>
    </mc:AlternateContent>
    <xdr:clientData/>
  </xdr:twoCellAnchor>
  <xdr:twoCellAnchor editAs="oneCell">
    <xdr:from>
      <xdr:col>11</xdr:col>
      <xdr:colOff>186600</xdr:colOff>
      <xdr:row>80</xdr:row>
      <xdr:rowOff>101880</xdr:rowOff>
    </xdr:from>
    <xdr:to>
      <xdr:col>15</xdr:col>
      <xdr:colOff>100440</xdr:colOff>
      <xdr:row>82</xdr:row>
      <xdr:rowOff>35280</xdr:rowOff>
    </xdr:to>
    <mc:AlternateContent xmlns:mc="http://schemas.openxmlformats.org/markup-compatibility/2006" xmlns:xdr14="http://schemas.microsoft.com/office/excel/2010/spreadsheetDrawing">
      <mc:Choice Requires="xdr14">
        <xdr:contentPart xmlns:r="http://schemas.openxmlformats.org/officeDocument/2006/relationships" r:id="rId129">
          <xdr14:nvContentPartPr>
            <xdr14:cNvPr id="657" name="Ink 656">
              <a:extLst>
                <a:ext uri="{FF2B5EF4-FFF2-40B4-BE49-F238E27FC236}">
                  <a16:creationId xmlns:a16="http://schemas.microsoft.com/office/drawing/2014/main" id="{C1437FA3-86E4-A3AF-FC81-E2BD964ABF3D}"/>
                </a:ext>
              </a:extLst>
            </xdr14:cNvPr>
            <xdr14:cNvContentPartPr/>
          </xdr14:nvContentPartPr>
          <xdr14:nvPr macro=""/>
          <xdr14:xfrm>
            <a:off x="6892200" y="14732280"/>
            <a:ext cx="2352240" cy="299160"/>
          </xdr14:xfrm>
        </xdr:contentPart>
      </mc:Choice>
      <mc:Fallback xmlns="">
        <xdr:pic>
          <xdr:nvPicPr>
            <xdr:cNvPr id="657" name="Ink 656">
              <a:extLst>
                <a:ext uri="{FF2B5EF4-FFF2-40B4-BE49-F238E27FC236}">
                  <a16:creationId xmlns:a16="http://schemas.microsoft.com/office/drawing/2014/main" id="{C1437FA3-86E4-A3AF-FC81-E2BD964ABF3D}"/>
                </a:ext>
              </a:extLst>
            </xdr:cNvPr>
            <xdr:cNvPicPr/>
          </xdr:nvPicPr>
          <xdr:blipFill>
            <a:blip xmlns:r="http://schemas.openxmlformats.org/officeDocument/2006/relationships" r:embed="rId130"/>
            <a:stretch>
              <a:fillRect/>
            </a:stretch>
          </xdr:blipFill>
          <xdr:spPr>
            <a:xfrm>
              <a:off x="6883560" y="14723640"/>
              <a:ext cx="2369880" cy="316800"/>
            </a:xfrm>
            <a:prstGeom prst="rect">
              <a:avLst/>
            </a:prstGeom>
          </xdr:spPr>
        </xdr:pic>
      </mc:Fallback>
    </mc:AlternateContent>
    <xdr:clientData/>
  </xdr:twoCellAnchor>
  <xdr:twoCellAnchor editAs="oneCell">
    <xdr:from>
      <xdr:col>9</xdr:col>
      <xdr:colOff>142560</xdr:colOff>
      <xdr:row>80</xdr:row>
      <xdr:rowOff>180360</xdr:rowOff>
    </xdr:from>
    <xdr:to>
      <xdr:col>10</xdr:col>
      <xdr:colOff>534840</xdr:colOff>
      <xdr:row>82</xdr:row>
      <xdr:rowOff>37800</xdr:rowOff>
    </xdr:to>
    <mc:AlternateContent xmlns:mc="http://schemas.openxmlformats.org/markup-compatibility/2006" xmlns:xdr14="http://schemas.microsoft.com/office/excel/2010/spreadsheetDrawing">
      <mc:Choice Requires="xdr14">
        <xdr:contentPart xmlns:r="http://schemas.openxmlformats.org/officeDocument/2006/relationships" r:id="rId131">
          <xdr14:nvContentPartPr>
            <xdr14:cNvPr id="658" name="Ink 657">
              <a:extLst>
                <a:ext uri="{FF2B5EF4-FFF2-40B4-BE49-F238E27FC236}">
                  <a16:creationId xmlns:a16="http://schemas.microsoft.com/office/drawing/2014/main" id="{E479BA6F-1B05-792E-F38F-D7C48C1437F3}"/>
                </a:ext>
              </a:extLst>
            </xdr14:cNvPr>
            <xdr14:cNvContentPartPr/>
          </xdr14:nvContentPartPr>
          <xdr14:nvPr macro=""/>
          <xdr14:xfrm>
            <a:off x="5628960" y="14810760"/>
            <a:ext cx="1001880" cy="223200"/>
          </xdr14:xfrm>
        </xdr:contentPart>
      </mc:Choice>
      <mc:Fallback xmlns="">
        <xdr:pic>
          <xdr:nvPicPr>
            <xdr:cNvPr id="658" name="Ink 657">
              <a:extLst>
                <a:ext uri="{FF2B5EF4-FFF2-40B4-BE49-F238E27FC236}">
                  <a16:creationId xmlns:a16="http://schemas.microsoft.com/office/drawing/2014/main" id="{E479BA6F-1B05-792E-F38F-D7C48C1437F3}"/>
                </a:ext>
              </a:extLst>
            </xdr:cNvPr>
            <xdr:cNvPicPr/>
          </xdr:nvPicPr>
          <xdr:blipFill>
            <a:blip xmlns:r="http://schemas.openxmlformats.org/officeDocument/2006/relationships" r:embed="rId132"/>
            <a:stretch>
              <a:fillRect/>
            </a:stretch>
          </xdr:blipFill>
          <xdr:spPr>
            <a:xfrm>
              <a:off x="5620317" y="14801774"/>
              <a:ext cx="1019526" cy="240812"/>
            </a:xfrm>
            <a:prstGeom prst="rect">
              <a:avLst/>
            </a:prstGeom>
          </xdr:spPr>
        </xdr:pic>
      </mc:Fallback>
    </mc:AlternateContent>
    <xdr:clientData/>
  </xdr:twoCellAnchor>
  <xdr:twoCellAnchor editAs="oneCell">
    <xdr:from>
      <xdr:col>11</xdr:col>
      <xdr:colOff>51960</xdr:colOff>
      <xdr:row>83</xdr:row>
      <xdr:rowOff>133920</xdr:rowOff>
    </xdr:from>
    <xdr:to>
      <xdr:col>15</xdr:col>
      <xdr:colOff>65520</xdr:colOff>
      <xdr:row>86</xdr:row>
      <xdr:rowOff>86040</xdr:rowOff>
    </xdr:to>
    <mc:AlternateContent xmlns:mc="http://schemas.openxmlformats.org/markup-compatibility/2006" xmlns:xdr14="http://schemas.microsoft.com/office/excel/2010/spreadsheetDrawing">
      <mc:Choice Requires="xdr14">
        <xdr:contentPart xmlns:r="http://schemas.openxmlformats.org/officeDocument/2006/relationships" r:id="rId133">
          <xdr14:nvContentPartPr>
            <xdr14:cNvPr id="670" name="Ink 669">
              <a:extLst>
                <a:ext uri="{FF2B5EF4-FFF2-40B4-BE49-F238E27FC236}">
                  <a16:creationId xmlns:a16="http://schemas.microsoft.com/office/drawing/2014/main" id="{19B4F6E2-B869-380C-55EB-2BEB4179203F}"/>
                </a:ext>
              </a:extLst>
            </xdr14:cNvPr>
            <xdr14:cNvContentPartPr/>
          </xdr14:nvContentPartPr>
          <xdr14:nvPr macro=""/>
          <xdr14:xfrm>
            <a:off x="6757560" y="15312960"/>
            <a:ext cx="2451960" cy="500760"/>
          </xdr14:xfrm>
        </xdr:contentPart>
      </mc:Choice>
      <mc:Fallback xmlns="">
        <xdr:pic>
          <xdr:nvPicPr>
            <xdr:cNvPr id="670" name="Ink 669">
              <a:extLst>
                <a:ext uri="{FF2B5EF4-FFF2-40B4-BE49-F238E27FC236}">
                  <a16:creationId xmlns:a16="http://schemas.microsoft.com/office/drawing/2014/main" id="{19B4F6E2-B869-380C-55EB-2BEB4179203F}"/>
                </a:ext>
              </a:extLst>
            </xdr:cNvPr>
            <xdr:cNvPicPr/>
          </xdr:nvPicPr>
          <xdr:blipFill>
            <a:blip xmlns:r="http://schemas.openxmlformats.org/officeDocument/2006/relationships" r:embed="rId134"/>
            <a:stretch>
              <a:fillRect/>
            </a:stretch>
          </xdr:blipFill>
          <xdr:spPr>
            <a:xfrm>
              <a:off x="6748560" y="15304326"/>
              <a:ext cx="2469600" cy="518387"/>
            </a:xfrm>
            <a:prstGeom prst="rect">
              <a:avLst/>
            </a:prstGeom>
          </xdr:spPr>
        </xdr:pic>
      </mc:Fallback>
    </mc:AlternateContent>
    <xdr:clientData/>
  </xdr:twoCellAnchor>
  <xdr:twoCellAnchor editAs="oneCell">
    <xdr:from>
      <xdr:col>9</xdr:col>
      <xdr:colOff>568440</xdr:colOff>
      <xdr:row>92</xdr:row>
      <xdr:rowOff>158040</xdr:rowOff>
    </xdr:from>
    <xdr:to>
      <xdr:col>11</xdr:col>
      <xdr:colOff>60960</xdr:colOff>
      <xdr:row>93</xdr:row>
      <xdr:rowOff>117360</xdr:rowOff>
    </xdr:to>
    <mc:AlternateContent xmlns:mc="http://schemas.openxmlformats.org/markup-compatibility/2006" xmlns:xdr14="http://schemas.microsoft.com/office/excel/2010/spreadsheetDrawing">
      <mc:Choice Requires="xdr14">
        <xdr:contentPart xmlns:r="http://schemas.openxmlformats.org/officeDocument/2006/relationships" r:id="rId135">
          <xdr14:nvContentPartPr>
            <xdr14:cNvPr id="708" name="Ink 707">
              <a:extLst>
                <a:ext uri="{FF2B5EF4-FFF2-40B4-BE49-F238E27FC236}">
                  <a16:creationId xmlns:a16="http://schemas.microsoft.com/office/drawing/2014/main" id="{4EEEF596-F65C-CCB0-1326-4CC526C35727}"/>
                </a:ext>
              </a:extLst>
            </xdr14:cNvPr>
            <xdr14:cNvContentPartPr/>
          </xdr14:nvContentPartPr>
          <xdr14:nvPr macro=""/>
          <xdr14:xfrm>
            <a:off x="6054840" y="16983000"/>
            <a:ext cx="711720" cy="142200"/>
          </xdr14:xfrm>
        </xdr:contentPart>
      </mc:Choice>
      <mc:Fallback xmlns="">
        <xdr:pic>
          <xdr:nvPicPr>
            <xdr:cNvPr id="708" name="Ink 707">
              <a:extLst>
                <a:ext uri="{FF2B5EF4-FFF2-40B4-BE49-F238E27FC236}">
                  <a16:creationId xmlns:a16="http://schemas.microsoft.com/office/drawing/2014/main" id="{4EEEF596-F65C-CCB0-1326-4CC526C35727}"/>
                </a:ext>
              </a:extLst>
            </xdr:cNvPr>
            <xdr:cNvPicPr/>
          </xdr:nvPicPr>
          <xdr:blipFill>
            <a:blip xmlns:r="http://schemas.openxmlformats.org/officeDocument/2006/relationships" r:embed="rId136"/>
            <a:stretch>
              <a:fillRect/>
            </a:stretch>
          </xdr:blipFill>
          <xdr:spPr>
            <a:xfrm>
              <a:off x="6045840" y="16974000"/>
              <a:ext cx="729360" cy="159840"/>
            </a:xfrm>
            <a:prstGeom prst="rect">
              <a:avLst/>
            </a:prstGeom>
          </xdr:spPr>
        </xdr:pic>
      </mc:Fallback>
    </mc:AlternateContent>
    <xdr:clientData/>
  </xdr:twoCellAnchor>
  <xdr:twoCellAnchor editAs="oneCell">
    <xdr:from>
      <xdr:col>4</xdr:col>
      <xdr:colOff>38040</xdr:colOff>
      <xdr:row>82</xdr:row>
      <xdr:rowOff>82800</xdr:rowOff>
    </xdr:from>
    <xdr:to>
      <xdr:col>4</xdr:col>
      <xdr:colOff>53880</xdr:colOff>
      <xdr:row>82</xdr:row>
      <xdr:rowOff>120960</xdr:rowOff>
    </xdr:to>
    <mc:AlternateContent xmlns:mc="http://schemas.openxmlformats.org/markup-compatibility/2006" xmlns:xdr14="http://schemas.microsoft.com/office/excel/2010/spreadsheetDrawing">
      <mc:Choice Requires="xdr14">
        <xdr:contentPart xmlns:r="http://schemas.openxmlformats.org/officeDocument/2006/relationships" r:id="rId137">
          <xdr14:nvContentPartPr>
            <xdr14:cNvPr id="712" name="Ink 711">
              <a:extLst>
                <a:ext uri="{FF2B5EF4-FFF2-40B4-BE49-F238E27FC236}">
                  <a16:creationId xmlns:a16="http://schemas.microsoft.com/office/drawing/2014/main" id="{EA4E6680-0913-C881-44F7-1F868EB8F70E}"/>
                </a:ext>
              </a:extLst>
            </xdr14:cNvPr>
            <xdr14:cNvContentPartPr/>
          </xdr14:nvContentPartPr>
          <xdr14:nvPr macro=""/>
          <xdr14:xfrm>
            <a:off x="2476440" y="15078960"/>
            <a:ext cx="15840" cy="38160"/>
          </xdr14:xfrm>
        </xdr:contentPart>
      </mc:Choice>
      <mc:Fallback xmlns="">
        <xdr:pic>
          <xdr:nvPicPr>
            <xdr:cNvPr id="712" name="Ink 711">
              <a:extLst>
                <a:ext uri="{FF2B5EF4-FFF2-40B4-BE49-F238E27FC236}">
                  <a16:creationId xmlns:a16="http://schemas.microsoft.com/office/drawing/2014/main" id="{EA4E6680-0913-C881-44F7-1F868EB8F70E}"/>
                </a:ext>
              </a:extLst>
            </xdr:cNvPr>
            <xdr:cNvPicPr/>
          </xdr:nvPicPr>
          <xdr:blipFill>
            <a:blip xmlns:r="http://schemas.openxmlformats.org/officeDocument/2006/relationships" r:embed="rId138"/>
            <a:stretch>
              <a:fillRect/>
            </a:stretch>
          </xdr:blipFill>
          <xdr:spPr>
            <a:xfrm>
              <a:off x="2467800" y="15069960"/>
              <a:ext cx="33480" cy="55800"/>
            </a:xfrm>
            <a:prstGeom prst="rect">
              <a:avLst/>
            </a:prstGeom>
          </xdr:spPr>
        </xdr:pic>
      </mc:Fallback>
    </mc:AlternateContent>
    <xdr:clientData/>
  </xdr:twoCellAnchor>
  <xdr:twoCellAnchor editAs="oneCell">
    <xdr:from>
      <xdr:col>5</xdr:col>
      <xdr:colOff>109920</xdr:colOff>
      <xdr:row>97</xdr:row>
      <xdr:rowOff>16200</xdr:rowOff>
    </xdr:from>
    <xdr:to>
      <xdr:col>7</xdr:col>
      <xdr:colOff>398040</xdr:colOff>
      <xdr:row>100</xdr:row>
      <xdr:rowOff>5040</xdr:rowOff>
    </xdr:to>
    <mc:AlternateContent xmlns:mc="http://schemas.openxmlformats.org/markup-compatibility/2006" xmlns:xdr14="http://schemas.microsoft.com/office/excel/2010/spreadsheetDrawing">
      <mc:Choice Requires="xdr14">
        <xdr:contentPart xmlns:r="http://schemas.openxmlformats.org/officeDocument/2006/relationships" r:id="rId139">
          <xdr14:nvContentPartPr>
            <xdr14:cNvPr id="747" name="Ink 746">
              <a:extLst>
                <a:ext uri="{FF2B5EF4-FFF2-40B4-BE49-F238E27FC236}">
                  <a16:creationId xmlns:a16="http://schemas.microsoft.com/office/drawing/2014/main" id="{05200F0F-284E-5C59-5A32-A90B3273E794}"/>
                </a:ext>
              </a:extLst>
            </xdr14:cNvPr>
            <xdr14:cNvContentPartPr/>
          </xdr14:nvContentPartPr>
          <xdr14:nvPr macro=""/>
          <xdr14:xfrm>
            <a:off x="3157920" y="17755560"/>
            <a:ext cx="1507320" cy="537480"/>
          </xdr14:xfrm>
        </xdr:contentPart>
      </mc:Choice>
      <mc:Fallback xmlns="">
        <xdr:pic>
          <xdr:nvPicPr>
            <xdr:cNvPr id="747" name="Ink 746">
              <a:extLst>
                <a:ext uri="{FF2B5EF4-FFF2-40B4-BE49-F238E27FC236}">
                  <a16:creationId xmlns:a16="http://schemas.microsoft.com/office/drawing/2014/main" id="{05200F0F-284E-5C59-5A32-A90B3273E794}"/>
                </a:ext>
              </a:extLst>
            </xdr:cNvPr>
            <xdr:cNvPicPr/>
          </xdr:nvPicPr>
          <xdr:blipFill>
            <a:blip xmlns:r="http://schemas.openxmlformats.org/officeDocument/2006/relationships" r:embed="rId140"/>
            <a:stretch>
              <a:fillRect/>
            </a:stretch>
          </xdr:blipFill>
          <xdr:spPr>
            <a:xfrm>
              <a:off x="3148920" y="17746914"/>
              <a:ext cx="1524960" cy="555132"/>
            </a:xfrm>
            <a:prstGeom prst="rect">
              <a:avLst/>
            </a:prstGeom>
          </xdr:spPr>
        </xdr:pic>
      </mc:Fallback>
    </mc:AlternateContent>
    <xdr:clientData/>
  </xdr:twoCellAnchor>
  <xdr:twoCellAnchor editAs="oneCell">
    <xdr:from>
      <xdr:col>2</xdr:col>
      <xdr:colOff>564600</xdr:colOff>
      <xdr:row>97</xdr:row>
      <xdr:rowOff>142920</xdr:rowOff>
    </xdr:from>
    <xdr:to>
      <xdr:col>4</xdr:col>
      <xdr:colOff>484080</xdr:colOff>
      <xdr:row>99</xdr:row>
      <xdr:rowOff>68040</xdr:rowOff>
    </xdr:to>
    <mc:AlternateContent xmlns:mc="http://schemas.openxmlformats.org/markup-compatibility/2006" xmlns:xdr14="http://schemas.microsoft.com/office/excel/2010/spreadsheetDrawing">
      <mc:Choice Requires="xdr14">
        <xdr:contentPart xmlns:r="http://schemas.openxmlformats.org/officeDocument/2006/relationships" r:id="rId141">
          <xdr14:nvContentPartPr>
            <xdr14:cNvPr id="748" name="Ink 747">
              <a:extLst>
                <a:ext uri="{FF2B5EF4-FFF2-40B4-BE49-F238E27FC236}">
                  <a16:creationId xmlns:a16="http://schemas.microsoft.com/office/drawing/2014/main" id="{4CE337E4-4168-DBBF-D22C-C7FF4C31416A}"/>
                </a:ext>
              </a:extLst>
            </xdr14:cNvPr>
            <xdr14:cNvContentPartPr/>
          </xdr14:nvContentPartPr>
          <xdr14:nvPr macro=""/>
          <xdr14:xfrm>
            <a:off x="1783800" y="17882280"/>
            <a:ext cx="1138680" cy="290880"/>
          </xdr14:xfrm>
        </xdr:contentPart>
      </mc:Choice>
      <mc:Fallback xmlns="">
        <xdr:pic>
          <xdr:nvPicPr>
            <xdr:cNvPr id="748" name="Ink 747">
              <a:extLst>
                <a:ext uri="{FF2B5EF4-FFF2-40B4-BE49-F238E27FC236}">
                  <a16:creationId xmlns:a16="http://schemas.microsoft.com/office/drawing/2014/main" id="{4CE337E4-4168-DBBF-D22C-C7FF4C31416A}"/>
                </a:ext>
              </a:extLst>
            </xdr:cNvPr>
            <xdr:cNvPicPr/>
          </xdr:nvPicPr>
          <xdr:blipFill>
            <a:blip xmlns:r="http://schemas.openxmlformats.org/officeDocument/2006/relationships" r:embed="rId142"/>
            <a:stretch>
              <a:fillRect/>
            </a:stretch>
          </xdr:blipFill>
          <xdr:spPr>
            <a:xfrm>
              <a:off x="1774800" y="17873640"/>
              <a:ext cx="1156320" cy="308520"/>
            </a:xfrm>
            <a:prstGeom prst="rect">
              <a:avLst/>
            </a:prstGeom>
          </xdr:spPr>
        </xdr:pic>
      </mc:Fallback>
    </mc:AlternateContent>
    <xdr:clientData/>
  </xdr:twoCellAnchor>
  <xdr:twoCellAnchor editAs="oneCell">
    <xdr:from>
      <xdr:col>11</xdr:col>
      <xdr:colOff>61680</xdr:colOff>
      <xdr:row>91</xdr:row>
      <xdr:rowOff>96120</xdr:rowOff>
    </xdr:from>
    <xdr:to>
      <xdr:col>12</xdr:col>
      <xdr:colOff>104760</xdr:colOff>
      <xdr:row>92</xdr:row>
      <xdr:rowOff>98640</xdr:rowOff>
    </xdr:to>
    <mc:AlternateContent xmlns:mc="http://schemas.openxmlformats.org/markup-compatibility/2006" xmlns:xdr14="http://schemas.microsoft.com/office/excel/2010/spreadsheetDrawing">
      <mc:Choice Requires="xdr14">
        <xdr:contentPart xmlns:r="http://schemas.openxmlformats.org/officeDocument/2006/relationships" r:id="rId143">
          <xdr14:nvContentPartPr>
            <xdr14:cNvPr id="755" name="Ink 754">
              <a:extLst>
                <a:ext uri="{FF2B5EF4-FFF2-40B4-BE49-F238E27FC236}">
                  <a16:creationId xmlns:a16="http://schemas.microsoft.com/office/drawing/2014/main" id="{06FE2499-167A-91B7-0583-AA1355F4454A}"/>
                </a:ext>
              </a:extLst>
            </xdr14:cNvPr>
            <xdr14:cNvContentPartPr/>
          </xdr14:nvContentPartPr>
          <xdr14:nvPr macro=""/>
          <xdr14:xfrm>
            <a:off x="6767280" y="16738200"/>
            <a:ext cx="652680" cy="185400"/>
          </xdr14:xfrm>
        </xdr:contentPart>
      </mc:Choice>
      <mc:Fallback xmlns="">
        <xdr:pic>
          <xdr:nvPicPr>
            <xdr:cNvPr id="755" name="Ink 754">
              <a:extLst>
                <a:ext uri="{FF2B5EF4-FFF2-40B4-BE49-F238E27FC236}">
                  <a16:creationId xmlns:a16="http://schemas.microsoft.com/office/drawing/2014/main" id="{06FE2499-167A-91B7-0583-AA1355F4454A}"/>
                </a:ext>
              </a:extLst>
            </xdr:cNvPr>
            <xdr:cNvPicPr/>
          </xdr:nvPicPr>
          <xdr:blipFill>
            <a:blip xmlns:r="http://schemas.openxmlformats.org/officeDocument/2006/relationships" r:embed="rId144"/>
            <a:stretch>
              <a:fillRect/>
            </a:stretch>
          </xdr:blipFill>
          <xdr:spPr>
            <a:xfrm>
              <a:off x="6758280" y="16729560"/>
              <a:ext cx="670320" cy="203040"/>
            </a:xfrm>
            <a:prstGeom prst="rect">
              <a:avLst/>
            </a:prstGeom>
          </xdr:spPr>
        </xdr:pic>
      </mc:Fallback>
    </mc:AlternateContent>
    <xdr:clientData/>
  </xdr:twoCellAnchor>
  <xdr:twoCellAnchor editAs="oneCell">
    <xdr:from>
      <xdr:col>14</xdr:col>
      <xdr:colOff>530760</xdr:colOff>
      <xdr:row>93</xdr:row>
      <xdr:rowOff>76680</xdr:rowOff>
    </xdr:from>
    <xdr:to>
      <xdr:col>17</xdr:col>
      <xdr:colOff>177600</xdr:colOff>
      <xdr:row>96</xdr:row>
      <xdr:rowOff>147960</xdr:rowOff>
    </xdr:to>
    <mc:AlternateContent xmlns:mc="http://schemas.openxmlformats.org/markup-compatibility/2006" xmlns:xdr14="http://schemas.microsoft.com/office/excel/2010/spreadsheetDrawing">
      <mc:Choice Requires="xdr14">
        <xdr:contentPart xmlns:r="http://schemas.openxmlformats.org/officeDocument/2006/relationships" r:id="rId145">
          <xdr14:nvContentPartPr>
            <xdr14:cNvPr id="783" name="Ink 782">
              <a:extLst>
                <a:ext uri="{FF2B5EF4-FFF2-40B4-BE49-F238E27FC236}">
                  <a16:creationId xmlns:a16="http://schemas.microsoft.com/office/drawing/2014/main" id="{F734409C-24CF-DBEF-4C68-290A07EBF063}"/>
                </a:ext>
              </a:extLst>
            </xdr14:cNvPr>
            <xdr14:cNvContentPartPr/>
          </xdr14:nvContentPartPr>
          <xdr14:nvPr macro=""/>
          <xdr14:xfrm>
            <a:off x="9065160" y="17084520"/>
            <a:ext cx="1475640" cy="619920"/>
          </xdr14:xfrm>
        </xdr:contentPart>
      </mc:Choice>
      <mc:Fallback xmlns="">
        <xdr:pic>
          <xdr:nvPicPr>
            <xdr:cNvPr id="783" name="Ink 782">
              <a:extLst>
                <a:ext uri="{FF2B5EF4-FFF2-40B4-BE49-F238E27FC236}">
                  <a16:creationId xmlns:a16="http://schemas.microsoft.com/office/drawing/2014/main" id="{F734409C-24CF-DBEF-4C68-290A07EBF063}"/>
                </a:ext>
              </a:extLst>
            </xdr:cNvPr>
            <xdr:cNvPicPr/>
          </xdr:nvPicPr>
          <xdr:blipFill>
            <a:blip xmlns:r="http://schemas.openxmlformats.org/officeDocument/2006/relationships" r:embed="rId146"/>
            <a:stretch>
              <a:fillRect/>
            </a:stretch>
          </xdr:blipFill>
          <xdr:spPr>
            <a:xfrm>
              <a:off x="9056160" y="17075520"/>
              <a:ext cx="1493280" cy="637560"/>
            </a:xfrm>
            <a:prstGeom prst="rect">
              <a:avLst/>
            </a:prstGeom>
          </xdr:spPr>
        </xdr:pic>
      </mc:Fallback>
    </mc:AlternateContent>
    <xdr:clientData/>
  </xdr:twoCellAnchor>
  <xdr:twoCellAnchor editAs="oneCell">
    <xdr:from>
      <xdr:col>2</xdr:col>
      <xdr:colOff>341760</xdr:colOff>
      <xdr:row>90</xdr:row>
      <xdr:rowOff>182160</xdr:rowOff>
    </xdr:from>
    <xdr:to>
      <xdr:col>16</xdr:col>
      <xdr:colOff>467160</xdr:colOff>
      <xdr:row>97</xdr:row>
      <xdr:rowOff>134280</xdr:rowOff>
    </xdr:to>
    <mc:AlternateContent xmlns:mc="http://schemas.openxmlformats.org/markup-compatibility/2006" xmlns:xdr14="http://schemas.microsoft.com/office/excel/2010/spreadsheetDrawing">
      <mc:Choice Requires="xdr14">
        <xdr:contentPart xmlns:r="http://schemas.openxmlformats.org/officeDocument/2006/relationships" r:id="rId147">
          <xdr14:nvContentPartPr>
            <xdr14:cNvPr id="784" name="Ink 783">
              <a:extLst>
                <a:ext uri="{FF2B5EF4-FFF2-40B4-BE49-F238E27FC236}">
                  <a16:creationId xmlns:a16="http://schemas.microsoft.com/office/drawing/2014/main" id="{C002CE5F-98BF-FD1A-5281-B0D7609C15EB}"/>
                </a:ext>
              </a:extLst>
            </xdr14:cNvPr>
            <xdr14:cNvContentPartPr/>
          </xdr14:nvContentPartPr>
          <xdr14:nvPr macro=""/>
          <xdr14:xfrm>
            <a:off x="1560960" y="16641360"/>
            <a:ext cx="8659800" cy="1232280"/>
          </xdr14:xfrm>
        </xdr:contentPart>
      </mc:Choice>
      <mc:Fallback xmlns="">
        <xdr:pic>
          <xdr:nvPicPr>
            <xdr:cNvPr id="784" name="Ink 783">
              <a:extLst>
                <a:ext uri="{FF2B5EF4-FFF2-40B4-BE49-F238E27FC236}">
                  <a16:creationId xmlns:a16="http://schemas.microsoft.com/office/drawing/2014/main" id="{C002CE5F-98BF-FD1A-5281-B0D7609C15EB}"/>
                </a:ext>
              </a:extLst>
            </xdr:cNvPr>
            <xdr:cNvPicPr/>
          </xdr:nvPicPr>
          <xdr:blipFill>
            <a:blip xmlns:r="http://schemas.openxmlformats.org/officeDocument/2006/relationships" r:embed="rId148"/>
            <a:stretch>
              <a:fillRect/>
            </a:stretch>
          </xdr:blipFill>
          <xdr:spPr>
            <a:xfrm>
              <a:off x="1551960" y="16632360"/>
              <a:ext cx="8677440" cy="1249920"/>
            </a:xfrm>
            <a:prstGeom prst="rect">
              <a:avLst/>
            </a:prstGeom>
          </xdr:spPr>
        </xdr:pic>
      </mc:Fallback>
    </mc:AlternateContent>
    <xdr:clientData/>
  </xdr:twoCellAnchor>
  <xdr:twoCellAnchor editAs="oneCell">
    <xdr:from>
      <xdr:col>20</xdr:col>
      <xdr:colOff>491160</xdr:colOff>
      <xdr:row>92</xdr:row>
      <xdr:rowOff>169200</xdr:rowOff>
    </xdr:from>
    <xdr:to>
      <xdr:col>22</xdr:col>
      <xdr:colOff>602520</xdr:colOff>
      <xdr:row>97</xdr:row>
      <xdr:rowOff>11880</xdr:rowOff>
    </xdr:to>
    <mc:AlternateContent xmlns:mc="http://schemas.openxmlformats.org/markup-compatibility/2006" xmlns:xdr14="http://schemas.microsoft.com/office/excel/2010/spreadsheetDrawing">
      <mc:Choice Requires="xdr14">
        <xdr:contentPart xmlns:r="http://schemas.openxmlformats.org/officeDocument/2006/relationships" r:id="rId149">
          <xdr14:nvContentPartPr>
            <xdr14:cNvPr id="805" name="Ink 804">
              <a:extLst>
                <a:ext uri="{FF2B5EF4-FFF2-40B4-BE49-F238E27FC236}">
                  <a16:creationId xmlns:a16="http://schemas.microsoft.com/office/drawing/2014/main" id="{753A6E22-71BF-6935-10A5-3B605E4812DE}"/>
                </a:ext>
              </a:extLst>
            </xdr14:cNvPr>
            <xdr14:cNvContentPartPr/>
          </xdr14:nvContentPartPr>
          <xdr14:nvPr macro=""/>
          <xdr14:xfrm>
            <a:off x="12683160" y="16994160"/>
            <a:ext cx="1330560" cy="757080"/>
          </xdr14:xfrm>
        </xdr:contentPart>
      </mc:Choice>
      <mc:Fallback xmlns="">
        <xdr:pic>
          <xdr:nvPicPr>
            <xdr:cNvPr id="805" name="Ink 804">
              <a:extLst>
                <a:ext uri="{FF2B5EF4-FFF2-40B4-BE49-F238E27FC236}">
                  <a16:creationId xmlns:a16="http://schemas.microsoft.com/office/drawing/2014/main" id="{753A6E22-71BF-6935-10A5-3B605E4812DE}"/>
                </a:ext>
              </a:extLst>
            </xdr:cNvPr>
            <xdr:cNvPicPr/>
          </xdr:nvPicPr>
          <xdr:blipFill>
            <a:blip xmlns:r="http://schemas.openxmlformats.org/officeDocument/2006/relationships" r:embed="rId150"/>
            <a:stretch>
              <a:fillRect/>
            </a:stretch>
          </xdr:blipFill>
          <xdr:spPr>
            <a:xfrm>
              <a:off x="12674518" y="16985516"/>
              <a:ext cx="1348205" cy="774728"/>
            </a:xfrm>
            <a:prstGeom prst="rect">
              <a:avLst/>
            </a:prstGeom>
          </xdr:spPr>
        </xdr:pic>
      </mc:Fallback>
    </mc:AlternateContent>
    <xdr:clientData/>
  </xdr:twoCellAnchor>
  <xdr:twoCellAnchor editAs="oneCell">
    <xdr:from>
      <xdr:col>15</xdr:col>
      <xdr:colOff>463680</xdr:colOff>
      <xdr:row>103</xdr:row>
      <xdr:rowOff>153720</xdr:rowOff>
    </xdr:from>
    <xdr:to>
      <xdr:col>17</xdr:col>
      <xdr:colOff>389640</xdr:colOff>
      <xdr:row>105</xdr:row>
      <xdr:rowOff>114840</xdr:rowOff>
    </xdr:to>
    <mc:AlternateContent xmlns:mc="http://schemas.openxmlformats.org/markup-compatibility/2006" xmlns:xdr14="http://schemas.microsoft.com/office/excel/2010/spreadsheetDrawing">
      <mc:Choice Requires="xdr14">
        <xdr:contentPart xmlns:r="http://schemas.openxmlformats.org/officeDocument/2006/relationships" r:id="rId151">
          <xdr14:nvContentPartPr>
            <xdr14:cNvPr id="844" name="Ink 843">
              <a:extLst>
                <a:ext uri="{FF2B5EF4-FFF2-40B4-BE49-F238E27FC236}">
                  <a16:creationId xmlns:a16="http://schemas.microsoft.com/office/drawing/2014/main" id="{1DEC8F54-7D76-CA63-800F-C7B03BD4AD1B}"/>
                </a:ext>
              </a:extLst>
            </xdr14:cNvPr>
            <xdr14:cNvContentPartPr/>
          </xdr14:nvContentPartPr>
          <xdr14:nvPr macro=""/>
          <xdr14:xfrm>
            <a:off x="9607680" y="18990360"/>
            <a:ext cx="1145160" cy="326880"/>
          </xdr14:xfrm>
        </xdr:contentPart>
      </mc:Choice>
      <mc:Fallback xmlns="">
        <xdr:pic>
          <xdr:nvPicPr>
            <xdr:cNvPr id="844" name="Ink 843">
              <a:extLst>
                <a:ext uri="{FF2B5EF4-FFF2-40B4-BE49-F238E27FC236}">
                  <a16:creationId xmlns:a16="http://schemas.microsoft.com/office/drawing/2014/main" id="{1DEC8F54-7D76-CA63-800F-C7B03BD4AD1B}"/>
                </a:ext>
              </a:extLst>
            </xdr:cNvPr>
            <xdr:cNvPicPr/>
          </xdr:nvPicPr>
          <xdr:blipFill>
            <a:blip xmlns:r="http://schemas.openxmlformats.org/officeDocument/2006/relationships" r:embed="rId152"/>
            <a:stretch>
              <a:fillRect/>
            </a:stretch>
          </xdr:blipFill>
          <xdr:spPr>
            <a:xfrm>
              <a:off x="9599040" y="18981710"/>
              <a:ext cx="1162800" cy="344539"/>
            </a:xfrm>
            <a:prstGeom prst="rect">
              <a:avLst/>
            </a:prstGeom>
          </xdr:spPr>
        </xdr:pic>
      </mc:Fallback>
    </mc:AlternateContent>
    <xdr:clientData/>
  </xdr:twoCellAnchor>
  <xdr:twoCellAnchor editAs="oneCell">
    <xdr:from>
      <xdr:col>12</xdr:col>
      <xdr:colOff>556920</xdr:colOff>
      <xdr:row>104</xdr:row>
      <xdr:rowOff>16560</xdr:rowOff>
    </xdr:from>
    <xdr:to>
      <xdr:col>14</xdr:col>
      <xdr:colOff>558840</xdr:colOff>
      <xdr:row>106</xdr:row>
      <xdr:rowOff>2880</xdr:rowOff>
    </xdr:to>
    <mc:AlternateContent xmlns:mc="http://schemas.openxmlformats.org/markup-compatibility/2006" xmlns:xdr14="http://schemas.microsoft.com/office/excel/2010/spreadsheetDrawing">
      <mc:Choice Requires="xdr14">
        <xdr:contentPart xmlns:r="http://schemas.openxmlformats.org/officeDocument/2006/relationships" r:id="rId153">
          <xdr14:nvContentPartPr>
            <xdr14:cNvPr id="845" name="Ink 844">
              <a:extLst>
                <a:ext uri="{FF2B5EF4-FFF2-40B4-BE49-F238E27FC236}">
                  <a16:creationId xmlns:a16="http://schemas.microsoft.com/office/drawing/2014/main" id="{44E90A03-63F8-CB7D-6549-955780D6864A}"/>
                </a:ext>
              </a:extLst>
            </xdr14:cNvPr>
            <xdr14:cNvContentPartPr/>
          </xdr14:nvContentPartPr>
          <xdr14:nvPr macro=""/>
          <xdr14:xfrm>
            <a:off x="7872120" y="19036080"/>
            <a:ext cx="1221120" cy="352080"/>
          </xdr14:xfrm>
        </xdr:contentPart>
      </mc:Choice>
      <mc:Fallback xmlns="">
        <xdr:pic>
          <xdr:nvPicPr>
            <xdr:cNvPr id="845" name="Ink 844">
              <a:extLst>
                <a:ext uri="{FF2B5EF4-FFF2-40B4-BE49-F238E27FC236}">
                  <a16:creationId xmlns:a16="http://schemas.microsoft.com/office/drawing/2014/main" id="{44E90A03-63F8-CB7D-6549-955780D6864A}"/>
                </a:ext>
              </a:extLst>
            </xdr:cNvPr>
            <xdr:cNvPicPr/>
          </xdr:nvPicPr>
          <xdr:blipFill>
            <a:blip xmlns:r="http://schemas.openxmlformats.org/officeDocument/2006/relationships" r:embed="rId154"/>
            <a:stretch>
              <a:fillRect/>
            </a:stretch>
          </xdr:blipFill>
          <xdr:spPr>
            <a:xfrm>
              <a:off x="7863480" y="19027080"/>
              <a:ext cx="1238760" cy="369720"/>
            </a:xfrm>
            <a:prstGeom prst="rect">
              <a:avLst/>
            </a:prstGeom>
          </xdr:spPr>
        </xdr:pic>
      </mc:Fallback>
    </mc:AlternateContent>
    <xdr:clientData/>
  </xdr:twoCellAnchor>
  <xdr:twoCellAnchor editAs="oneCell">
    <xdr:from>
      <xdr:col>8</xdr:col>
      <xdr:colOff>424560</xdr:colOff>
      <xdr:row>104</xdr:row>
      <xdr:rowOff>37800</xdr:rowOff>
    </xdr:from>
    <xdr:to>
      <xdr:col>12</xdr:col>
      <xdr:colOff>184680</xdr:colOff>
      <xdr:row>105</xdr:row>
      <xdr:rowOff>101520</xdr:rowOff>
    </xdr:to>
    <mc:AlternateContent xmlns:mc="http://schemas.openxmlformats.org/markup-compatibility/2006" xmlns:xdr14="http://schemas.microsoft.com/office/excel/2010/spreadsheetDrawing">
      <mc:Choice Requires="xdr14">
        <xdr:contentPart xmlns:r="http://schemas.openxmlformats.org/officeDocument/2006/relationships" r:id="rId155">
          <xdr14:nvContentPartPr>
            <xdr14:cNvPr id="846" name="Ink 845">
              <a:extLst>
                <a:ext uri="{FF2B5EF4-FFF2-40B4-BE49-F238E27FC236}">
                  <a16:creationId xmlns:a16="http://schemas.microsoft.com/office/drawing/2014/main" id="{32FFE3BA-9E7B-6C33-5CF7-C7C2D6AC6C65}"/>
                </a:ext>
              </a:extLst>
            </xdr14:cNvPr>
            <xdr14:cNvContentPartPr/>
          </xdr14:nvContentPartPr>
          <xdr14:nvPr macro=""/>
          <xdr14:xfrm>
            <a:off x="5301360" y="19057320"/>
            <a:ext cx="2198520" cy="246600"/>
          </xdr14:xfrm>
        </xdr:contentPart>
      </mc:Choice>
      <mc:Fallback xmlns="">
        <xdr:pic>
          <xdr:nvPicPr>
            <xdr:cNvPr id="846" name="Ink 845">
              <a:extLst>
                <a:ext uri="{FF2B5EF4-FFF2-40B4-BE49-F238E27FC236}">
                  <a16:creationId xmlns:a16="http://schemas.microsoft.com/office/drawing/2014/main" id="{32FFE3BA-9E7B-6C33-5CF7-C7C2D6AC6C65}"/>
                </a:ext>
              </a:extLst>
            </xdr:cNvPr>
            <xdr:cNvPicPr/>
          </xdr:nvPicPr>
          <xdr:blipFill>
            <a:blip xmlns:r="http://schemas.openxmlformats.org/officeDocument/2006/relationships" r:embed="rId156"/>
            <a:stretch>
              <a:fillRect/>
            </a:stretch>
          </xdr:blipFill>
          <xdr:spPr>
            <a:xfrm>
              <a:off x="5292719" y="19048680"/>
              <a:ext cx="2216163" cy="264240"/>
            </a:xfrm>
            <a:prstGeom prst="rect">
              <a:avLst/>
            </a:prstGeom>
          </xdr:spPr>
        </xdr:pic>
      </mc:Fallback>
    </mc:AlternateContent>
    <xdr:clientData/>
  </xdr:twoCellAnchor>
  <xdr:twoCellAnchor editAs="oneCell">
    <xdr:from>
      <xdr:col>2</xdr:col>
      <xdr:colOff>599880</xdr:colOff>
      <xdr:row>104</xdr:row>
      <xdr:rowOff>55080</xdr:rowOff>
    </xdr:from>
    <xdr:to>
      <xdr:col>8</xdr:col>
      <xdr:colOff>134760</xdr:colOff>
      <xdr:row>106</xdr:row>
      <xdr:rowOff>171720</xdr:rowOff>
    </xdr:to>
    <mc:AlternateContent xmlns:mc="http://schemas.openxmlformats.org/markup-compatibility/2006" xmlns:xdr14="http://schemas.microsoft.com/office/excel/2010/spreadsheetDrawing">
      <mc:Choice Requires="xdr14">
        <xdr:contentPart xmlns:r="http://schemas.openxmlformats.org/officeDocument/2006/relationships" r:id="rId157">
          <xdr14:nvContentPartPr>
            <xdr14:cNvPr id="847" name="Ink 846">
              <a:extLst>
                <a:ext uri="{FF2B5EF4-FFF2-40B4-BE49-F238E27FC236}">
                  <a16:creationId xmlns:a16="http://schemas.microsoft.com/office/drawing/2014/main" id="{007E0EC1-734D-25EE-7237-EE97946F60ED}"/>
                </a:ext>
              </a:extLst>
            </xdr14:cNvPr>
            <xdr14:cNvContentPartPr/>
          </xdr14:nvContentPartPr>
          <xdr14:nvPr macro=""/>
          <xdr14:xfrm>
            <a:off x="1819080" y="19074600"/>
            <a:ext cx="3192480" cy="482400"/>
          </xdr14:xfrm>
        </xdr:contentPart>
      </mc:Choice>
      <mc:Fallback xmlns="">
        <xdr:pic>
          <xdr:nvPicPr>
            <xdr:cNvPr id="847" name="Ink 846">
              <a:extLst>
                <a:ext uri="{FF2B5EF4-FFF2-40B4-BE49-F238E27FC236}">
                  <a16:creationId xmlns:a16="http://schemas.microsoft.com/office/drawing/2014/main" id="{007E0EC1-734D-25EE-7237-EE97946F60ED}"/>
                </a:ext>
              </a:extLst>
            </xdr:cNvPr>
            <xdr:cNvPicPr/>
          </xdr:nvPicPr>
          <xdr:blipFill>
            <a:blip xmlns:r="http://schemas.openxmlformats.org/officeDocument/2006/relationships" r:embed="rId158"/>
            <a:stretch>
              <a:fillRect/>
            </a:stretch>
          </xdr:blipFill>
          <xdr:spPr>
            <a:xfrm>
              <a:off x="1810080" y="19065954"/>
              <a:ext cx="3210120" cy="500053"/>
            </a:xfrm>
            <a:prstGeom prst="rect">
              <a:avLst/>
            </a:prstGeom>
          </xdr:spPr>
        </xdr:pic>
      </mc:Fallback>
    </mc:AlternateContent>
    <xdr:clientData/>
  </xdr:twoCellAnchor>
  <xdr:twoCellAnchor editAs="oneCell">
    <xdr:from>
      <xdr:col>13</xdr:col>
      <xdr:colOff>474000</xdr:colOff>
      <xdr:row>107</xdr:row>
      <xdr:rowOff>56520</xdr:rowOff>
    </xdr:from>
    <xdr:to>
      <xdr:col>14</xdr:col>
      <xdr:colOff>579000</xdr:colOff>
      <xdr:row>108</xdr:row>
      <xdr:rowOff>89280</xdr:rowOff>
    </xdr:to>
    <mc:AlternateContent xmlns:mc="http://schemas.openxmlformats.org/markup-compatibility/2006" xmlns:xdr14="http://schemas.microsoft.com/office/excel/2010/spreadsheetDrawing">
      <mc:Choice Requires="xdr14">
        <xdr:contentPart xmlns:r="http://schemas.openxmlformats.org/officeDocument/2006/relationships" r:id="rId159">
          <xdr14:nvContentPartPr>
            <xdr14:cNvPr id="866" name="Ink 865">
              <a:extLst>
                <a:ext uri="{FF2B5EF4-FFF2-40B4-BE49-F238E27FC236}">
                  <a16:creationId xmlns:a16="http://schemas.microsoft.com/office/drawing/2014/main" id="{740B89CD-6C88-A011-ABAD-56725A64417F}"/>
                </a:ext>
              </a:extLst>
            </xdr14:cNvPr>
            <xdr14:cNvContentPartPr/>
          </xdr14:nvContentPartPr>
          <xdr14:nvPr macro=""/>
          <xdr14:xfrm>
            <a:off x="8398800" y="19624680"/>
            <a:ext cx="714600" cy="215640"/>
          </xdr14:xfrm>
        </xdr:contentPart>
      </mc:Choice>
      <mc:Fallback xmlns="">
        <xdr:pic>
          <xdr:nvPicPr>
            <xdr:cNvPr id="866" name="Ink 865">
              <a:extLst>
                <a:ext uri="{FF2B5EF4-FFF2-40B4-BE49-F238E27FC236}">
                  <a16:creationId xmlns:a16="http://schemas.microsoft.com/office/drawing/2014/main" id="{740B89CD-6C88-A011-ABAD-56725A64417F}"/>
                </a:ext>
              </a:extLst>
            </xdr:cNvPr>
            <xdr:cNvPicPr/>
          </xdr:nvPicPr>
          <xdr:blipFill>
            <a:blip xmlns:r="http://schemas.openxmlformats.org/officeDocument/2006/relationships" r:embed="rId160"/>
            <a:stretch>
              <a:fillRect/>
            </a:stretch>
          </xdr:blipFill>
          <xdr:spPr>
            <a:xfrm>
              <a:off x="8389800" y="19615695"/>
              <a:ext cx="732240" cy="233251"/>
            </a:xfrm>
            <a:prstGeom prst="rect">
              <a:avLst/>
            </a:prstGeom>
          </xdr:spPr>
        </xdr:pic>
      </mc:Fallback>
    </mc:AlternateContent>
    <xdr:clientData/>
  </xdr:twoCellAnchor>
  <xdr:twoCellAnchor editAs="oneCell">
    <xdr:from>
      <xdr:col>10</xdr:col>
      <xdr:colOff>43080</xdr:colOff>
      <xdr:row>107</xdr:row>
      <xdr:rowOff>164520</xdr:rowOff>
    </xdr:from>
    <xdr:to>
      <xdr:col>13</xdr:col>
      <xdr:colOff>200040</xdr:colOff>
      <xdr:row>109</xdr:row>
      <xdr:rowOff>51120</xdr:rowOff>
    </xdr:to>
    <mc:AlternateContent xmlns:mc="http://schemas.openxmlformats.org/markup-compatibility/2006" xmlns:xdr14="http://schemas.microsoft.com/office/excel/2010/spreadsheetDrawing">
      <mc:Choice Requires="xdr14">
        <xdr:contentPart xmlns:r="http://schemas.openxmlformats.org/officeDocument/2006/relationships" r:id="rId161">
          <xdr14:nvContentPartPr>
            <xdr14:cNvPr id="867" name="Ink 866">
              <a:extLst>
                <a:ext uri="{FF2B5EF4-FFF2-40B4-BE49-F238E27FC236}">
                  <a16:creationId xmlns:a16="http://schemas.microsoft.com/office/drawing/2014/main" id="{38BF43B9-FC46-1CD3-31FD-8596AFE3BE97}"/>
                </a:ext>
              </a:extLst>
            </xdr14:cNvPr>
            <xdr14:cNvContentPartPr/>
          </xdr14:nvContentPartPr>
          <xdr14:nvPr macro=""/>
          <xdr14:xfrm>
            <a:off x="6139080" y="19732680"/>
            <a:ext cx="1985760" cy="252360"/>
          </xdr14:xfrm>
        </xdr:contentPart>
      </mc:Choice>
      <mc:Fallback xmlns="">
        <xdr:pic>
          <xdr:nvPicPr>
            <xdr:cNvPr id="867" name="Ink 866">
              <a:extLst>
                <a:ext uri="{FF2B5EF4-FFF2-40B4-BE49-F238E27FC236}">
                  <a16:creationId xmlns:a16="http://schemas.microsoft.com/office/drawing/2014/main" id="{38BF43B9-FC46-1CD3-31FD-8596AFE3BE97}"/>
                </a:ext>
              </a:extLst>
            </xdr:cNvPr>
            <xdr:cNvPicPr/>
          </xdr:nvPicPr>
          <xdr:blipFill>
            <a:blip xmlns:r="http://schemas.openxmlformats.org/officeDocument/2006/relationships" r:embed="rId162"/>
            <a:stretch>
              <a:fillRect/>
            </a:stretch>
          </xdr:blipFill>
          <xdr:spPr>
            <a:xfrm>
              <a:off x="6130080" y="19724040"/>
              <a:ext cx="2003400" cy="270000"/>
            </a:xfrm>
            <a:prstGeom prst="rect">
              <a:avLst/>
            </a:prstGeom>
          </xdr:spPr>
        </xdr:pic>
      </mc:Fallback>
    </mc:AlternateContent>
    <xdr:clientData/>
  </xdr:twoCellAnchor>
  <xdr:twoCellAnchor editAs="oneCell">
    <xdr:from>
      <xdr:col>2</xdr:col>
      <xdr:colOff>353280</xdr:colOff>
      <xdr:row>86</xdr:row>
      <xdr:rowOff>46080</xdr:rowOff>
    </xdr:from>
    <xdr:to>
      <xdr:col>23</xdr:col>
      <xdr:colOff>37200</xdr:colOff>
      <xdr:row>94</xdr:row>
      <xdr:rowOff>174240</xdr:rowOff>
    </xdr:to>
    <mc:AlternateContent xmlns:mc="http://schemas.openxmlformats.org/markup-compatibility/2006" xmlns:xdr14="http://schemas.microsoft.com/office/excel/2010/spreadsheetDrawing">
      <mc:Choice Requires="xdr14">
        <xdr:contentPart xmlns:r="http://schemas.openxmlformats.org/officeDocument/2006/relationships" r:id="rId163">
          <xdr14:nvContentPartPr>
            <xdr14:cNvPr id="899" name="Ink 898">
              <a:extLst>
                <a:ext uri="{FF2B5EF4-FFF2-40B4-BE49-F238E27FC236}">
                  <a16:creationId xmlns:a16="http://schemas.microsoft.com/office/drawing/2014/main" id="{E25B702A-BC16-1E14-DA38-2ABC6C9FD8FD}"/>
                </a:ext>
              </a:extLst>
            </xdr14:cNvPr>
            <xdr14:cNvContentPartPr/>
          </xdr14:nvContentPartPr>
          <xdr14:nvPr macro=""/>
          <xdr14:xfrm>
            <a:off x="1572480" y="15773760"/>
            <a:ext cx="12485520" cy="1591200"/>
          </xdr14:xfrm>
        </xdr:contentPart>
      </mc:Choice>
      <mc:Fallback xmlns="">
        <xdr:pic>
          <xdr:nvPicPr>
            <xdr:cNvPr id="899" name="Ink 898">
              <a:extLst>
                <a:ext uri="{FF2B5EF4-FFF2-40B4-BE49-F238E27FC236}">
                  <a16:creationId xmlns:a16="http://schemas.microsoft.com/office/drawing/2014/main" id="{E25B702A-BC16-1E14-DA38-2ABC6C9FD8FD}"/>
                </a:ext>
              </a:extLst>
            </xdr:cNvPr>
            <xdr:cNvPicPr/>
          </xdr:nvPicPr>
          <xdr:blipFill>
            <a:blip xmlns:r="http://schemas.openxmlformats.org/officeDocument/2006/relationships" r:embed="rId164"/>
            <a:stretch>
              <a:fillRect/>
            </a:stretch>
          </xdr:blipFill>
          <xdr:spPr>
            <a:xfrm>
              <a:off x="1563480" y="15764760"/>
              <a:ext cx="12503159" cy="160884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472680</xdr:colOff>
      <xdr:row>16</xdr:row>
      <xdr:rowOff>97200</xdr:rowOff>
    </xdr:from>
    <xdr:to>
      <xdr:col>0</xdr:col>
      <xdr:colOff>479160</xdr:colOff>
      <xdr:row>16</xdr:row>
      <xdr:rowOff>100800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47DB854-CA66-F4D2-D062-23FB864625BB}"/>
                </a:ext>
              </a:extLst>
            </xdr14:cNvPr>
            <xdr14:cNvContentPartPr/>
          </xdr14:nvContentPartPr>
          <xdr14:nvPr macro=""/>
          <xdr14:xfrm>
            <a:off x="472680" y="3023280"/>
            <a:ext cx="6480" cy="3600"/>
          </xdr14:xfrm>
        </xdr:contentPart>
      </mc:Choice>
      <mc:Fallback xmlns="">
        <xdr:pic>
          <xdr:nvPicPr>
            <xdr:cNvPr id="2" name="Ink 1">
              <a:extLst>
                <a:ext uri="{FF2B5EF4-FFF2-40B4-BE49-F238E27FC236}">
                  <a16:creationId xmlns:a16="http://schemas.microsoft.com/office/drawing/2014/main" id="{947DB854-CA66-F4D2-D062-23FB864625BB}"/>
                </a:ext>
              </a:extLst>
            </xdr:cNvPr>
            <xdr:cNvPicPr/>
          </xdr:nvPicPr>
          <xdr:blipFill>
            <a:blip xmlns:r="http://schemas.openxmlformats.org/officeDocument/2006/relationships" r:embed="rId2"/>
            <a:stretch>
              <a:fillRect/>
            </a:stretch>
          </xdr:blipFill>
          <xdr:spPr>
            <a:xfrm>
              <a:off x="463680" y="3014640"/>
              <a:ext cx="24120" cy="21240"/>
            </a:xfrm>
            <a:prstGeom prst="rect">
              <a:avLst/>
            </a:prstGeom>
          </xdr:spPr>
        </xdr:pic>
      </mc:Fallback>
    </mc:AlternateContent>
    <xdr:clientData/>
  </xdr:twoCellAnchor>
  <xdr:twoCellAnchor editAs="oneCell">
    <xdr:from>
      <xdr:col>5</xdr:col>
      <xdr:colOff>124320</xdr:colOff>
      <xdr:row>2</xdr:row>
      <xdr:rowOff>35640</xdr:rowOff>
    </xdr:from>
    <xdr:to>
      <xdr:col>5</xdr:col>
      <xdr:colOff>130800</xdr:colOff>
      <xdr:row>2</xdr:row>
      <xdr:rowOff>40680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4" name="Ink 3">
              <a:extLst>
                <a:ext uri="{FF2B5EF4-FFF2-40B4-BE49-F238E27FC236}">
                  <a16:creationId xmlns:a16="http://schemas.microsoft.com/office/drawing/2014/main" id="{426467D8-208A-3D0B-3C08-236A327C7F9C}"/>
                </a:ext>
              </a:extLst>
            </xdr14:cNvPr>
            <xdr14:cNvContentPartPr/>
          </xdr14:nvContentPartPr>
          <xdr14:nvPr macro=""/>
          <xdr14:xfrm>
            <a:off x="4635360" y="401400"/>
            <a:ext cx="6480" cy="5040"/>
          </xdr14:xfrm>
        </xdr:contentPart>
      </mc:Choice>
      <mc:Fallback xmlns="">
        <xdr:pic>
          <xdr:nvPicPr>
            <xdr:cNvPr id="4" name="Ink 3">
              <a:extLst>
                <a:ext uri="{FF2B5EF4-FFF2-40B4-BE49-F238E27FC236}">
                  <a16:creationId xmlns:a16="http://schemas.microsoft.com/office/drawing/2014/main" id="{426467D8-208A-3D0B-3C08-236A327C7F9C}"/>
                </a:ext>
              </a:extLst>
            </xdr:cNvPr>
            <xdr:cNvPicPr/>
          </xdr:nvPicPr>
          <xdr:blipFill>
            <a:blip xmlns:r="http://schemas.openxmlformats.org/officeDocument/2006/relationships" r:embed="rId4"/>
            <a:stretch>
              <a:fillRect/>
            </a:stretch>
          </xdr:blipFill>
          <xdr:spPr>
            <a:xfrm>
              <a:off x="4626360" y="392760"/>
              <a:ext cx="24120" cy="22680"/>
            </a:xfrm>
            <a:prstGeom prst="rect">
              <a:avLst/>
            </a:prstGeom>
          </xdr:spPr>
        </xdr:pic>
      </mc:Fallback>
    </mc:AlternateContent>
    <xdr:clientData/>
  </xdr:twoCellAnchor>
  <xdr:twoCellAnchor editAs="oneCell">
    <xdr:from>
      <xdr:col>6</xdr:col>
      <xdr:colOff>52560</xdr:colOff>
      <xdr:row>1</xdr:row>
      <xdr:rowOff>73800</xdr:rowOff>
    </xdr:from>
    <xdr:to>
      <xdr:col>6</xdr:col>
      <xdr:colOff>52920</xdr:colOff>
      <xdr:row>1</xdr:row>
      <xdr:rowOff>74880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5" name="Ink 4">
              <a:extLst>
                <a:ext uri="{FF2B5EF4-FFF2-40B4-BE49-F238E27FC236}">
                  <a16:creationId xmlns:a16="http://schemas.microsoft.com/office/drawing/2014/main" id="{1E6550F6-BEC9-5CC4-B68F-72A45DE6D297}"/>
                </a:ext>
              </a:extLst>
            </xdr14:cNvPr>
            <xdr14:cNvContentPartPr/>
          </xdr14:nvContentPartPr>
          <xdr14:nvPr macro=""/>
          <xdr14:xfrm>
            <a:off x="5173200" y="256680"/>
            <a:ext cx="360" cy="1080"/>
          </xdr14:xfrm>
        </xdr:contentPart>
      </mc:Choice>
      <mc:Fallback xmlns="">
        <xdr:pic>
          <xdr:nvPicPr>
            <xdr:cNvPr id="5" name="Ink 4">
              <a:extLst>
                <a:ext uri="{FF2B5EF4-FFF2-40B4-BE49-F238E27FC236}">
                  <a16:creationId xmlns:a16="http://schemas.microsoft.com/office/drawing/2014/main" id="{1E6550F6-BEC9-5CC4-B68F-72A45DE6D297}"/>
                </a:ext>
              </a:extLst>
            </xdr:cNvPr>
            <xdr:cNvPicPr/>
          </xdr:nvPicPr>
          <xdr:blipFill>
            <a:blip xmlns:r="http://schemas.openxmlformats.org/officeDocument/2006/relationships" r:embed="rId6"/>
            <a:stretch>
              <a:fillRect/>
            </a:stretch>
          </xdr:blipFill>
          <xdr:spPr>
            <a:xfrm>
              <a:off x="5164200" y="247680"/>
              <a:ext cx="18000" cy="18720"/>
            </a:xfrm>
            <a:prstGeom prst="rect">
              <a:avLst/>
            </a:prstGeom>
          </xdr:spPr>
        </xdr:pic>
      </mc:Fallback>
    </mc:AlternateContent>
    <xdr:clientData/>
  </xdr:twoCellAnchor>
  <xdr:twoCellAnchor editAs="oneCell">
    <xdr:from>
      <xdr:col>0</xdr:col>
      <xdr:colOff>143640</xdr:colOff>
      <xdr:row>5</xdr:row>
      <xdr:rowOff>88200</xdr:rowOff>
    </xdr:from>
    <xdr:to>
      <xdr:col>0</xdr:col>
      <xdr:colOff>145080</xdr:colOff>
      <xdr:row>5</xdr:row>
      <xdr:rowOff>90720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3" name="Ink 22">
              <a:extLst>
                <a:ext uri="{FF2B5EF4-FFF2-40B4-BE49-F238E27FC236}">
                  <a16:creationId xmlns:a16="http://schemas.microsoft.com/office/drawing/2014/main" id="{6AEC5F2A-5D6B-5A26-6425-34778422417B}"/>
                </a:ext>
              </a:extLst>
            </xdr14:cNvPr>
            <xdr14:cNvContentPartPr/>
          </xdr14:nvContentPartPr>
          <xdr14:nvPr macro=""/>
          <xdr14:xfrm>
            <a:off x="143640" y="1002600"/>
            <a:ext cx="1440" cy="2520"/>
          </xdr14:xfrm>
        </xdr:contentPart>
      </mc:Choice>
      <mc:Fallback xmlns="">
        <xdr:pic>
          <xdr:nvPicPr>
            <xdr:cNvPr id="23" name="Ink 22">
              <a:extLst>
                <a:ext uri="{FF2B5EF4-FFF2-40B4-BE49-F238E27FC236}">
                  <a16:creationId xmlns:a16="http://schemas.microsoft.com/office/drawing/2014/main" id="{6AEC5F2A-5D6B-5A26-6425-34778422417B}"/>
                </a:ext>
              </a:extLst>
            </xdr:cNvPr>
            <xdr:cNvPicPr/>
          </xdr:nvPicPr>
          <xdr:blipFill>
            <a:blip xmlns:r="http://schemas.openxmlformats.org/officeDocument/2006/relationships" r:embed="rId8"/>
            <a:stretch>
              <a:fillRect/>
            </a:stretch>
          </xdr:blipFill>
          <xdr:spPr>
            <a:xfrm>
              <a:off x="134640" y="993600"/>
              <a:ext cx="19080" cy="2016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15</xdr:col>
      <xdr:colOff>601980</xdr:colOff>
      <xdr:row>11</xdr:row>
      <xdr:rowOff>156210</xdr:rowOff>
    </xdr:from>
    <xdr:to>
      <xdr:col>23</xdr:col>
      <xdr:colOff>76200</xdr:colOff>
      <xdr:row>26</xdr:row>
      <xdr:rowOff>156210</xdr:rowOff>
    </xdr:to>
    <xdr:graphicFrame macro="">
      <xdr:nvGraphicFramePr>
        <xdr:cNvPr id="2" name="Chart 1">
          <a:extLst>
            <a:ext uri="{FF2B5EF4-FFF2-40B4-BE49-F238E27FC236}">
              <a16:creationId xmlns:a16="http://schemas.microsoft.com/office/drawing/2014/main" id="{8378E60F-5564-E14E-D199-98B43C7941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23</xdr:col>
      <xdr:colOff>381000</xdr:colOff>
      <xdr:row>11</xdr:row>
      <xdr:rowOff>160020</xdr:rowOff>
    </xdr:from>
    <xdr:to>
      <xdr:col>31</xdr:col>
      <xdr:colOff>76200</xdr:colOff>
      <xdr:row>26</xdr:row>
      <xdr:rowOff>160020</xdr:rowOff>
    </xdr:to>
    <xdr:graphicFrame macro="">
      <xdr:nvGraphicFramePr>
        <xdr:cNvPr id="2" name="Chart 1">
          <a:extLst>
            <a:ext uri="{FF2B5EF4-FFF2-40B4-BE49-F238E27FC236}">
              <a16:creationId xmlns:a16="http://schemas.microsoft.com/office/drawing/2014/main" id="{D4509AB8-C66E-8142-12F8-6B4DE4203F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396240</xdr:colOff>
      <xdr:row>11</xdr:row>
      <xdr:rowOff>83820</xdr:rowOff>
    </xdr:from>
    <xdr:to>
      <xdr:col>23</xdr:col>
      <xdr:colOff>480060</xdr:colOff>
      <xdr:row>26</xdr:row>
      <xdr:rowOff>83820</xdr:rowOff>
    </xdr:to>
    <xdr:graphicFrame macro="">
      <xdr:nvGraphicFramePr>
        <xdr:cNvPr id="2" name="Chart 1">
          <a:extLst>
            <a:ext uri="{FF2B5EF4-FFF2-40B4-BE49-F238E27FC236}">
              <a16:creationId xmlns:a16="http://schemas.microsoft.com/office/drawing/2014/main" id="{B159351B-16B2-A286-2C26-B62D450C4E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11</xdr:row>
      <xdr:rowOff>160020</xdr:rowOff>
    </xdr:from>
    <xdr:to>
      <xdr:col>31</xdr:col>
      <xdr:colOff>76200</xdr:colOff>
      <xdr:row>26</xdr:row>
      <xdr:rowOff>160020</xdr:rowOff>
    </xdr:to>
    <xdr:graphicFrame macro="">
      <xdr:nvGraphicFramePr>
        <xdr:cNvPr id="2" name="Chart 1">
          <a:extLst>
            <a:ext uri="{FF2B5EF4-FFF2-40B4-BE49-F238E27FC236}">
              <a16:creationId xmlns:a16="http://schemas.microsoft.com/office/drawing/2014/main" id="{CA98E3A6-B840-2BF6-0865-1AAB9563DA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23</xdr:col>
      <xdr:colOff>381000</xdr:colOff>
      <xdr:row>11</xdr:row>
      <xdr:rowOff>160020</xdr:rowOff>
    </xdr:from>
    <xdr:to>
      <xdr:col>31</xdr:col>
      <xdr:colOff>76200</xdr:colOff>
      <xdr:row>26</xdr:row>
      <xdr:rowOff>160020</xdr:rowOff>
    </xdr:to>
    <xdr:graphicFrame macro="">
      <xdr:nvGraphicFramePr>
        <xdr:cNvPr id="2" name="Chart 1">
          <a:extLst>
            <a:ext uri="{FF2B5EF4-FFF2-40B4-BE49-F238E27FC236}">
              <a16:creationId xmlns:a16="http://schemas.microsoft.com/office/drawing/2014/main" id="{410157C4-B870-A2C4-BDEF-B066DC0A19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23</xdr:col>
      <xdr:colOff>381000</xdr:colOff>
      <xdr:row>14</xdr:row>
      <xdr:rowOff>80010</xdr:rowOff>
    </xdr:from>
    <xdr:to>
      <xdr:col>31</xdr:col>
      <xdr:colOff>76200</xdr:colOff>
      <xdr:row>29</xdr:row>
      <xdr:rowOff>80010</xdr:rowOff>
    </xdr:to>
    <xdr:graphicFrame macro="">
      <xdr:nvGraphicFramePr>
        <xdr:cNvPr id="2" name="Chart 1">
          <a:extLst>
            <a:ext uri="{FF2B5EF4-FFF2-40B4-BE49-F238E27FC236}">
              <a16:creationId xmlns:a16="http://schemas.microsoft.com/office/drawing/2014/main" id="{9259A58A-E800-985F-70FA-C7D0E6AFBB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23</xdr:col>
      <xdr:colOff>381000</xdr:colOff>
      <xdr:row>11</xdr:row>
      <xdr:rowOff>160020</xdr:rowOff>
    </xdr:from>
    <xdr:to>
      <xdr:col>31</xdr:col>
      <xdr:colOff>76200</xdr:colOff>
      <xdr:row>26</xdr:row>
      <xdr:rowOff>160020</xdr:rowOff>
    </xdr:to>
    <xdr:graphicFrame macro="">
      <xdr:nvGraphicFramePr>
        <xdr:cNvPr id="2" name="Chart 1">
          <a:extLst>
            <a:ext uri="{FF2B5EF4-FFF2-40B4-BE49-F238E27FC236}">
              <a16:creationId xmlns:a16="http://schemas.microsoft.com/office/drawing/2014/main" id="{564FBB80-1D50-F1BC-F013-E53E8770E4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xdr:col>
      <xdr:colOff>68580</xdr:colOff>
      <xdr:row>1</xdr:row>
      <xdr:rowOff>72390</xdr:rowOff>
    </xdr:from>
    <xdr:to>
      <xdr:col>14</xdr:col>
      <xdr:colOff>571500</xdr:colOff>
      <xdr:row>17</xdr:row>
      <xdr:rowOff>106680</xdr:rowOff>
    </xdr:to>
    <xdr:graphicFrame macro="">
      <xdr:nvGraphicFramePr>
        <xdr:cNvPr id="2" name="Chart 1">
          <a:extLst>
            <a:ext uri="{FF2B5EF4-FFF2-40B4-BE49-F238E27FC236}">
              <a16:creationId xmlns:a16="http://schemas.microsoft.com/office/drawing/2014/main" id="{B4635E27-9921-9482-561F-B4A12F37EB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17</xdr:col>
      <xdr:colOff>388620</xdr:colOff>
      <xdr:row>0</xdr:row>
      <xdr:rowOff>41910</xdr:rowOff>
    </xdr:from>
    <xdr:to>
      <xdr:col>23</xdr:col>
      <xdr:colOff>533400</xdr:colOff>
      <xdr:row>11</xdr:row>
      <xdr:rowOff>7620</xdr:rowOff>
    </xdr:to>
    <xdr:graphicFrame macro="">
      <xdr:nvGraphicFramePr>
        <xdr:cNvPr id="3" name="Chart 2">
          <a:extLst>
            <a:ext uri="{FF2B5EF4-FFF2-40B4-BE49-F238E27FC236}">
              <a16:creationId xmlns:a16="http://schemas.microsoft.com/office/drawing/2014/main" id="{BB4933A3-B348-6981-6BA2-5EC579B130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22860</xdr:colOff>
      <xdr:row>11</xdr:row>
      <xdr:rowOff>125730</xdr:rowOff>
    </xdr:from>
    <xdr:to>
      <xdr:col>24</xdr:col>
      <xdr:colOff>327660</xdr:colOff>
      <xdr:row>26</xdr:row>
      <xdr:rowOff>125730</xdr:rowOff>
    </xdr:to>
    <xdr:graphicFrame macro="">
      <xdr:nvGraphicFramePr>
        <xdr:cNvPr id="4" name="Chart 3">
          <a:extLst>
            <a:ext uri="{FF2B5EF4-FFF2-40B4-BE49-F238E27FC236}">
              <a16:creationId xmlns:a16="http://schemas.microsoft.com/office/drawing/2014/main" id="{1FF726D0-65ED-7BE9-6B58-E946D23A90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113489</xdr:colOff>
      <xdr:row>8</xdr:row>
      <xdr:rowOff>79444</xdr:rowOff>
    </xdr:from>
    <xdr:to>
      <xdr:col>9</xdr:col>
      <xdr:colOff>348575</xdr:colOff>
      <xdr:row>23</xdr:row>
      <xdr:rowOff>25941</xdr:rowOff>
    </xdr:to>
    <xdr:graphicFrame macro="">
      <xdr:nvGraphicFramePr>
        <xdr:cNvPr id="2" name="Chart 1">
          <a:extLst>
            <a:ext uri="{FF2B5EF4-FFF2-40B4-BE49-F238E27FC236}">
              <a16:creationId xmlns:a16="http://schemas.microsoft.com/office/drawing/2014/main" id="{B10C1893-CFBE-4BEB-8904-4DE5332A64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288099</xdr:colOff>
      <xdr:row>38</xdr:row>
      <xdr:rowOff>22696</xdr:rowOff>
    </xdr:from>
    <xdr:to>
      <xdr:col>14</xdr:col>
      <xdr:colOff>113488</xdr:colOff>
      <xdr:row>52</xdr:row>
      <xdr:rowOff>155641</xdr:rowOff>
    </xdr:to>
    <xdr:graphicFrame macro="">
      <xdr:nvGraphicFramePr>
        <xdr:cNvPr id="3" name="Chart 2">
          <a:extLst>
            <a:ext uri="{FF2B5EF4-FFF2-40B4-BE49-F238E27FC236}">
              <a16:creationId xmlns:a16="http://schemas.microsoft.com/office/drawing/2014/main" id="{A3CFD1EC-F7C2-3561-1D75-3F11FE6AA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299935</xdr:colOff>
      <xdr:row>54</xdr:row>
      <xdr:rowOff>87549</xdr:rowOff>
    </xdr:from>
    <xdr:to>
      <xdr:col>8</xdr:col>
      <xdr:colOff>405318</xdr:colOff>
      <xdr:row>69</xdr:row>
      <xdr:rowOff>34047</xdr:rowOff>
    </xdr:to>
    <xdr:graphicFrame macro="">
      <xdr:nvGraphicFramePr>
        <xdr:cNvPr id="4" name="Chart 3">
          <a:extLst>
            <a:ext uri="{FF2B5EF4-FFF2-40B4-BE49-F238E27FC236}">
              <a16:creationId xmlns:a16="http://schemas.microsoft.com/office/drawing/2014/main" id="{310072FD-F553-C8B7-9973-D3417E469C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167640</xdr:colOff>
      <xdr:row>0</xdr:row>
      <xdr:rowOff>137160</xdr:rowOff>
    </xdr:from>
    <xdr:to>
      <xdr:col>23</xdr:col>
      <xdr:colOff>60960</xdr:colOff>
      <xdr:row>3</xdr:row>
      <xdr:rowOff>152400</xdr:rowOff>
    </xdr:to>
    <xdr:sp macro="" textlink="">
      <xdr:nvSpPr>
        <xdr:cNvPr id="2" name="TextBox 1">
          <a:extLst>
            <a:ext uri="{FF2B5EF4-FFF2-40B4-BE49-F238E27FC236}">
              <a16:creationId xmlns:a16="http://schemas.microsoft.com/office/drawing/2014/main" id="{0F2B5889-DFA9-0A9D-6767-E28E8B7C9876}"/>
            </a:ext>
          </a:extLst>
        </xdr:cNvPr>
        <xdr:cNvSpPr txBox="1"/>
      </xdr:nvSpPr>
      <xdr:spPr>
        <a:xfrm>
          <a:off x="167640" y="137160"/>
          <a:ext cx="13914120" cy="56388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3200" b="1">
              <a:solidFill>
                <a:schemeClr val="accent2">
                  <a:lumMod val="50000"/>
                </a:schemeClr>
              </a:solidFill>
            </a:rPr>
            <a:t>ABC SALES ANALYSIS</a:t>
          </a:r>
        </a:p>
      </xdr:txBody>
    </xdr:sp>
    <xdr:clientData/>
  </xdr:twoCellAnchor>
  <xdr:twoCellAnchor editAs="oneCell">
    <xdr:from>
      <xdr:col>7</xdr:col>
      <xdr:colOff>480060</xdr:colOff>
      <xdr:row>0</xdr:row>
      <xdr:rowOff>175260</xdr:rowOff>
    </xdr:from>
    <xdr:to>
      <xdr:col>8</xdr:col>
      <xdr:colOff>358140</xdr:colOff>
      <xdr:row>3</xdr:row>
      <xdr:rowOff>114300</xdr:rowOff>
    </xdr:to>
    <xdr:pic>
      <xdr:nvPicPr>
        <xdr:cNvPr id="4" name="Picture 3">
          <a:extLst>
            <a:ext uri="{FF2B5EF4-FFF2-40B4-BE49-F238E27FC236}">
              <a16:creationId xmlns:a16="http://schemas.microsoft.com/office/drawing/2014/main" id="{E36645E5-69FB-A359-099C-6676031A77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47260" y="175260"/>
          <a:ext cx="487680" cy="48768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13</xdr:col>
      <xdr:colOff>53340</xdr:colOff>
      <xdr:row>4</xdr:row>
      <xdr:rowOff>121920</xdr:rowOff>
    </xdr:from>
    <xdr:to>
      <xdr:col>22</xdr:col>
      <xdr:colOff>342900</xdr:colOff>
      <xdr:row>19</xdr:row>
      <xdr:rowOff>121920</xdr:rowOff>
    </xdr:to>
    <xdr:graphicFrame macro="">
      <xdr:nvGraphicFramePr>
        <xdr:cNvPr id="5" name="Chart 4">
          <a:extLst>
            <a:ext uri="{FF2B5EF4-FFF2-40B4-BE49-F238E27FC236}">
              <a16:creationId xmlns:a16="http://schemas.microsoft.com/office/drawing/2014/main" id="{98121FDB-F9D8-4531-A49C-D59290CFD0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4</xdr:row>
      <xdr:rowOff>99060</xdr:rowOff>
    </xdr:from>
    <xdr:to>
      <xdr:col>12</xdr:col>
      <xdr:colOff>571500</xdr:colOff>
      <xdr:row>19</xdr:row>
      <xdr:rowOff>121920</xdr:rowOff>
    </xdr:to>
    <xdr:graphicFrame macro="">
      <xdr:nvGraphicFramePr>
        <xdr:cNvPr id="6" name="Chart 5">
          <a:extLst>
            <a:ext uri="{FF2B5EF4-FFF2-40B4-BE49-F238E27FC236}">
              <a16:creationId xmlns:a16="http://schemas.microsoft.com/office/drawing/2014/main" id="{D2C3FBFF-6923-40EE-9C4E-16D1D436E1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502920</xdr:colOff>
      <xdr:row>20</xdr:row>
      <xdr:rowOff>38100</xdr:rowOff>
    </xdr:from>
    <xdr:to>
      <xdr:col>14</xdr:col>
      <xdr:colOff>259080</xdr:colOff>
      <xdr:row>32</xdr:row>
      <xdr:rowOff>160020</xdr:rowOff>
    </xdr:to>
    <xdr:graphicFrame macro="">
      <xdr:nvGraphicFramePr>
        <xdr:cNvPr id="7" name="Chart 6">
          <a:extLst>
            <a:ext uri="{FF2B5EF4-FFF2-40B4-BE49-F238E27FC236}">
              <a16:creationId xmlns:a16="http://schemas.microsoft.com/office/drawing/2014/main" id="{5A74D78D-34D6-4ABC-BAC6-0959A04A6F7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541020</xdr:colOff>
      <xdr:row>4</xdr:row>
      <xdr:rowOff>53340</xdr:rowOff>
    </xdr:from>
    <xdr:to>
      <xdr:col>3</xdr:col>
      <xdr:colOff>541020</xdr:colOff>
      <xdr:row>18</xdr:row>
      <xdr:rowOff>74295</xdr:rowOff>
    </xdr:to>
    <mc:AlternateContent xmlns:mc="http://schemas.openxmlformats.org/markup-compatibility/2006">
      <mc:Choice xmlns:a14="http://schemas.microsoft.com/office/drawing/2010/main" Requires="a14">
        <xdr:graphicFrame macro="">
          <xdr:nvGraphicFramePr>
            <xdr:cNvPr id="8" name="Region">
              <a:extLst>
                <a:ext uri="{FF2B5EF4-FFF2-40B4-BE49-F238E27FC236}">
                  <a16:creationId xmlns:a16="http://schemas.microsoft.com/office/drawing/2014/main" id="{5114377B-72BE-F7F1-BF64-22EB0D70DE5F}"/>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41020" y="7848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3:19.917"/>
    </inkml:context>
    <inkml:brush xml:id="br0">
      <inkml:brushProperty name="width" value="0.035" units="cm"/>
      <inkml:brushProperty name="height" value="0.035" units="cm"/>
    </inkml:brush>
  </inkml:definitions>
  <inkml:trace contextRef="#ctx0" brushRef="#br0">136 6 3314,'0'0'14604,"0"-6"-12882,0 10-713,-6 332-487,2-48-115,4-285-759,0 1 0,-1-1 0,1 1 0,-1 0 0,0-1 0,0 0 0,-1 1 0,1-1 0,0 0 0,-1 1 1,-2 2-1,3-5 126,0 0-1,0 0 1,0 0 0,0 0 0,0 0 0,0 0 0,0 0 0,0 0 0,0 0 0,0 0 0,-1-1 0,1 1 0,0-1-1,-1 1 1,1-1 0,0 1 0,-1-1 0,1 0 0,-1 1 0,1-1 0,0 0 0,-1 0 0,1 0 0,-1 0 0,1 0-1,-1-1 1,1 1 0,0 0 0,-1-1 0,-1 0 0</inkml:trace>
  <inkml:trace contextRef="#ctx0" brushRef="#br0" timeOffset="248.4">119 102 6243,'0'0'9316,"66"60"-9124,-45-24-96,-4 0-80,-2-1 32,-4-8-48,-4-7 0,1-6-256,1-7-1649,3-7-1584,-1 0-1121</inkml:trace>
  <inkml:trace contextRef="#ctx0" brushRef="#br0" timeOffset="930.78">388 72 3570,'0'0'9922,"0"-2"-9637,0-4-160,0 4 321,-6-24 3265,6 26-3677,0-1 0,-1 1 0,1-1 0,0 1 0,0-1 0,-1 1 0,1 0 1,-1-1-1,1 1 0,0 0 0,-1-1 0,1 1 0,-1 0 0,1-1 0,-1 1 0,1 0 0,-1 0 0,1-1 0,-1 1 0,1 0 0,-1 0 1,1 0-1,-1 0 0,1 0 0,-1 0 0,1 0 0,-1 0 0,0 0 0,1 0 0,-1 0 0,1 0 0,-1 0 0,1 0 0,-1 0 0,1 1 1,-1-1-1,1 0 0,-1 0 0,1 1 0,-1-1 0,1 0 0,-1 1 0,1-1 0,0 0 0,-1 1 0,1-1 0,0 1 0,-1-1 1,1 0-1,0 1 0,-1-1 0,1 1 0,0 0 0,-14 29-318,14-29 302,-14 42-1,2 0 1,2 1-1,2 1 0,2-1 1,-1 58-1,7-101 143,9-18 1187,23-41-872,-3 8-402,40-97 1,-31 31 6,-33 132-680,0 19 535,-5-34 66,18 149 259,34 196 195,-45-319-959,-7-35-8802,4-8 1905</inkml:trace>
  <inkml:trace contextRef="#ctx0" brushRef="#br0" timeOffset="2237.97">697 333 2849,'0'0'12072,"-9"-8"-11378,-30-24-312,38 31-370,0 0 1,0 0 0,1 1 0,-1-1-1,0 1 1,0-1 0,0 1 0,0-1-1,0 1 1,0 0 0,0-1-1,-1 1 1,1 0 0,0 0 0,0 0-1,0 0 1,0 0 0,0 0 0,0 0-1,0 0 1,0 0 0,0 1 0,0-1-1,0 0 1,0 1 0,0-1-1,0 1 1,0-1 0,0 1 0,0-1-1,0 1 1,0 0 0,0-1 0,0 1-1,1 0 1,-1 0 0,0 0 0,1-1-1,-1 1 1,0 2 0,-2 2 18,0 0 0,0 1 1,1-1-1,0 1 0,-2 6 0,3-9-20,-4 19 24,1 0 0,1 0 0,1 0 0,1 0 1,2 33-1,0-52-77,-1-1-1,1 0 1,-1 1 0,1-1 0,0 0 0,0 1 0,0-1 0,0 0 0,0 0-1,0 0 1,1 0 0,-1 0 0,1 0 0,0 0 0,-1 0 0,1-1 0,0 1-1,0-1 1,0 1 0,0-1 0,0 0 0,0 0 0,0 0 0,1 0-1,-1 0 1,4 1 0,-3-1 4,-1-1 0,1 1 0,0 0 0,0-1 0,0 0 0,0 1 0,0-1 0,-1 0 0,1-1 0,0 1 0,0 0 0,0-1 0,0 0 0,-1 0 0,1 0 0,0 0 0,-1 0 0,1 0 0,0-1 0,-1 1 0,0-1 0,5-3 0,-2-3 90,1 0-1,-1 0 0,-1 0 1,0-1-1,0 1 1,0-1-1,-1 0 0,-1 0 1,0 0-1,0-1 1,1-16-1,0-6 1150,-3-46 0,0 67-319,0 44-1076,-1-6 281,1 1-1,5 35 0,-4-57-287,0 0 0,0 0 0,0 0 0,1-1 0,0 1 1,0 0-1,0-1 0,1 0 0,0 1 0,0-1 0,0 0 0,1 0 0,0-1 0,-1 1 0,2-1 0,6 6 0,-8-8-6,0 0-1,1 0 1,-1-1 0,0 0 0,1 1 0,0-1-1,-1 0 1,1-1 0,-1 1 0,1-1-1,0 1 1,-1-1 0,1 0 0,0 0 0,-1-1-1,7-1 1,-7 2 194,1-1 0,-1 0-1,1 0 1,-1-1 0,0 1 0,0-1-1,0 0 1,0 0 0,0 0-1,0 0 1,0 0 0,-1 0 0,1-1-1,-1 0 1,1 1 0,2-6-1,2-6 344,-1 1-1,0-1 1,-1 0-1,-1 0 0,0-1 1,3-26-1,-2-2 1898,-3-48 1,-2 91-2303,8 17-448,8 9-239,-15-24 582,0-1 1,0 1 0,0-1 0,0 0-1,1 1 1,-1-1 0,0 0-1,0 0 1,1 0 0,-1 0 0,1 0-1,-1 0 1,1 0 0,-1 0-1,3 0 1,-4-20 345,1 16-105,-1 0 0,0 1 0,0-1 1,-1 0-1,1 0 0,-1 0 0,1 0 0,-1 1 1,0-1-1,0 0 0,0 1 0,-2-5 1,1 6-13,1-1-1,-1 1 1,1 0 0,-1 0 0,1 0 0,-1 0 0,0 0 0,0 0 0,0 1 0,1-1 0,-1 0-1,0 1 1,0 0 0,0-1 0,0 1 0,0 0 0,0 0 0,0 0 0,-2 0 0,3 1-48,-1-1 0,1 0 0,0 1 0,0-1 1,0 0-1,0 1 0,0 0 0,1-1 0,-1 1 0,0-1 1,0 1-1,0 0 0,0 0 0,1-1 0,-1 1 0,0 0 0,1 0 1,-1 0-1,0 0 0,1 0 0,0 0 0,-1 0 0,1 0 1,-1 0-1,1 0 0,0 0 0,0 0 0,0 0 0,-1 0 1,1 2-1,-2 38-58,2-37 51,0 7 20,0 0 0,1 0 0,0 1 0,1-1 0,0 0 0,8 20 0,-7-24-19,0 0-1,1-1 0,0 1 0,0-1 1,1 0-1,-1 0 0,1 0 0,1 0 1,-1-1-1,1 0 0,7 5 0,-6-6-33,0 0 1,0-1-1,0 0 0,0 0 0,1-1 0,-1 0 0,1 0 0,-1 0 0,1-1 0,0-1 0,0 1 0,-1-1 0,1 0 0,8-2 0,-13 1 47,-1 1 1,1-1-1,-1 0 0,0 0 0,1 0 0,-1 0 1,0-1-1,0 1 0,0 0 0,0-1 0,0 0 1,0 1-1,0-1 0,-1 0 0,1 0 1,0 0-1,-1 0 0,0 0 0,1 0 0,-1-1 1,0 1-1,0 0 0,0-1 0,1-4 0,2-9 249,0 0-1,4-26 0,-7 34-64,2-21 915,-2-50 1,-1 49 68,0 29-1080,-1 10-371,-1 18 249,0 0 1,4 41-1,-2-66-19,1 0 1,-1 0-1,1 0 1,-1 1 0,1-1-1,0 0 1,0 0-1,0 0 1,0-1-1,0 1 1,0 0-1,1 0 1,-1-1 0,1 1-1,-1 0 1,1-1-1,-1 0 1,1 1-1,0-1 1,0 0-1,0 0 1,0 0-1,0 0 1,0 0 0,0 0-1,0-1 1,0 1-1,2 0 1,8 1-228,-1 0 1,1-1 0,0 0-1,11-1 1,-15 0 204,-5 0 81,1 0 0,0-1 1,0 1-1,-1-1 1,1 1-1,0-1 1,-1 0-1,1-1 1,-1 1-1,1 0 1,-1-1-1,0 0 1,1 0-1,-1 0 1,0 0-1,0-1 1,0 1-1,-1-1 1,1 1-1,-1-1 1,1 0-1,-1 0 1,0 0-1,0-1 1,0 1-1,-1 0 0,1-1 1,-1 1-1,0-1 1,2-6-1,1-9 770,-1 0 0,-1-1 0,-1 1 0,-1-34 0,-1 27 624,-9 140-1363,9-88-554,-1-6 679,2-1-1,0 0 1,1 1-1,2-1 1,4 21-1,-6-36-354,0 1 1,1-1-1,0 0 0,0 0 0,0 0 1,0 0-1,1 0 0,-1 0 1,1-1-1,0 1 0,5 3 0,-5-4-334,1-1-1,-1 1 0,1-1 0,0 0 0,-1-1 0,1 1 1,0-1-1,0 0 0,0 1 0,0-2 0,0 1 1,1 0-1,-1-1 0,6 0 0,14 0-6123</inkml:trace>
  <inkml:trace contextRef="#ctx0" brushRef="#br0" timeOffset="3015.33">1656 314 2721,'0'0'16461,"-10"-10"-15722,-35-30-357,44 39-368,0 1 1,1-1-1,-1 0 0,0 1 1,0-1-1,0 0 1,0 1-1,0-1 1,0 1-1,0-1 1,0 1-1,0 0 1,-1 0-1,1-1 0,0 1 1,0 0-1,0 0 1,0 0-1,0 0 1,0 0-1,-1 0 1,1 0-1,0 1 0,0-1 1,0 0-1,0 0 1,0 1-1,0-1 1,0 1-1,0-1 1,0 1-1,0 0 1,0-1-1,0 1 0,0 0 1,1 0-1,-1-1 1,0 1-1,0 0 1,1 0-1,-2 2 1,-1 1-4,1 1-1,-1 0 1,1 0 0,0 0 0,-2 9 0,1 3 6,0 0 0,2 0 0,0 0 0,1 1-1,4 27 1,-4-41-13,1-1-1,0 0 0,0 1 0,0-1 1,0 0-1,0 1 0,1-1 0,-1 0 0,1 0 1,0 0-1,0 0 0,0-1 0,0 1 1,0-1-1,1 1 0,-1-1 0,1 0 1,0 1-1,0-1 0,0-1 0,0 1 1,5 2-1,-1-1-41,1-1 1,-1 1-1,1-1 0,0-1 1,0 0-1,-1 0 0,1 0 1,14-2-1,-20 1 50,0-1 0,0 0 0,0 0 0,0 0 0,0 0 0,0 0 0,0 0 0,0 0 0,-1-1 0,1 1 0,0-1 0,-1 1 0,1-1 0,-1 0 0,1 1 0,-1-1 0,0 0 0,0 0 0,0 0 0,0 0 0,0 0 0,0 0 0,-1-1-1,1-2 1,3-8 82,-1 1-1,3-25 0,-3-85 1713,-3 106-984,0 40-957,-1 9 112,5 37 1,-3-61 5,1-1 1,-1 1-1,1-1 0,1 0 1,-1 1-1,1-1 0,1-1 1,-1 1-1,10 13 0,-11-19-32,0 1-1,0-1 0,0 0 1,0 0-1,0 0 0,1 0 1,-1 0-1,1-1 1,-1 1-1,1-1 0,0 1 1,-1-1-1,1 0 1,0 0-1,0 0 0,0-1 1,0 1-1,0-1 0,0 1 1,0-1-1,0 0 1,0 0-1,0-1 0,0 1 1,3-1-1,-1 0 54,-1-1 0,0 1 0,0-1 0,0 0-1,0 0 1,0 0 0,0 0 0,0-1 0,-1 1 0,1-1-1,-1 0 1,0 0 0,0-1 0,0 1 0,0 0 0,3-7 0,-1 0 19,1-1 1,-2 0-1,0 0 1,0-1-1,-1 1 0,0-1 1,1-21-1,-2-1 336,-3-48-1,1 80-317,0-1-1,-1 1 1,1 0 0,-1 0 0,1-1-1,-1 1 1,0 0 0,0 0 0,0 0-1,-2-3 1,3 5-37,-1-1 0,1 1-1,-1-1 1,1 1 0,0-1-1,-1 1 1,1-1 0,-1 1-1,1 0 1,-1-1 0,1 1-1,-1 0 1,1-1 0,-1 1-1,1 0 1,-1 0 0,0-1-1,1 1 1,-1 0 0,1 0-1,-1 0 1,0 0 0,1 0-1,-1 0 1,1 0 0,-1 0-1,0 0 1,1 0 0,-1 0 0,1 1-1,-1-1 1,1 0 0,-1 0-1,0 0 1,1 1 0,-1-1-1,1 0 1,-1 1 0,1-1-1,-1 0 1,1 1 0,0-1-1,-1 1 1,0 0 0,0 1-19,-1 1 1,1-1 0,0 0 0,0 1 0,0-1 0,0 1 0,0 0-1,1-1 1,-1 1 0,1 0 0,0-1 0,-1 1 0,1 0-1,1-1 1,-1 1 0,1 4 0,0-1 12,0 0 0,0 0 0,0 0 1,1 0-1,0 0 0,4 8 0,3-2 27,0 0-1,1 0 0,0-1 1,1 0-1,1-1 1,20 15-1,-17-14-3,-1 0 1,-1 1-1,0 1 0,12 14 1,-25-27-37,1 1 0,-1-1 0,1 1 0,0-1 0,-1 1 0,1 0 1,-1-1-1,0 1 0,1 0 0,-1-1 0,1 1 0,-1 0 0,0-1 1,0 1-1,1 0 0,-1 0 0,0-1 0,0 1 0,0 0 0,0 0 0,0 0 1,0-1-1,0 1 0,0 0 0,0 0 0,0-1 0,0 1 0,-1 0 1,1 0-1,0-1 0,0 1 0,-1 0 0,1-1 0,-1 1 0,1 0 0,0-1 1,-1 1-1,0 0 0,1-1 0,-1 1 0,1-1 0,-1 1 0,1-1 1,-1 0-1,0 1 0,1-1 0,-1 1 0,0-1 0,0 0 0,1 0 0,-1 1 1,-1-1-1,-6 2-97,1-1 0,-1 1 1,1-2-1,-11 1 0,10-1 29,-64 2-1540,24-2-2225,40 0 2812,-12 0-3412</inkml:trace>
  <inkml:trace contextRef="#ctx0" brushRef="#br0" timeOffset="4617.71">1 905 2721,'0'0'9634,"0"-5"-8719,0-11-275,0 3 3992,41 11-3256,205 7-44,155-4-145,-288-7-1077,97-3-41,123 2 1449,-80 5-1003,-131 4-233,57 8-162,2 0 817,165-17 584,-342 6-1477,0 1 1,0 0 0,0 1 0,1-1 0,-1 1 0,0 0 0,0 0 0,0 0-1,0 0 1,5 3 0,-9-4-60,0 0 1,0 0-1,0 0 0,1 1 0,-1-1 0,0 0 0,0 0 1,0 0-1,0 0 0,0 0 0,0 0 0,0 1 0,0-1 1,1 0-1,-1 0 0,0 0 0,0 0 0,0 0 1,0 1-1,0-1 0,0 0 0,0 0 0,0 0 0,0 0 1,0 1-1,0-1 0,0 0 0,0 0 0,0 0 1,0 0-1,0 0 0,0 1 0,0-1 0,0 0 0,-1 0 1,1 0-1,0 0 0,0 0 0,0 1 0,0-1 1,0 0-1,0 0 0,0 0 0,0 0 0,-1 0 0,1 0 1,0 0-1,0 1 0,0-1 0,0 0 0,0 0 1,-1 0-1,1 0 0,0 0 0,0 0 0,0 0 0,0 0 1,0 0-1,-1 0 0,1 0 0,0 0 0,0 0 1,0 0-1,0 0 0,-1 0 0,-12 1-1808,11-1 1748,-9 0-1011,6 0-216,-1 0 0,0 0-1,1 0 1,-1-1-1,-7-1 1,-11-12-11659</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3:26.272"/>
    </inkml:context>
    <inkml:brush xml:id="br0">
      <inkml:brushProperty name="width" value="0.05" units="cm"/>
      <inkml:brushProperty name="height" value="0.05" units="cm"/>
      <inkml:brushProperty name="color" value="#E71224"/>
    </inkml:brush>
  </inkml:definitions>
  <inkml:trace contextRef="#ctx0" brushRef="#br0">0 554 4466,'0'0'14281,"3"0"-14134,242 0 581,-80 0-6504,-165 0 5652,0 0 0,1 0 0,-1 0 0,0 0 0,1 0-1,-1 0 1,0 0 0,1 0 0,-1 0 0,0 0 0,1-1-1,-1 1 1,0 0 0,1 0 0,-1 0 0,0 0 0,1 0-1,-1 0 1,0-1 0,1 1 0,-1 0 0,0 0 0,0-1 0,1 1-1,-1 0 1,0 0 0,0-1 0,0 1 0,0 0 0,1 0-1,-1-1 1,0 1 0,0 0 0,0-1 0,0 1 0,0 0-1,0-1 1,0 1 0,0 0 0,0-1 0,0 1 0,0 0-1,0-1 1,0 1 0,0 0 0,0-1 0,0 1 0,0-1 0,0-2-911,0-12-5133</inkml:trace>
  <inkml:trace contextRef="#ctx0" brushRef="#br0" timeOffset="277.7">286 444 1745,'0'0'11984,"-1"-2"-10816,1 2-1149,-1 0-1,1-1 0,0 1 1,0 0-1,-1 0 0,1 0 1,0 0-1,0-1 0,0 1 0,0 0 1,-1 0-1,1-1 0,0 1 1,0 0-1,0 0 0,0-1 0,0 1 1,0 0-1,-1 0 0,1-1 1,0 1-1,0 0 0,0 0 0,0-1 1,0 1-1,0 0 0,0 0 1,0-1-1,0 1 0,0 0 0,1-1 1,-1 1-1,0 0 0,0 0 1,0-1-1,0 1 0,0 0 0,0 0 1,1-1-1,-1 1 0,0 0 1,0-1-1,15 5 290,29 20-199,-37-19-16,136 68 230,-43-23-243,-99-50-119,0 1 0,0-1 0,0 1 0,0-1 0,0 1 0,0-1 1,0 1-1,0-1 0,0 1 0,0 0 0,0 0 0,0-1 0,-1 1 0,1 0 0,0 0 0,-1 0 1,1 0-1,0 0 0,-1 0 0,1 1 0,-1-1-24,-1-1-1,1 1 1,-1-1 0,1 1 0,-1 0-1,1-1 1,-1 0 0,1 1-1,-1-1 1,1 1 0,-1-1 0,1 0-1,-1 1 1,0-1 0,1 0-1,-1 0 1,0 1 0,1-1 0,-1 0-1,0 0 1,1 0 0,-2 0 0,-53 3-3947,50-3 3278,-13-2-2560,5-4-1975</inkml:trace>
  <inkml:trace contextRef="#ctx0" brushRef="#br0" timeOffset="795.78">770 241 5475,'0'0'9172,"-8"-3"-8815,-17-7 62,25 10-416,0 0 1,0 0 0,0 0-1,0 0 1,0 0-1,0 0 1,0 0 0,0 0-1,0 0 1,1-1 0,-1 1-1,0 0 1,0 0 0,0 0-1,0 0 1,0 0-1,0 0 1,0 0 0,0 0-1,0 0 1,0 0 0,0 0-1,0 0 1,0-1-1,0 1 1,0 0 0,0 0-1,0 0 1,0 0 0,0 0-1,0 0 1,0 0 0,0 0-1,0 0 1,0-1-1,0 1 1,0 0 0,0 0-1,0 0 1,0 0 0,0 0-1,0 0 1,0 0-1,0 0 1,0 0 0,0 0-1,0-1 1,0 1 0,0 0-1,0 0 1,0 0 0,0 0-1,0 0 1,0 0-1,0 0 1,-1 0 0,1 0-1,0 0 1,0 0 0,0 0-1,0 0 1,0 0-1,0 0 1,25 0 364,-23 0-240,75 2 716,-21 0-1023,71-8 0,-126 7 160,0-1 1,-1 0-1,1 0 0,0 0 1,-1 0-1,1 0 0,0 0 0,-1 0 1,1 0-1,0 0 0,-1-1 1,1 1-1,0 0 0,-1 0 1,1-1-1,-1 1 0,1 0 1,0-1-1,-1 1 0,1 0 1,-1-1-1,1 1 0,-1-1 0,1 1 1,-1-1-1,1 1 0,-1-1 1,0 1-1,1-1 0,-1 0 1,0 1-1,1-1 0,-1 1 1,0-1-1,0 0 0,0 1 1,1-2-1,-2 1 14,1 0-1,-1 0 1,1 0 0,-1 0-1,0 1 1,1-1 0,-1 0-1,0 0 1,1 0 0,-1 1-1,0-1 1,0 0 0,0 1-1,0-1 1,0 1 0,0-1 0,0 1-1,0-1 1,-2 0 0,-3-1 119,-1 0 0,1 0 0,-1 1 1,1 0-1,-12 0 0,17 1-101,1 1-1,-1-1 0,0 1 1,1-1-1,-1 1 0,0-1 1,1 1-1,-1 0 1,1-1-1,-1 1 0,1 0 1,-1 0-1,1-1 0,-1 1 1,1 0-1,0 0 1,0 0-1,-1 0 0,1-1 1,0 1-1,0 0 0,0 0 1,0 0-1,0 0 1,0 1-1,-2 29 54,2-28-14,-1 42 408,2-1 0,2 1 0,2-1 0,20 86 0,-13-86-433,-7-20-95,2 0 0,1 0 0,14 29 0,-21-51-169,-1-1 1,1 1 0,0-1-1,0 1 1,0-1 0,1 0-1,-1 1 1,0-1 0,0 0-1,1 0 1,-1 0 0,0 0-1,1 0 1,-1 0 0,3 0-1,17 3-5017,-2-4-421</inkml:trace>
  <inkml:trace contextRef="#ctx0" brushRef="#br0" timeOffset="1724.62">1216 525 4626,'0'0'10584,"-4"-6"-10208,-15-17-197,19 23-174,-1-1 1,0 1 0,0 0 0,1 0-1,-1-1 1,0 1 0,1 0 0,-1 0 0,0 0-1,0 0 1,1 0 0,-1 0 0,0 0 0,0 0-1,1 0 1,-1 0 0,0 0 0,0 1 0,1-1-1,-1 0 1,0 0 0,1 1 0,-1-1-1,0 1 1,1-1 0,-1 0 0,0 1 0,1-1-1,-1 1 1,1-1 0,-1 1 0,1 0 0,-1-1-1,1 1 1,-1-1 0,0 2 0,-16 26 109,17-26-114,-6 11 19,2 1 1,0 0-1,1 1 0,0-1 0,1 1 0,0-1 0,1 1 0,2 23 0,-1-31-17,0-5-12,0-1-1,0 1 1,0-1 0,1 0-1,-1 1 1,0-1-1,1 0 1,-1 1-1,0-1 1,1 0-1,0 1 1,-1-1-1,1 0 1,0 0-1,-1 0 1,1 0-1,0 0 1,0 0-1,0 0 1,0 0-1,0 0 1,0 0-1,0 0 1,1 0-1,-1-1 1,0 1 0,0 0-1,1-1 1,-1 1-1,0-1 1,3 1-1,3 0-104,0 0 1,0-1-1,0 1 0,14-2 1,-14 0 69,-5 1 46,-1-1-1,1 1 1,0-1-1,-1 1 1,1-1 0,0 0-1,-1 0 1,1 0-1,-1 0 1,1 0-1,-1 0 1,0 0-1,1 0 1,-1 0-1,0-1 1,0 1-1,0-1 1,0 1-1,0-1 1,0 1-1,0-1 1,0 1 0,-1-1-1,1 0 1,-1 1-1,1-1 1,-1 0-1,0 0 1,1-2-1,1-8 96,-1-1 1,0 1-1,-1-14 0,0 18 37,1-12 331,-1 15-214,1 0 1,-1-1-1,0 1 1,0-1 0,-1 1-1,1 0 1,-1-1-1,-3-8 1,4 14-251,0 0 1,0 0-1,0-1 1,0 1 0,0 0-1,0 0 1,0 0-1,-1 0 1,1 0-1,0-1 1,0 1-1,0 0 1,0 0-1,0 0 1,0 0-1,0 0 1,0 0 0,-1 0-1,1-1 1,0 1-1,0 0 1,0 0-1,0 0 1,0 0-1,-1 0 1,1 0-1,0 0 1,0 0-1,0 0 1,0 0-1,-1 0 1,1 0 0,0 0-1,0 0 1,0 0-1,0 0 1,-1 0-1,1 0 1,0 0-1,0 0 1,0 0-1,0 0 1,0 1-1,-1-1 1,1 0-1,0 0 1,0 0 0,0 0-1,0 0 1,0 0-1,0 0 1,0 0-1,-1 1 1,1-1-1,0 0 1,0 0-1,0 0 1,0 0-1,0 0 1,0 1 0,0-1-1,0 0 1,0 0-1,0 0 1,0 1-1,-2 4-28,1 0 0,0 0 0,0 0 0,0 0-1,1 0 1,-1 1 0,1-1 0,1 0 0,-1 0 0,1 0-1,0 1 1,0-1 0,0 0 0,1 0 0,-1 0 0,1-1-1,4 7 1,-4-7-83,1-1-1,-1 0 1,1 1-1,0-1 0,1 0 1,-1 0-1,0 0 1,1-1-1,0 1 1,-1-1-1,1 0 1,0 0-1,0 0 0,0-1 1,0 0-1,1 1 1,-1-1-1,0 0 1,1-1-1,-1 1 0,6-1 1,-4 0 22,0 1-1,0-1 1,0-1-1,0 1 1,-1-1 0,1 0-1,0-1 1,0 1 0,-1-1-1,11-4 1,-13 4 86,0-1 0,0 1 0,0-1 0,-1 1 0,1-1 0,-1 0-1,1 0 1,-1 0 0,0 0 0,0 0 0,0-1 0,-1 1 0,1 0 0,-1-1 0,0 1 0,1-1 0,-2 0 0,2-3 0,0-6 360,0 0 1,0-1-1,-1 1 1,-1 0-1,0-1 1,-1 1-1,-5-24 1,6 36-335,0 0 1,0 0 0,0 0 0,-1 0-1,1 0 1,0 0 0,0 1-1,-1-1 1,1 0 0,0 0-1,-1 0 1,1 1 0,-1-1-1,1 0 1,-1 1 0,1-1 0,-1 0-1,0 1 1,1-1 0,-1 1-1,0-1 1,-1 0 0,2 1 9,-1 1 0,0-1 0,1 1 0,-1-1 0,1 1 0,-1 0 0,1-1 0,-1 1 0,1 0 0,-1-1 0,1 1 0,0 0 0,-1 0 0,1-1 0,0 1 0,0 0 0,0 0 0,-1 1 0,-5 45 715,4-5-626,3 0 0,1 0 0,2 0-1,18 74 1,-13-81-106,-3-6 13,1-1 0,2 0 0,0 0 0,2-1 0,14 26 0,-25-53-26,0 0-1,0 0 0,1-1 1,-1 1-1,0 0 0,0-1 1,0 1-1,0 0 0,0-1 0,0 1 1,0 0-1,1 0 0,-1-1 1,0 1-1,0 0 0,0 0 1,1-1-1,-1 1 0,0 0 0,0 0 1,0 0-1,1-1 0,-1 1 1,0 0-1,1 0 0,-1 0 1,0 0-1,0 0 0,1-1 1,-1 1-1,0 0 0,1 0 0,-1 0 1,0 0-1,1 0 0,-1 0 1,0 0-1,1 0 0,-1 0 1,0 0-1,1 0 0,-1 1 0,0-1 1,0 0-1,1 0 0,-1 0 1,0 0-1,1 0 0,-1 1 1,0-1-1,0 0 0,1 0 1,-1 0-1,0 1 0,0-1 0,0 0 1,1 0-1,-1 1 0,0-1 1,0 0-1,0 0 0,0 1 1,0-1-1,1 0 0,-1 1 1,3-26 159,-3-60-107,-4 0 0,-4 1 0,-25-112 0,26 161-54,2 18 3,1 1 0,1-1 1,1 0-1,0 0 0,1 0 0,1 0 0,2-25 0,-1 41-14,-1 0 0,1 1 0,-1-1 0,1 0 0,0 1 0,-1-1 0,1 0 0,0 1 0,0-1 0,-1 1 0,1-1 0,0 1 0,0 0 0,0-1 0,0 1 0,-1 0 0,1 0 0,0-1 0,0 1 1,0 0-1,0 0 0,0 0 0,0 0 0,0 0 0,0 0 0,0 0 0,1 1 0,1-1-5,0 1 1,0-1-1,0 1 0,0-1 1,-1 1-1,1 0 0,0 0 1,4 3-1,0 1 9,0 2-1,0-1 1,-1 1 0,0 0-1,0 0 1,-1 1 0,0 0-1,0 0 1,5 13 0,-1 1-3,0 1 0,8 35 0,-14-44 4,0 0 0,-1 0 1,-1 0-1,0 27 0,-1-38-116,0 0-1,0 1 1,-1-1-1,1 0 1,-1 1-1,0-1 0,0 0 1,0 0-1,0 1 1,0-1-1,-1 0 0,1 0 1,-1 0-1,0-1 1,0 1-1,0 0 1,0-1-1,-1 1 0,1-1 1,-1 0-1,1 0 1,-1 0-1,0 0 1,0 0-1,-4 2 0,-4-3-1674,8-16-7972</inkml:trace>
  <inkml:trace contextRef="#ctx0" brushRef="#br0" timeOffset="5897.07">1754 497 4066,'0'0'8881,"-8"12"-8582,7-10-287,0-1 0,1 1 0,-1 0 0,0-1 0,1 1 0,0 0 0,-1 0 0,1 0 0,0-1 0,0 1 0,0 0 0,0 0 0,0 0 0,0 0 0,0-1 0,1 1 0,-1 0 0,1 0 0,-1-1 0,1 1 0,0 0-1,0-1 1,-1 1 0,1 0 0,0-1 0,1 1 0,-1-1 0,2 3 0,1-2 2,-1 0-1,1-1 0,-1 1 1,1-1-1,0 0 0,-1 1 0,1-2 1,0 1-1,0 0 0,0-1 1,-1 0-1,7 0 0,-8 0-5,-1 0-1,1 0 0,-1-1 1,1 1-1,-1-1 0,0 1 1,1-1-1,-1 0 1,1 1-1,-1-1 0,0 0 1,0 0-1,1 0 0,-1 0 1,0 0-1,0 0 1,0 0-1,0 0 0,0 0 1,0-1-1,-1 1 0,1 0 1,0-1-1,-1 1 0,1 0 1,0-1-1,-1 1 1,0-1-1,1 1 0,-1-1 1,0-2-1,2-8 30,-1 1 1,-1-1-1,0-13 1,-1 11 46,2 8 79,-2 0-1,1 0 1,0 0 0,-1 0-1,0 1 1,-3-9 0,4 13-131,-1 0 1,1-1 0,-1 1 0,0 0-1,0 0 1,1 0 0,-1 0 0,0 0-1,0 0 1,0 0 0,0 0 0,0 0-1,0 0 1,-1 0 0,1 1 0,0-1-1,0 0 1,0 1 0,-1-1 0,1 1-1,0 0 1,-1-1 0,1 1 0,0 0-1,-1 0 1,1 0 0,-1 0 0,1 0 0,0 0-1,-1 0 1,1 0 0,-3 1 0,3 0-34,-1 0 0,0-1 1,1 1-1,-1 0 1,1 0-1,0 1 1,-1-1-1,1 0 0,0 0 1,0 1-1,0-1 1,-1 0-1,2 1 1,-1-1-1,0 1 0,0 0 1,0-1-1,1 1 1,-1 0-1,1-1 1,-1 1-1,1 0 0,0-1 1,-1 3-1,-4 47-3,4-34 16,1 0 0,1 0 0,0 1 0,1-1 0,7 29 0,-8-42-11,1 1 0,0-1-1,0 1 1,0-1-1,1 0 1,-1 0 0,1 0-1,0 0 1,0-1-1,0 1 1,0-1 0,1 0-1,0 0 1,-1 0-1,1 0 1,0 0 0,0-1-1,1 0 1,-1 0-1,0 0 1,1 0-1,-1-1 1,1 0 0,0 0-1,8 1 1,-3 0-9,-1-2 0,0 1 1,0-1-1,0 0 0,1-1 0,9-2 0,-15 2 14,0 0 0,0 0 0,0-1 0,0 1 0,0-1 0,0 0 0,-1-1 0,1 1 0,-1-1 0,1 1-1,-1-1 1,0 0 0,0 0 0,0 0 0,2-4 0,4-7 149,-1-1 0,-1 1 0,0-1 0,-1 0-1,-1 0 1,0-1 0,-1 0 0,-1 0 0,0 0 0,-1 0 0,-1 0 0,0 0 0,-1-1 0,-3-17 0,3 33-154,-1 1 0,1-1 0,0 0 0,0 1 0,-1-1 0,1 1 0,-1-1 0,1 1 0,0-1 0,-1 1 0,1-1 0,-1 1 0,1-1 0,-1 1 0,1 0 0,-1-1 0,1 1 0,-1 0 0,0-1 0,1 1 1,-1 0-1,0 0 0,1-1 0,-1 1 0,1 0 0,-1 0 0,0 0 0,1 0 0,-1 0 0,0 0 0,1 0 0,-1 0 0,0 0 0,1 0 0,-1 0 0,0 1 0,1-1 0,-1 0 0,0 0 0,1 1 0,-1-1 0,1 0 0,-1 1 0,1-1 0,-1 1 1,1-1-1,-1 1 0,1-1 0,-1 1 0,1-1 0,-1 1 0,1-1 0,0 1 0,-1-1 0,1 1 0,0 0 0,0-1 0,-1 2 0,0 2-7,-1 1-1,1 0 1,0 0-1,0 1 1,1-1-1,0 0 1,0 0-1,0 0 1,0 0-1,1 0 1,0 0 0,0 0-1,0 0 1,0 0-1,1 0 1,0 0-1,0-1 1,0 1-1,1 0 1,0-1-1,0 0 1,3 5-1,-1-4-130,-1-1-1,1 0 1,0 0-1,0 0 1,0 0-1,0-1 0,1 0 1,-1 0-1,1 0 1,0 0-1,0-1 0,0 0 1,0-1-1,0 1 1,0-1-1,1 0 0,10-1 1,-14 1 96,1-1 0,0 0 1,-1-1-1,1 1 0,-1-1 1,1 1-1,-1-1 0,1 0 1,-1 0-1,1-1 0,-1 1 0,4-3 1,-5 2 47,0 0 0,0 0 0,1 0 0,-2-1 0,1 1 0,0-1 0,0 1 0,-1-1 0,0 0 0,1 1 0,-1-1 0,0 0 0,0 0 0,0-5 0,2-5 97,-2 0 1,0 0 0,0 0-1,-2-15 1,1-2 1434,-8 104-1739,8-60 188,0 1 34,0 0-1,0 0 0,2 0 1,6 27-1,-7-38-72,0-1-1,0 1 1,1-1-1,-1 1 1,1-1 0,0 1-1,0-1 1,0 0-1,1 0 1,-1 0 0,1 0-1,0 0 1,0-1-1,0 1 1,0-1 0,0 0-1,0 0 1,0 0-1,1 0 1,-1 0 0,1-1-1,0 0 1,-1 0-1,6 1 1,-2 0-17,1-1 0,-1 0 0,1 0 0,-1-1 0,1 1 0,-1-2 0,0 1 0,1-1 1,8-3-1,-12 3 72,0 0 0,-1-1 0,1 1 0,-1-1 1,0 0-1,0 0 0,1 0 0,-1-1 1,-1 1-1,1-1 0,0 1 0,-1-1 0,1 0 1,-1 0-1,0 0 0,0-1 0,0 1 1,0 0-1,2-7 0,0-7 61,0-1 0,-1 1 0,0-1 0,-2 1 0,0-1-1,-3-35 1,0 6 767,2 46-828,0 0-1,0 1 1,0-1-1,0 1 1,0-1 0,0 1-1,-1-1 1,1 1 0,0-1-1,0 1 1,-1 0 0,1-1-1,0 1 1,-1-1 0,1 1-1,0 0 1,-1-1 0,1 1-1,0 0 1,-1-1 0,1 1-1,-1 0 1,1-1-1,-1 1 1,1 0 0,-1 0-1,1 0 1,-1 0 0,1-1-1,-1 1 1,1 0 0,-1 0-1,1 0 1,-1 0 0,1 0-1,-1 0 1,1 0 0,-1 0-1,1 1 1,-1-1-1,0 0 1,1 0 0,0 0-1,-1 0 1,1 1 0,-1-1-1,1 0 1,-1 1 0,1-1-1,-1 0 1,1 1 0,0-1-1,-1 0 1,1 1 0,0-1-1,-1 1 1,1-1 0,0 0-1,0 1 1,-1-1-1,1 1 1,0-1 0,0 1-1,0-1 1,0 1 0,-1-1-1,1 2 1,-1 2-75,-1 0 1,1 1-1,0-1 1,0 1-1,0 0 0,0-1 1,1 1-1,0 0 0,0-1 1,0 1-1,1 0 1,-1-1-1,1 1 0,0 0 1,1-1-1,1 6 0,-1-7 13,0 0-1,-1-1 0,1 1 0,0-1 0,1 1 0,-1-1 0,0 0 0,1 0 0,-1 0 0,1 0 0,0-1 1,-1 1-1,1-1 0,0 1 0,0-1 0,0 0 0,0 0 0,0 0 0,0 0 0,0-1 0,0 0 1,1 1-1,-1-1 0,5 0 0,-7 0 20,1-1-1,0 1 1,-1 0 0,1 0 0,-1 0 0,1-1 0,-1 1-1,1-1 1,-1 1 0,1-1 0,-1 0 0,0 0 0,1 0-1,-1 1 1,0-1 0,0 0 0,1 0 0,-1-1 0,0 1-1,1-2 1,1 0 11,-2-1-1,1 1 0,0-1 1,-1 1-1,0-1 1,0 0-1,0 1 0,1-7 1,-1-2 61,0 0 1,-1 0-1,0 0 1,-3-21-1,2 30 14,0 0-1,-1 0 1,1 1-1,0-1 0,-1 0 1,1 1-1,-1-1 1,0 1-1,0 0 1,0-1-1,0 1 0,0 0 1,0 0-1,-1 0 1,1 1-1,-1-1 0,1 1 1,-1-1-1,-4-1 1,5 2-27,0 0 0,0 1 0,0-1 0,0 0 0,0 1 0,0-1 0,0 1 1,0 0-1,0-1 0,0 1 0,0 0 0,0 1 0,0-1 0,-1 0 0,1 0 0,0 1 0,0-1 1,0 1-1,0 0 0,1 0 0,-1-1 0,0 1 0,0 0 0,0 1 0,1-1 0,-1 0 0,0 0 1,1 1-1,-3 2 0,0 3-16,1-1 0,-1 1 0,1 0 1,1 0-1,-1 0 0,1 1 0,1-1 1,-1 0-1,0 14 0,1 3 23,3 43 0,-2-61-34,1 0 0,1 0 0,-1 0 0,1 0 1,-1 0-1,2-1 0,-1 1 0,1-1 0,-1 1 0,2-1 0,-1 0 1,0 0-1,1 0 0,0-1 0,0 1 0,1-1 0,-1 0 1,1 0-1,7 4 0,-6-4-65,1 0 1,0-1-1,0 0 0,0 0 1,1-1-1,-1 0 0,0 0 1,1 0-1,-1-1 0,1 0 1,0-1-1,-1 0 0,1 0 1,0 0-1,7-2 1,-12 1 73,0 0 1,0-1 0,-1 1-1,1 0 1,0-1 0,-1 1-1,1-1 1,-1 0-1,0 0 1,0 0 0,0 0-1,0 0 1,0-1 0,0 1-1,0 0 1,-1-1 0,1 0-1,-1 1 1,1-1 0,-1 0-1,1-2 1,1-5 20,0-1-1,0 1 0,-1 0 1,2-18-1,-2-92 902,-3 68 914,1 51-1033,1 10-1168,0-3 276,1-1 0,0 1 0,0-1 0,0 1 0,1-1 0,-1 0-1,2 0 1,-1 0 0,0 0 0,1-1 0,0 1 0,0-1-1,0 0 1,8 5 0,-11-41 143,0 28-49,-1 0-1,0 1 0,-1-1 1,1 0-1,-1 0 0,0 0 1,0 0-1,-2-5 1,2 8-7,0-1 0,1 2 1,-1-1-1,0 0 1,0 0-1,0 0 1,0 0-1,0 0 1,0 1-1,0-1 0,0 0 1,0 1-1,0-1 1,0 1-1,0-1 1,0 1-1,-1 0 1,1-1-1,0 1 0,0 0 1,-1 0-1,1 0 1,0 0-1,0 0 1,0 0-1,-1 0 1,1 0-1,0 1 0,0-1 1,-1 0-1,1 1 1,-1 0-1,0 0-2,1 0-1,0 0 1,-1 0 0,1 0-1,0 0 1,0 0 0,0 0-1,0 1 1,0-1-1,0 1 1,0-1 0,0 0-1,0 1 1,1 0 0,-1-1-1,1 1 1,-1-1-1,1 1 1,-1 0 0,1-1-1,0 1 1,0 0 0,0 1-1,-2 49 3,3-42-1,-2 15 32,0-9-64,1 0 0,1 0 0,0 0 0,1 0 0,5 19 0,-6-31-22,0-1 1,1 1 0,-1 0 0,1-1 0,0 0 0,0 1-1,0-1 1,1 0 0,-1 0 0,1 0 0,-1 0 0,1-1-1,0 1 1,0-1 0,0 1 0,0-1 0,1 0 0,-1 0 0,1-1-1,-1 1 1,1-1 0,-1 1 0,1-1 0,0 0 0,0-1-1,0 1 1,3 0 0,2 0 21,0 0 0,0-1 0,0 0 0,0 0 0,0-1 0,0 0 0,10-3 0,-15 3 43,-1-1 0,1 1 0,0-1 0,-1 0 0,1 0 0,-1-1 0,0 1 0,1-1 1,-1 1-1,0-1 0,-1 0 0,1 0 0,0 0 0,-1-1 0,0 1 0,0-1 0,3-6 0,2-6 168,-1-1 1,-1-1-1,-1 1 0,4-26 0,-5 22 533,1 1-1,13-37 1,-17 57-710,0 0 0,0-1 1,0 1-1,0 0 0,1 0 0,-1-1 0,0 1 0,0 0 1,1 0-1,-1 0 0,0-1 0,0 1 0,1 0 0,-1 0 1,0 0-1,0-1 0,1 1 0,-1 0 0,0 0 0,1 0 1,-1 0-1,0 0 0,1 0 0,-1 0 0,0 0 0,1 0 1,-1 0-1,0 0 0,1 0 0,-1 0 0,0 0 0,1 0 1,-1 0-1,0 0 0,1 0 0,-1 1 0,0-1 0,0 0 1,1 0-1,-1 0 0,0 0 0,0 1 0,1-1 0,-1 0 1,0 0-1,0 1 0,1-1 0,-1 0 0,0 0 0,0 1 1,11 12-142,-7-5 133,11 17-123,-14-24 43,0 0 0,-1 0 0,1 0 0,0 0 0,0 0 0,0 0 0,0-1 0,0 1 0,0 0 0,0 0 0,0-1 0,0 1 0,0-1 0,0 1 0,0-1 0,1 1 0,-1-1 0,2 1 0,-2-3 82,0 1 1,-1-1-1,1 0 1,-1 1-1,0-1 1,1 0-1,-1 1 1,0-1-1,0 0 1,0 1-1,0-1 0,0 0 1,-1-1-1,1 1-3,0 0 12,0-1 0,0 1 0,0-1 1,0 1-1,-1 0 0,1-1 0,-1 1 0,0-1 1,0 1-1,0 0 0,0 0 0,0-1 0,0 1 1,-1 0-1,1 0 0,-1 0 0,1 0 0,-1 1 1,0-1-1,0 0 0,0 1 0,0-1 0,0 1 0,0 0 1,0-1-1,0 1 0,0 0 0,-1 0 0,1 1 1,0-1-1,-1 0 0,1 1 0,-1-1 0,1 1 1,0 0-1,-1 0 0,1 0 0,-1 0 0,1 0 1,-1 1-1,-2 0 0,3 0-4,0 0 0,1 0 0,-1 0 0,0 0 0,1 0 0,-1 0 0,1 1 0,0-1 0,-1 1 0,1-1 0,0 1 0,0-1 1,0 1-1,0 0 0,0 0 0,0-1 0,0 1 0,1 0 0,-1 0 0,1 0 0,-1 0 0,1 0 0,0 2 0,-6 49-6,5-33-32,1-1 0,1 1 1,1 0-1,0 0 1,10 35-1,-11-51-51,0-1 0,1 1 0,-1 0-1,1 0 1,0 0 0,0-1 0,0 1 0,0-1-1,1 0 1,0 0 0,-1 1 0,1-2 0,0 1-1,0 0 1,1-1 0,-1 1 0,1-1 0,-1 0 0,1 0-1,-1 0 1,1-1 0,0 1 0,0-1 0,0 0-1,0 0 1,0 0 0,0-1 0,0 1 0,0-1-1,1 0 1,-1 0 0,0-1 0,0 1 0,0-1 0,5-1-1,-6 1 81,0 0 0,0-1-1,0 1 1,0-1 0,0 0-1,-1 1 1,1-1 0,-1 0-1,1 0 1,-1-1-1,0 1 1,0 0 0,0-1-1,0 0 1,0 1 0,-1-1-1,1 0 1,-1 0 0,2-4-1,2-4 41,-2 0 0,1 0 0,-2 0 0,3-14 0,-2-1 596,-1 0-1,-1-1 0,-4-37 1,3 63-583,0 0 0,0 0 0,0 0 1,-1 0-1,1 0 0,0 0 1,-1 0-1,1 0 0,-1 0 0,1 0 1,-1 0-1,1 0 0,-1 0 1,0 1-1,1-1 0,-1 0 0,0 0 1,0 1-1,-1-2 0,2 2-45,-1 0 1,1 0-1,-1 0 0,1 0 0,-1 0 0,1 0 0,-1 0 1,1 0-1,-1 0 0,1 0 0,0 0 0,-1 0 0,1 0 1,-1 0-1,1 0 0,-1 1 0,1-1 0,0 0 0,-1 0 1,1 0-1,-1 1 0,1-1 0,0 0 0,-1 1 1,1-1-1,0 0 0,-1 1 0,1-1 0,0 0 0,0 1 1,-1-1-1,1 1 0,0-1 0,0 0 0,0 1 0,0-1 1,-1 1-1,1-1 0,0 1 0,0-1 0,0 1 0,0-1 1,0 0-1,0 2 0,-2 5-9,1 0 0,0 1 1,0-1-1,1 1 0,0 0 0,0-1 0,0 1 1,1-1-1,0 1 0,1-1 0,0 1 1,0-1-1,4 10 0,-4-13-60,0-1 0,1 1 0,-1-1 1,1 1-1,-1-1 0,1 0 0,0 0 0,0 0 0,0 0 1,1 0-1,-1-1 0,1 0 0,-1 1 0,1-1 0,0 0 0,0-1 1,0 1-1,0-1 0,0 0 0,0 0 0,0 0 0,0 0 1,1-1-1,-1 0 0,4 0 0,-6 0 69,-1 0 1,0-1-1,0 1 0,1-1 1,-1 1-1,0-1 0,0 1 0,0-1 1,0 0-1,0 1 0,0-1 1,0 0-1,0 0 0,0 0 1,0 0-1,0 0 0,0 0 1,-1 0-1,1 0 0,0 0 0,-1 0 1,1 0-1,-1-1 0,1 1 1,-1 0-1,0 0 0,1-1 1,-1 1-1,0-1 0,6-45 114,-6 38-96,6-156 3198,-6 185-3261,-1-2 37,1 0-1,5 34 1,-4-47-104,0-1 0,0 0 0,0 0-1,0 0 1,1 0 0,0 0 0,0 0 0,0-1 0,0 1 0,0 0 0,1-1 0,-1 0-1,1 1 1,0-1 0,0 0 0,0-1 0,8 6 0,-9-7-23,1 1 0,-1-1 1,1 0-1,-1 0 0,1-1 0,0 1 0,-1 0 1,1-1-1,0 0 0,-1 1 0,1-1 1,0 0-1,0 0 0,-1-1 0,1 1 0,0-1 1,4-1-1,-2 1 30,0-2 1,0 1-1,-1 0 1,1-1-1,-1 0 0,0 0 1,1-1-1,5-6 1,-2 1 105,0 1 0,-1-2 1,0 1-1,-1-1 1,0 0-1,-1-1 1,8-19-1,-11 24 358,-1-1 0,0 1 0,-1 0 0,1 0 0,-1-10 0,-1 6 1200,-1 20-1529,-2 6-6,2-1-1,-1 2 1,2-1 0,1 28-1,0-36-123,0-1-1,1 0 0,0 0 0,0 0 0,1 0 0,-1 0 0,2 0 1,-1-1-1,1 1 0,0 0 0,0-1 0,1 0 0,5 8 0,-6-12-10,-1 1-1,1-1 0,-1 0 0,1 0 0,-1 0 0,1 0 0,0-1 1,0 1-1,0-1 0,0 1 0,0-1 0,1 0 0,-1 0 1,0 0-1,0-1 0,1 1 0,-1-1 0,1 0 0,-1 0 0,0 0 1,1 0-1,-1-1 0,6-1 0,-4 0 96,1 1-1,-1-2 1,0 1-1,0-1 1,-1 1-1,1-1 1,-1-1-1,1 1 1,-1 0-1,0-1 1,0 0-1,0 0 1,4-7-1,4-7 320,-2-2 1,0 1-1,-1-1 0,0-1 0,-2 0 1,9-43-1,-5 23 1322,-11 40-1596,0 1-1,0 0 1,0-1-1,0 1 0,0 0 1,0-1-1,0 1 1,0 0-1,1-1 0,-1 1 1,0 0-1,0-1 1,0 1-1,0 0 0,0 0 1,1-1-1,-1 1 1,0 0-1,0-1 0,1 1 1,-1 0-1,0 0 1,0 0-1,1-1 0,-1 1 1,0 0-1,1 0 1,-1 0-1,0 0 0,1-1 1,-1 1-1,0 0 1,1 0-1,-1 0 0,0 0 1,1 0-1,-1 0 1,11 11 154,6 27-419,-15-34 336,1 6-46,11 19-352,-14-28 254,1 0 0,0 0-1,-1 0 1,1 0 0,0 0-1,0 0 1,0 0 0,-1 0-1,1 0 1,0-1 0,0 1-1,0 0 1,0-1 0,1 1-1,-1-1 1,0 1 0,0-1-1,0 1 1,0-1 0,0 0-1,3 1 1,-3-4 55,0 0 0,-1 0 0,1 1 0,0-1-1,-1 0 1,0 0 0,1 0 0,-1 0 0,0 0 0,-1 0 0,1-3-1,-1 0 9,1 3 1,-1 0 1,1 0-1,-1 0 0,0 0 1,0 0-1,0 0 0,-1 0 1,1 0-1,-1 1 0,1-1 1,-1 0-1,0 1 0,0-1 1,0 1-1,0 0 0,-1 0 1,1 0-1,-1 0 0,1 0 1,-1 0-1,0 1 0,1-1 1,-1 1-1,0 0 0,0 0 1,0 0-1,0 0 0,0 0 1,0 1-1,-1-1 0,1 1 1,0 0-1,0 0 0,0 0 0,0 0 1,-6 2-1,7-1-19,0 0 1,-1 1-1,1-1 0,0 1 0,0 0 0,0 0 1,0 0-1,0 0 0,0 0 0,1 0 0,-1 0 1,1 1-1,-1-1 0,1 0 0,0 1 0,0-1 1,0 1-1,0 0 0,0-1 0,1 1 0,-1 0 1,1 2-1,-3 12-4,1-1-1,0 20 1,1-19 13,0-5-17,1 0 0,0 0 0,1-1 0,0 1 0,3 14 0,-3-24-16,-1 0 0,1 1 0,0-1 1,0 0-1,0 1 0,0-1 1,0 0-1,1 0 0,-1 0 1,1 0-1,-1 0 0,1-1 1,0 1-1,-1 0 0,1-1 1,0 1-1,0-1 0,0 1 1,0-1-1,1 0 0,-1 0 1,0 0-1,1 0 0,-1-1 1,0 1-1,1 0 0,-1-1 0,1 0 1,-1 0-1,5 0 0,-4 1 13,0-2 0,0 1-1,0 0 1,1 0 0,-1-1-1,0 0 1,-1 1 0,1-1-1,0 0 1,0-1 0,0 1-1,0 0 1,-1-1-1,1 0 1,-1 1 0,5-5-1,-4 2 17,1-1-1,-1 0 1,1 1 0,-1-2-1,0 1 1,-1 0-1,0-1 1,2-5-1,4-16 168,-3 0-1,0 0 0,-1-1 1,-2 1-1,-1-1 0,-4-44 0,2 29 196,0 26-68,-1 0-1,-1 0 1,-1 0-1,-7-24 1,5 21 388,5 16-257,3 49-481,2 1 1,2-1 0,2 1 0,2-2-1,26 73 1,-33-106-136,1-1-1,0 0 0,1-1 1,0 1-1,8 11 1,-11-19 150,-1 0 0,1 0 0,0 0 0,0 0 0,0 0 0,0-1 0,0 1 1,0-1-1,1 1 0,-1-1 0,1 0 0,-1 0 0,1 0 0,-1 0 0,1 0 0,-1 0 0,1-1 0,0 1 0,-1-1 1,1 0-1,0 0 0,-1 0 0,1 0 0,0 0 0,-1-1 0,5 0 0,-4-1 39,0 1 1,0-1-1,0 0 0,0 0 0,0 0 0,0 0 1,-1-1-1,1 1 0,-1-1 0,1 0 1,-1 1-1,0-1 0,0 0 0,0 0 0,-1 0 1,1 0-1,-1-1 0,0 1 0,2-4 0,3-12 9,7-38 0,-13 56-12,3-23 20,0-1 0,-2-31 0,-1 49-16,-1 7-18,1 0 0,-1 0 1,0 0-1,1 0 0,-1 0 0,0 0 0,1 0 0,-1 0 0,1 0 0,-1 0 0,0 0 0,1 0 1,-1 1-1,1-1 0,-1 0 0,0 0 0,1 1 0,-1-1 0,1 0 0,-1 1 0,1-1 1,-1 1-1,0 0 0,-1 3 20,0 1 0,0 0 0,0 0 0,0 0 0,1 0 0,-1 0 0,1 1 1,1-1-1,-1 0 0,1 6 0,2 57-1258,-2-67 1139,1 0-1,0 0 1,0 0 0,-1 0-1,1 0 1,0 0 0,0-1-1,0 1 1,0 0-1,0 0 1,0 0 0,0-1-1,0 1 1,1-1-1,-1 1 1,0-1 0,0 1-1,0-1 1,1 0 0,-1 1-1,0-1 1,0 0-1,1 0 1,-1 0 0,0 0-1,1 0 1,-1 0-1,0-1 1,0 1 0,1 0-1,-1-1 1,0 1 0,0 0-1,0-1 1,0 0-1,1 1 1,-1-1 0,0 0-1,0 1 1,0-1-1,0 0 1,0 0 0,0-1-1,3-13 215,-1 1-1,0-1 0,-1 0 1,-1 0-1,-1 0 1,0-1-1,-4-25 0,4 39-4,0 0 0,0 0-1,0 0 1,0 1 0,0-1-1,-1 0 1,1 0 0,-1 0-1,1 1 1,-1-1 0,0 0-1,0 1 1,0-1 0,0 0-1,0 1 1,0-1 0,0 1-1,0 0 1,0-1 0,-1 1-1,1 0 1,-1 0 0,1 0-1,-1 0 1,1 0 0,-1 0-1,1 0 1,-1 0 0,0 1-1,0-1 1,1 1 0,-1-1-1,0 1 1,-3-1 0,4 2-92,0-1 0,0 1 0,0-1 0,0 1 0,0 0 0,0-1 0,1 1 0,-1 0 1,0 0-1,0-1 0,1 1 0,-1 0 0,1 0 0,-1 0 0,1 0 0,-1 0 1,1 0-1,-1 0 0,1 0 0,0 0 0,-1 0 0,1 0 0,0 0 0,0 2 1,-4 30-5,4-29 11,-1 15 1,-1 11 84,1 1 0,6 46-1,-5-69-141,1-1-1,1 0 1,-1 0-1,1 0 0,0 0 1,1 0-1,0 0 0,0-1 1,0 1-1,1-1 0,0 0 1,0 0-1,1 0 1,-1-1-1,1 1 0,8 6 1,-10-10 17,-1-1 1,1 1-1,0 0 1,-1-1-1,1 1 1,0-1-1,0 0 0,0 0 1,0 0-1,0 0 1,0-1-1,1 1 1,-1-1-1,0 0 1,0 1-1,0-2 1,1 1-1,-1 0 1,0-1-1,0 1 1,6-3-1,-6 2 46,1-1-1,0 0 1,-1-1-1,0 1 1,1 0-1,-1-1 1,0 0-1,0 0 1,0 0 0,0 0-1,-1 0 1,0 0-1,1-1 1,-1 1-1,3-8 1,4-13 427,0 0 0,-1-1 0,-2 0 1,-1 0-1,-1-1 0,-1 0 0,0-42 0,-3 67-415,1 0-1,-1 1 0,0-1 0,0 0 0,0 0 0,0 0 0,0 0 0,0 0 0,0 1 0,0-1 0,0 0 0,0 0 0,-1 0 1,1 0-1,0 1 0,-1-1 0,1 0 0,0 0 0,-1 1 0,1-1 0,-1 0 0,1 0 0,-1 1 0,1-1 0,-1 1 1,0-1-1,1 0 0,-1 1 0,0-1 0,1 1 0,-1 0 0,0-1 0,0 1 0,1 0 0,-1-1 0,0 1 0,0 0 0,0 0 1,-1-1-1,2 2-36,-1-1 0,1 1 0,-1 0 0,1-1 0,-1 1 0,1 0 0,-1-1 0,1 1 0,0 0 0,-1 0 0,1-1 0,0 1 0,0 0 0,-1 0 0,1 0 0,0-1 0,0 1 0,0 0 0,0 0 0,0 0 0,0 0 0,0 0 0,0 28 53,1-23-21,-1 1-71,0-1-1,1 0 1,0 0-1,1 0 1,-1 0 0,1 0-1,0 0 1,0 0 0,1 0-1,0-1 1,0 1 0,0-1-1,1 0 1,0 0 0,0 0-1,0 0 1,0-1 0,1 0-1,0 0 1,0 0-1,0 0 1,0-1 0,0 1-1,1-2 1,0 1 0,-1 0-1,1-1 1,0 0 0,0-1-1,0 1 1,11 0 0,-15-2 45,0 0 0,0 0 0,0 0 1,0 0-1,0 0 0,0-1 1,0 1-1,0-1 0,0 1 1,0-1-1,0 0 0,0 1 1,-1-1-1,1 0 0,3-3 1,-3 2 9,0-1 0,0 1 0,0-1 1,-1 0-1,1 0 0,-1 0 0,0 0 1,0 1-1,0-2 0,0-2 1,4-21 831,-2 0 1,-2 0 0,-1-38-1,0 53 917,-3 81-1937,1-44 193,1 1 1,1-1 0,1 1 0,6 32-1,-7-54-49,1 0 1,1 0-1,-1 0 0,0 0 0,1 0 0,0 0 1,0 0-1,0 0 0,1-1 0,-1 1 0,1-1 1,-1 0-1,1 0 0,0 0 0,1 0 0,3 3 1,-3-4-305,-1 0 0,1-1 0,0 1 0,-1-1 0,1 0 0,0 0 0,0 0 0,0 0 0,0-1 0,8 1 0,3-5-2886,2-17-2323</inkml:trace>
  <inkml:trace contextRef="#ctx0" brushRef="#br0" timeOffset="8525.75">5419 546 2161,'0'0'8567,"-5"-16"-7100,-14-50-13,18 64-1367,0-1-1,0 1 1,-1-1 0,1 1-1,-1-1 1,0 1 0,1 0 0,-1 0-1,0 0 1,0 0 0,-1 0-1,1 0 1,0 0 0,-1 1 0,1-1-1,-1 1 1,1 0 0,-1 0-1,0 0 1,1 0 0,-1 0-1,0 0 1,0 1 0,0-1 0,1 1-1,-1 0 1,0 0 0,0 0-1,0 0 1,0 1 0,0-1 0,1 1-1,-1-1 1,0 1 0,0 0-1,1 0 1,-1 1 0,0-1-1,1 0 1,0 1 0,-4 2 0,0 2-94,0 1 1,1 0 0,0 0 0,0 0-1,1 0 1,-1 1 0,2 0-1,-1 0 1,1 0 0,1 0 0,-1 0-1,1 0 1,1 1 0,-1-1 0,2 1-1,-1 0 1,1-1 0,0 1-1,3 12 1,-2-17-44,0 0 0,0 0 0,1 0 0,0 0 0,0-1 0,0 1 0,0-1 0,0 1 0,1-1 1,0 0-1,-1 0 0,1 0 0,0 0 0,1-1 0,-1 1 0,0-1 0,1 0 0,-1 0 0,1 0 0,0 0 0,-1 0 0,7 1 0,-3-1-24,0 1 0,0-2 0,0 1 0,0-1 0,0 0 0,1 0 0,-1 0 1,0-1-1,1-1 0,-1 1 0,0-1 0,8-2 0,-12 2 80,0-1 1,0 0 0,0 0-1,-1 0 1,1 0-1,0 0 1,-1 0-1,0-1 1,0 1-1,0-1 1,0 1 0,0-1-1,0 0 1,-1 0-1,1 0 1,-1 0-1,0 0 1,1 0 0,0-6-1,2-8 42,0 0-1,1-23 1,-5 37-39,2-14 17,0 5 114,0 0 1,-1 0 0,-1 0 0,0 0-1,-1 0 1,-2-13 0,3 25-143,0-1 1,-1 1-1,1-1 1,-1 1-1,1-1 1,-1 1-1,1-1 1,0 1-1,-1-1 1,0 1-1,1 0 1,-1-1-1,1 1 1,-1 0-1,1 0 1,-1-1-1,0 1 1,1 0-1,-1 0 1,0 0-1,1 0 1,-1 0-1,1 0 1,-1 0-1,0 0 1,1 0-1,-1 0 1,0 0-1,1 0 1,-1 0-1,0 1 1,-22 9-37,21-8-21,0 0-1,0 0 0,0 1 0,0-1 0,0 1 1,1-1-1,-1 1 0,1 0 0,-1 0 0,1 0 1,0 0-1,0 0 0,0 0 0,1 0 0,-1 0 1,1 0-1,0 0 0,-1 0 0,1 0 0,1 0 1,-1 0-1,0 1 0,1-1 0,0 0 0,-1 0 1,1 0-1,0 0 0,1-1 0,-1 1 0,0 0 1,1 0-1,0-1 0,0 1 0,-1-1 0,1 1 1,1-1-1,-1 0 0,0 0 0,1 0 0,-1 0 1,1 0-1,-1 0 0,1-1 0,0 1 0,0-1 1,-1 0-1,1 0 0,0 0 0,0 0 0,0-1 1,1 1-1,5 0 0,-4 0-39,1 0 1,-1-1-1,1 0 0,-1 0 0,1 0 1,-1 0-1,1-1 0,-1 0 1,1 0-1,-1 0 0,0-1 0,1 0 1,-1 0-1,0 0 0,0-1 1,0 0-1,-1 0 0,1 0 0,-1 0 1,1-1-1,-1 1 0,0-1 1,0 0-1,-1-1 0,1 1 0,-1-1 1,0 1-1,0-1 0,3-8 1,1-3 118,0 0 0,-2-1 0,0 0 0,0 0 0,-2-1 0,3-26 0,-4-107 2695,-2 136-2179,0 9-155,-1 0 1,1 0-1,-1 0 1,0 0-1,-3-8 1,4 13-281,-1 0 0,1-1 1,-1 1-1,0 0 1,1 0-1,-1-1 0,0 1 1,0 0-1,1 0 0,-1 0 1,0 0-1,0 0 1,0 0-1,-1 0 0,1 0 1,0 0-1,0 1 0,0-1 1,-1 0-1,1 1 1,0-1-1,-1 1 0,1 0 1,0-1-1,-1 1 0,1 0 1,-3-1-1,2 2-72,1-1-1,-1 0 1,1 1-1,0-1 0,-1 1 1,1-1-1,0 1 1,-1 0-1,1-1 1,0 1-1,0 0 0,-1 0 1,1 0-1,0 0 1,0 0-1,0 0 1,0 0-1,0 1 0,1-1 1,-1 0-1,0 0 1,0 1-1,1-1 1,-1 0-1,1 1 0,-1 1 1,-10 43 91,11-45-114,-5 49 335,3 95 0,2-82-132,3 20-25,2 0 0,5 0 0,3 0 0,41 139 0,-51-215-185,-1-1-1,1 1 0,0-1 1,0 0-1,1 0 0,0 0 1,0 0-1,9 9 0,-11-13 5,-1-1 1,0 0-1,0 0 0,1 1 0,-1-1 0,1 0 0,-1-1 1,1 1-1,0 0 0,-1 0 0,1-1 0,0 1 1,0-1-1,-1 1 0,1-1 0,0 0 0,0 1 0,-1-1 1,1 0-1,0 0 0,0-1 0,0 1 0,-1 0 1,1-1-1,0 1 0,0-1 0,-1 1 0,1-1 0,0 0 1,-1 1-1,1-1 0,-1 0 0,1 0 0,-1 0 1,1-1-1,-1 1 0,0 0 0,0 0 0,3-4 0,0 0 19,0-1-1,0 0 0,-1 0 0,1 0 1,-1 0-1,-1 0 0,1-1 0,-1 0 1,0 1-1,-1-1 0,2-11 0,-1-11-16,-1-43 0,-1 45-8,0 15 32,-1-1-1,0 1 1,0 1 0,-2-1-1,1 0 1,-1 0 0,-6-12-1,8 21-196,0-1 0,-1 1-1,0 0 1,0-1 0,0 1 0,0 0-1,0 0 1,-1 0 0,1 0 0,-1 1-1,0-1 1,1 1 0,-1-1-1,0 1 1,-1 0 0,1 0 0,0 1-1,-1-1 1,1 1 0,-1-1 0,1 1-1,-1 0 1,0 0 0,1 1-1,-1-1 1,-4 1 0,7 7-5771,2 1 625</inkml:trace>
  <inkml:trace contextRef="#ctx0" brushRef="#br0" timeOffset="10641.89">6388 162 816,'0'0'7257,"7"-1"-6112,22-8-33,-28 9-1028,0 0 1,0-1-1,0 1 1,0-1-1,-1 1 1,1-1-1,0 0 1,0 1-1,-1-1 0,1 0 1,-1 0-1,1 1 1,0-1-1,-1 0 1,0 0-1,1 0 0,-1 0 1,1 0-1,-1 1 1,0-1-1,0 0 1,1 0-1,-1 0 0,0 0 1,0 0-1,0 0 1,0 0-1,0 0 1,0 0-1,0 0 0,-1 0 1,1 0-1,0 0 1,-1-1-1,1 1-17,-1 0 1,1-1-1,-1 1 0,1 0 1,-1-1-1,0 1 0,1 0 0,-1 0 1,0 0-1,0 0 0,0 0 1,0 0-1,0 0 0,0 0 0,0 0 1,0 0-1,0 0 0,-1 1 0,0-2 1,-3 1-36,1 0 1,-1 1 0,0 0 0,1 0-1,-1 0 1,1 0 0,-1 0-1,1 1 1,-1 0 0,1 0 0,-1 0-1,1 1 1,0 0 0,-1-1-1,1 1 1,0 1 0,0-1-1,0 1 1,1-1 0,-1 1 0,1 0-1,-5 5 1,3-1 12,0 0 1,0 0-1,1 0 0,0 1 1,0 0-1,0-1 1,1 1-1,1 1 0,-1-1 1,1 0-1,-1 11 0,1-5-77,0-1 0,1 0-1,1 1 1,0-1-1,1 0 1,4 24 0,-4-33 12,0 0 0,0 0 0,1-1 0,-1 1 1,1 0-1,0 0 0,0-1 0,1 1 0,-1-1 0,1 0 1,-1 0-1,1 0 0,0 0 0,0 0 0,1 0 1,-1-1-1,0 0 0,1 1 0,0-1 0,-1-1 1,1 1-1,0 0 0,0-1 0,0 0 0,5 1 1,-2 0-366,-1-1 1,1 0 0,-1 0 0,1-1 0,-1 0 0,13-1-1,-18 0 378,-1 0-1,1 1 1,0-1 0,-1 0-1,1 0 1,-1 0-1,1 0 1,-1 0-1,0 1 1,1-1-1,-1 0 1,0 0-1,0 0 1,1 0-1,-1 0 1,0 0-1,0 0 1,0 0-1,0 0 1,-1 0 0,1 0-1,0 0 1,0 0-1,0 0 1,-1-1-1,-8-27 328,7 28-284,1-1 1,-1 1 0,0 0 0,0 0-1,0-1 1,0 1 0,1 0-1,-1 0 1,-1 1 0,1-1 0,0 0-1,0 1 1,0-1 0,0 1-1,0 0 1,0 0 0,-1 0 0,1 0-1,0 0 1,0 0 0,0 0-1,0 1 1,-1-1 0,1 1 0,0 0-1,0 0 1,0-1 0,0 1-1,0 0 1,1 1 0,-1-1 0,0 0-1,0 0 1,1 1 0,-1-1-1,1 1 1,-1 0 0,1-1 0,-1 1-1,1 0 1,0 0 0,0 0-1,0 0 1,0 0 0,0 2 0,-4 11-17,0-1 0,1 1 0,1 0 0,1 0 0,0 1 0,1-1 1,1 0-1,1 20 0,-1-33-18,1 0 0,-1 1 1,1-1-1,-1 0 0,1 0 0,0 0 0,0 1 0,0-1 1,0 0-1,0 0 0,0 0 0,1-1 0,-1 1 1,1 0-1,-1 0 0,1-1 0,0 1 0,0-1 0,-1 0 1,1 1-1,0-1 0,0 0 0,0 0 0,1 0 1,-1 0-1,0-1 0,0 1 0,4 0 0,6 2 46,0-2 0,0 1 0,1-2 0,13 0 0,-16 0 9,-6 0-54,0 0-1,-1 0 1,1-1 0,0 0-1,-1 1 1,1-1 0,-1-1 0,1 1-1,-1 0 1,0-1 0,0 0-1,1 0 1,-1 0 0,5-4-1,-3 1 12,-1 1-1,1-1 1,-1-1-1,0 1 0,-1-1 1,1 1-1,3-11 1,2-6 339,-1-1 0,-1 0 1,5-36-1,-10 51-129,-1-6 154,-1 11-225,0 0 0,0 1 0,1-1 0,-1 1 0,1-1 0,-1 1 0,1-1 0,0 1 0,0-1 0,0 1 0,3-5 0,-4 7-150,0 0-1,1 1 0,-1-1 0,1 0 1,-1 0-1,1 1 0,-1-1 0,1 0 1,-1 1-1,0-1 0,1 0 1,-1 1-1,0-1 0,1 1 0,-1-1 1,0 0-1,1 1 0,-1-1 0,0 1 1,0-1-1,0 1 0,1-1 0,-1 1 1,0-1-1,0 1 0,0-1 1,0 1-1,0-1 0,0 1 0,0 0 1,0-1-2,10 38-87,30 146-636,-40-183 697,0-1 0,-1 1 1,1-1-1,0 1 0,0-1 1,0 1-1,0-1 0,0 1 0,0-1 1,0 1-1,0-1 0,1 1 0,-1-1 1,0 1-1,0-1 0,0 1 1,0-1-1,1 1 0,-1-1 0,0 1 1,0-1-1,1 0 0,-1 1 0,0-1 1,1 1-1,-1-1 0,1 0 1,-1 1-1,0-1 0,1 0 0,-1 0 1,1 1-1,-1-1 0,1 0 0,-1 0 1,1 0-1,-1 0 0,1 1 0,-1-1 1,1 0-1,-1 0 0,1 0 1,-1 0-1,1 0 0,-1 0 0,1 0 1,-1 0-1,1-1 0,-1 1 0,1 0 1,-1 0-1,1 0 0,-1 0 1,0-1-1,1 1 0,-1 0 0,1 0 1,-1-1-1,1 1 0,-1 0 0,0-1 1,1 1-1,-1-1 0,0 1 1,1 0-1,-1-1 0,1 0 0,21-30 157,-9 2 218,17-53 1,-20 51 209,20-42 1,-30 71-546,1 1 0,-1 0 0,1-1 0,-1 1 0,1 0 0,0 0 0,0-1 0,0 1 0,0 0 0,0 0 0,0 0 1,0 0-1,0 0 0,3-1 0,-4 2-17,1 0 0,-1 0 0,1 0 0,-1 0 0,0 0 0,1 0 0,-1 0-1,1 0 1,-1 1 0,1-1 0,-1 0 0,0 0 0,1 0 0,-1 1 0,0-1 0,1 0 0,-1 0 0,1 1 0,-1-1 0,0 0 0,0 1 0,1-1 0,-1 0 0,0 1 0,0-1 0,1 1 0,-1-1 0,0 0 0,0 1 0,1 0 0,1 7-68,1 0 0,-1 0 0,3 16 0,-2-9 166,0 0-205,2-1 1,-1 0 0,2 0 0,11 22-1,-15-33 29,-1-1 0,1 1-1,-1-1 1,1 1 0,0-1-1,0 0 1,0 0-1,0 0 1,1 0 0,-1 0-1,0 0 1,1 0-1,-1-1 1,1 1 0,0-1-1,-1 0 1,1 0 0,0 0-1,0 0 1,0 0-1,0-1 1,0 0 0,0 1-1,0-1 1,0 0 0,0 0-1,0 0 1,-1-1-1,1 1 1,0-1 0,3 0-1,-2-1 67,-1 0-1,-1 0 1,1 0-1,0 0 0,0 0 1,-1 0-1,1-1 1,-1 1-1,0-1 0,1 1 1,-1-1-1,-1 0 0,1 0 1,0 0-1,-1 0 1,2-5-1,18-56 157,-15 37 589,-1 0 1,-1-1 0,0-39-1,-4 67-520,0 3-354,0 0 109,0 0 1,1 0-1,-1 0 1,1 0-1,-1 0 0,1 0 1,1 4-1,-1-6 19,6 15-328,-7-15 339,0-1 1,0 0-1,0 0 0,0 0 0,0 0 0,0 0 1,1 0-1,-1 0 0,0 0 0,0 1 1,0-1-1,0 0 0,0 0 0,0 0 0,0 0 1,0 0-1,1 0 0,-1 0 0,0 0 1,0 0-1,0 0 0,0 0 0,0 0 0,0 0 1,1 0-1,-1 0 0,0 0 0,0 0 0,0 0 1,0 0-1,0 0 0,0 0 0,1 0 1,-1 0-1,0 0 0,0 0 0,0 0 0,0 0 1,0 0-1,0 0 0,0-1 0,1 1 1,-1 0-1,0 0 0,0 0 0,0 0 0,0 0 1,0 0-1,0 0 0,0 0 0,0-1 1,5-28-79,-6 29 74,0-1 1,0 1 0,0-1 0,0 1 0,0 0-1,-1 0 1,1 0 0,0 0 0,0 0 0,0 0 0,0 0-1,0 0 1,0 0 0,0 0 0,0 0 0,-1 1-1,1-1 1,0 0 0,0 1 0,0-1 0,0 1 0,0-1-1,1 1 1,-1 0 0,-1 0 0,-2 4 6,1 0-1,0 0 1,0 0 0,1 1-1,-1-1 1,1 1 0,1-1-1,-1 1 1,1 0 0,-2 10 0,0 62 2,3-73-4,0 0 8,0 0 1,1 0-1,0 1 1,0-1-1,0 0 1,1 0-1,0 0 1,0 0-1,0-1 1,0 1-1,1 0 1,0-1-1,0 0 0,0 1 1,0-1-1,1 0 1,0-1-1,-1 1 1,2-1-1,-1 0 1,8 5-1,-7-4 26,1-1-1,0-1 0,0 1 1,0-1-1,1 0 0,-1 0 1,0 0-1,1-1 1,-1 0-1,1-1 0,0 1 1,-1-1-1,1 0 0,-1-1 1,1 0-1,-1 0 0,9-2 1,-11 1 43,-1 0 0,0 0 0,0 0 1,0 0-1,0 0 0,0-1 0,0 1 1,0-1-1,-1 0 0,0 1 0,1-1 0,-1-1 1,0 1-1,0 0 0,-1 0 0,1-1 0,-1 1 1,0-1-1,1 1 0,-2-1 0,2-4 1,2-11 323,-1-1 0,1-31 1,-4 44-341,0-21 15,0 25-180,-1 15 69,0-1 82,0-5-58,1 0 1,-1-1-1,1 1 0,1 0 1,-1 0-1,3 7 1,-3-11-7,1-1 1,-1 0-1,1 1 1,0-1-1,-1 0 1,1 0 0,0 0-1,0 1 1,0-1-1,0 0 1,0 0-1,0-1 1,0 1-1,1 0 1,-1 0 0,0 0-1,0-1 1,1 1-1,-1-1 1,0 1-1,1-1 1,-1 1-1,0-1 1,1 0 0,-1 1-1,1-1 1,-1 0-1,1 0 1,2-1-1,-1 1 8,0 0-1,0 0 0,0-1 0,0 1 0,0-1 1,0 0-1,-1 0 0,1 0 0,0 0 0,0 0 0,-1-1 1,1 1-1,-1-1 0,1 1 0,-1-1 0,0 0 1,4-4-1,-2 1 13,0 0 1,-1 0 0,1-1 0,-1 1 0,-1-1-1,1 1 1,-1-1 0,2-7 0,0-3 31,0 0 0,-2-1-1,0 1 1,-1 0 0,-2-31 0,1 45-19,-1 0-1,1-1 0,-1 1 0,0 0 0,1 0 0,-1 0 0,0 0 1,0 1-1,-1-1 0,1 0 0,0 0 0,-1 1 0,1-1 1,-1 1-1,1-1 0,-1 1 0,0-1 0,0 1 0,1 0 0,-1 0 1,0 0-1,0 0 0,0 0 0,0 1 0,0-1 0,0 0 1,-1 1-1,1 0 0,0-1 0,0 1 0,0 0 0,0 0 0,0 0 1,-1 1-1,1-1 0,0 0 0,0 1 0,0-1 0,0 1 1,0 0-1,0 0 0,0 0 0,0 0 0,0 0 0,0 0 0,0 0 1,1 0-1,-1 1 0,1-1 0,-1 1 0,1-1 0,-1 1 1,-1 3-1,-2 11-6,0 2 1,1-1-1,0 0 1,2 1-1,0 0 1,1-1-1,1 1 1,2 18 0,-2 1 62,0-30-63,0 0 0,1 0 0,0 0 0,0 0 0,1 0 0,-1 0 0,1-1 0,1 1-1,0 0 1,0-1 0,0 0 0,0 1 0,1-1 0,5 5 0,-6-7 5,0-1-1,0 0 0,0 0 0,1 0 1,0-1-1,-1 1 0,1-1 0,0 0 1,0 0-1,1 0 0,-1-1 1,0 1-1,0-1 0,1 0 0,-1 0 1,1-1-1,-1 1 0,1-1 1,-1 0-1,1 0 0,-1-1 0,1 1 1,5-2-1,-6 1 4,-1-1 0,1 1 0,0-1 0,-1 0 1,1 0-1,-1 0 0,0 0 0,0 0 0,0-1 0,0 0 0,0 1 0,-1-1 0,1 0 1,-1 0-1,1-1 0,2-5 0,3-6 38,0-1-1,8-24 1,1-14 159,-2-2 1,-3 0 0,-2 0-1,-2-1 1,-1-106 0,-7 161-176,0 1 0,0-1 0,0 0 1,0 0-1,-1 1 0,1-1 0,0 0 0,-1 1 1,0-1-1,1 1 0,-1-1 0,0 1 1,-2-3-1,-4 3 253,0 15-298,3 13 44,1 1 0,1 0 0,2 0 0,0 0 0,2-1 0,1 1 0,9 34 0,-7-37 32,32 120 94,-32-131-145,0 0 0,1 0 0,0-1 1,1 0-1,1 0 0,0-1 0,17 21 0,-23-31-1,0 0-1,1 0 0,-1 0 0,0 0 0,1 0 0,-1 0 1,1-1-1,0 1 0,-1-1 0,1 0 0,0 0 1,0 0-1,0 0 0,0 0 0,0-1 0,0 1 0,0-1 1,5 0-1,-7 0-48,0-1-1,-1 1 1,1 0 0,0-1 0,0 1 0,0-1-1,-1 1 1,1-1 0,0 0 0,0 1 0,-1-1-1,1 0 1,-1 0 0,1 1 0,-1-1 0,1 0 0,-1 0-1,1 0 1,-1 0 0,0 1 0,1-1 0,-1 0-1,0 0 1,0 0 0,0 0 0,0 0 0,1 0-1,-1 0 1,-1 0 0,1-1 0,0-38-5165,0 31 1563,0-12-7578</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3:41.090"/>
    </inkml:context>
    <inkml:brush xml:id="br0">
      <inkml:brushProperty name="width" value="0.05" units="cm"/>
      <inkml:brushProperty name="height" value="0.05" units="cm"/>
      <inkml:brushProperty name="color" value="#E71224"/>
    </inkml:brush>
  </inkml:definitions>
  <inkml:trace contextRef="#ctx0" brushRef="#br0">50 1057 1201,'0'0'10719,"-8"-2"-9790,-2 0-691,-21-7 1242,42 5-1289,-1 0 1,1 1-1,0 1 1,0 0 0,1 0-1,13 0 1,15-2-58,-8-1-169,10-1-664,1-1 0,81-27 0,-121 33 356,0 0 0,1 0-1,-1 0 1,0-1 0,-1 1-1,1-1 1,0 0-1,0 1 1,-1-1 0,1 0-1,-1-1 1,1 1 0,-1 0-1,0-1 1,0 1-1,2-4 1,-2-13-3904</inkml:trace>
  <inkml:trace contextRef="#ctx0" brushRef="#br0" timeOffset="215.65">317 844 1873,'0'0'9297,"8"0"-8464,6-1-648,-1 0 0,1 2 0,0-1 0,-1 2 0,1 0 0,-1 1 0,1 0 0,-1 1 0,0 0 0,0 1 0,-1 0 0,1 1 0,20 14 0,-32-19-201,1 1 0,0-1 0,-1 0-1,1 1 1,-1-1 0,0 1-1,1-1 1,-1 1 0,0 0 0,0 0-1,0 0 1,0-1 0,0 1-1,-1 0 1,1 0 0,0 0 0,-1 0-1,0 0 1,1 0 0,-1 0 0,0 0-1,0 1 1,0-1 0,0 0-1,-1 0 1,1 0 0,0 0 0,-1 0-1,1 0 1,-1 0 0,0 0 0,0 0-1,0-1 1,0 1 0,0 0-1,0 0 1,0-1 0,-1 1 0,1-1-1,-3 3 1,-7 6-916,0 0 0,0-1-1,-1 0 1,-20 11 0,19-12-1562,-2 1-3781</inkml:trace>
  <inkml:trace contextRef="#ctx0" brushRef="#br0" timeOffset="683">825 733 3698,'0'0'11175,"9"-4"-10756,51 1-193,-50 3-365,0 1-1,0-2 1,1 1-1,-1-2 1,0 1-1,0-1 1,0-1-1,14-4 1,-23 6 152,0 1 1,0-1-1,0 0 1,0 1-1,0-1 1,0 0-1,0 1 1,0-1-1,-1 0 1,1 0 0,0 0-1,0 0 1,-1 0-1,1 0 1,-1 0-1,1 0 1,0 0-1,-1 0 1,0 0 0,1 0-1,-1 0 1,0-1-1,0 1 1,1 0-1,-1 0 1,0 0-1,0 0 1,0-1 0,-1 1-1,1 0 1,0 0-1,0 0 1,-1 0-1,1-1 1,0 1-1,-1 0 1,1 0-1,-1 0 1,1 0 0,-1 0-1,0 0 1,0 0-1,1 0 1,-1 1-1,0-1 1,0 0-1,0 0 1,0 0 0,0 1-1,0-1 1,0 1-1,0-1 1,0 1-1,0-1 1,0 1-1,0-1 1,0 1 0,0 0-1,-1 0 1,1 0-1,0-1 1,-2 2-1,1-1 29,1 0 1,-1 0-1,1 0 0,0 0 0,-1 1 1,1-1-1,0 1 0,-1-1 0,1 1 1,0-1-1,0 1 0,0 0 0,-1 0 1,1 0-1,0-1 0,0 1 0,0 0 1,0 0-1,0 0 0,1 1 0,-1-1 0,0 0 1,0 0-1,1 0 0,-1 1 0,1-1 1,-1 0-1,1 0 0,-1 1 0,1-1 1,0 0-1,0 1 0,-1-1 0,1 1 1,0-1-1,1 2 0,-2 11 33,0 0 0,4 26 0,-2-26 173,3 16-78,1-1 0,1-1 0,2 1 0,17 41 1,6 22-48,-24-67-490,-2 0 0,0 0 1,-2 0-1,0 40 1,-3-65 228,0 1-1,1-1 1,-1 0 0,0 1 0,0-1-1,0 0 1,0 0 0,0 1 0,0-1 0,0 0-1,0 1 1,0-1 0,0 0 0,0 0-1,0 1 1,-1-1 0,1 0 0,0 1 0,0-1-1,0 0 1,0 0 0,0 1 0,-1-1-1,1 0 1,0 0 0,0 0 0,0 1-1,0-1 1,-1 0 0,1 0 0,0 0 0,0 1-1,-1-1 1,1 0 0,0 0 0,0 0-1,-1 0 1,1 0 0,0 0 0,-1 0 0,1 0-1,0 0 1,0 1 0,-1-1 0,1 0-1,0 0 1,-1-1 0,1 1 0,0 0 0,-1 0-1,0 0-391</inkml:trace>
  <inkml:trace contextRef="#ctx0" brushRef="#br0" timeOffset="2009.52">1077 794 6531,'0'0'10351,"-3"-12"-10105,10 61 957,44 91-411,-36-105-1095,-1 1-1,-2 1 1,8 44 0,-20-81 288,0 0 1,0 0-1,0 0 1,0 1-1,0-1 1,0 0-1,0 0 1,0 0-1,0 0 1,0 1-1,0-1 1,0 0-1,0 0 1,0 0-1,0 0 1,0 0-1,0 1 1,1-1-1,-1 0 1,0 0-1,0 0 1,0 0-1,0 0 1,0 0 0,0 1-1,0-1 1,0 0-1,0 0 1,1 0-1,-1 0 1,0 0-1,0 0 1,0 0-1,0 0 1,0 0-1,0 0 1,1 0-1,-1 1 1,0-1-1,0 0 1,0 0-1,0 0 1,0 0-1,1 0 1,-1 0-1,0 0 1,0 0-1,0 0 1,0 0 0,0 0-1,1-1 1,-1 1-1,0 0 1,0 0-1,0 0 1,0 0-1,0 0 1,1 0-1,-1 0 1,0 0-1,0 0 1,0 0-1,0-1 1,6-9 207,-1-10-148,-2 0 0,0 0 0,0-32 1,-2 27 115,7-46 1,-8 70-146,0 1 1,0-1-1,0 0 0,1 0 1,-1 0-1,0 0 0,1 0 1,-1 0-1,0 0 0,1 0 0,-1 0 1,1 1-1,-1-1 0,1 0 1,0 0-1,-1 1 0,1-1 1,0 0-1,-1 1 0,1-1 0,1 0 1,-1 1-30,0 0 1,-1 0-1,1 0 0,0 0 1,0 0-1,-1 0 1,1 0-1,0 0 1,0 0-1,-1 1 1,1-1-1,0 0 0,-1 0 1,1 1-1,0-1 1,-1 1-1,1-1 1,0 1-1,-1-1 1,2 1-1,2 4-52,0-1 0,0 1 0,0 0 1,6 10-1,14 32 69,17 29-441,-37-71 228,-1 0 0,1 0 0,0 0 0,1 0 0,-1 0 0,1-1 0,0 0 0,0 0 0,0-1 0,10 6 0,-13-8 136,0 1-1,1-1 1,0 0 0,-1 0 0,1 0-1,0 0 1,-1 0 0,1-1 0,0 1-1,0-1 1,0 0 0,0 1 0,0-1 0,-1-1-1,1 1 1,0 0 0,0-1 0,0 1-1,0-1 1,-1 0 0,1 0 0,0 0-1,-1 0 1,1-1 0,-1 1 0,1-1 0,-1 1-1,0-1 1,0 0 0,1 0 0,-1 0-1,-1 0 1,1 0 0,0-1 0,0 1-1,-1 0 1,1-1 0,-1 1 0,0-1 0,2-4-1,1-7 283,0 0 0,0 0 0,-2 0 0,1-1 0,-2 1 0,0-24 0,0 28 252,-1-18 778,0 28-1202,0-1 0,0 0 1,0 1-1,0-1 0,0 1 1,0-1-1,0 1 0,0-1 0,-1 0 1,1 1-1,0-1 0,0 1 0,0-1 1,-1 1-1,1-1 0,0 1 0,-1-1 1,1 1-1,0-1 0,-1 1 1,1-1-1,-1 1 0,1 0 0,-1-1 1,1 1-1,-1 0 0,1-1 0,-1 1 1,1 0-1,-1 0 0,1-1 0,-1 1 1,0 0-46,0 1 1,1-1-1,-1 1 1,0-1 0,1 1-1,-1-1 1,1 1-1,-1-1 1,1 1-1,-1-1 1,1 1-1,0 0 1,-1-1 0,1 1-1,0 0 1,-1-1-1,1 1 1,0 0-1,0 0 1,-1-1-1,1 1 1,0 0 0,0 0-1,0-1 1,0 1-1,0 0 1,0 1-1,0 28-114,0-24 69,0-3-29,0 0 1,1 0 0,-1 0 0,1 0 0,-1 0 0,1 1 0,0-1 0,0 0 0,0-1 0,1 1 0,-1 0 0,1 0 0,-1 0 0,1-1 0,0 1 0,0-1 0,3 3 0,-2-3-231,-1 1-1,1-1 1,0 0 0,0-1 0,1 1 0,-1 0 0,0-1-1,0 0 1,1 0 0,-1 0 0,1 0 0,-1 0-1,1-1 1,-1 1 0,5-1 0,-7-1 293,0 1-1,1 0 1,-1-1 0,0 0-1,0 1 1,0-1 0,0 0-1,0 1 1,0-1 0,0 0-1,0 0 1,0 0 0,0 0-1,0 0 1,0 0 0,-1 0 0,1 0-1,0 0 1,-1 0 0,1-1-1,-1 1 1,1 0 0,-1 0-1,0-1 1,1 1 0,-1 0-1,0 0 1,0-1 0,0 1-1,0 0 1,0-3 0,-1-53 1330,1 46-593,-1 7-443,0-1 1,0 0-1,-1 1 0,1-1 0,-1 1 1,0-1-1,0 1 0,0 0 0,-1 0 1,-4-6-1,7 9-228,-1-1 0,0 1-1,0 0 1,0-1 0,0 1 0,0 0 0,0 0-1,-1 0 1,1 0 0,0 0 0,0 0 0,-1 0 0,1 1-1,-1-1 1,1 0 0,-1 1 0,1-1 0,-1 1-1,1-1 1,-1 1 0,1 0 0,-1 0 0,0 0-1,1-1 1,-1 2 0,1-1 0,-1 0 0,1 0-1,-1 0 1,0 1 0,1-1 0,-1 1 0,1-1 0,-3 2-1,2 0-50,0 0 0,1 0 0,-1 0 0,1 0 0,-1 0 0,1 0 0,0 0 0,0 0 0,0 0 0,0 1 0,0-1 0,0 1 0,1-1 0,-1 0 0,1 1 0,-1 3 0,0 47-79,1-40 58,0-1 13,0 0 0,1 0-1,0 0 1,1 0 0,1 0-1,0-1 1,6 15-1,-8-22-97,1 0-1,0 0 1,0-1-1,0 1 0,1-1 1,-1 1-1,1-1 0,0 0 1,0 0-1,0 0 0,0-1 1,0 1-1,1-1 0,-1 1 1,1-1-1,-1 0 0,1-1 1,0 1-1,0-1 0,0 1 1,0-1-1,0 0 0,0-1 1,7 1-1,-7 0-20,0-1 0,0 0 0,0 0 0,0 0 1,0 0-1,0-1 0,0 0 0,0 1 0,0-2 0,0 1 0,0 0 0,0-1 0,6-3 0,-6 2 152,-1 0-1,1-1 1,-1 1-1,0-1 1,-1 1-1,1-1 1,0 0-1,-1 0 1,0 0-1,0 0 1,0-1-1,1-5 1,3-19 2175,-2-1-1,0 1 1,-2-47 0,-3 101-2309,0-12 164,1 1 0,0-1 0,1 1 0,4 21 0,-4-32-127,0-1 0,-1 1 1,1-1-1,0 1 0,0-1 0,0 0 1,0 0-1,0 0 0,1 1 1,-1-1-1,1 0 0,-1-1 0,1 1 1,0 0-1,0 0 0,0-1 0,0 1 1,0-1-1,0 1 0,0-1 1,0 0-1,1 0 0,-1 0 0,0 0 1,1-1-1,-1 1 0,1 0 0,-1-1 1,1 0-1,-1 0 0,4 0 1,-4 1 54,1-1 1,0 0-1,-1 0 1,1-1-1,-1 1 1,1-1-1,0 1 1,-1-1-1,0 0 1,1 0 0,-1 0-1,1 0 1,-1 0-1,0 0 1,0-1-1,1 1 1,-1-1-1,2-2 1,-1 0 32,-1 1 0,0-1 0,0 0 0,0 0 0,0 0 0,-1-1 0,1 1 0,-1 0 0,0 0 0,0-6 0,2-8 661,-1 0 0,-1 0 0,0 0 0,-4-28 0,3 46-640,0-1 0,0 1 1,0 0-1,1-1 1,-1 1-1,0 0 1,0-1-1,0 1 0,0 0 1,0-1-1,0 1 1,0-1-1,0 1 0,0 0 1,-1-1-1,1 1 1,0 0-1,0-1 0,0 1 1,0 0-1,0-1 1,-1 1-1,1 0 1,0-1-1,0 1 0,0 0 1,-1 0-1,1-1 1,0 1-1,-1 0 0,1 0 1,0-1-1,0 1 1,-1 0-1,1 0 0,0 0 1,-1 0-1,1-1 1,0 1-1,-1 0 1,1 0-1,-1 0 0,1 0 1,0 0-1,-1 0 1,1 0-1,-1 1-27,0 0 1,0 0-1,1 0 0,-1 0 1,0 0-1,1 0 0,-1 0 1,1 0-1,0 0 0,-1 0 1,1 0-1,0 0 0,0 1 1,-1-1-1,1 0 0,0 1 1,-1 21-7,0 1 1,2-1-1,0 0 1,2 0-1,1 0 1,0-1-1,2 1 1,0-1 0,12 26-1,48 86-6,-36-74 26,25 66 1,-53-121-99,0 0 0,-1 0 1,0 0-1,0 0 0,0 0 0,0 7 1,-2-12-204,-1 0 1,1-1-1,0 1 1,-1 0-1,1 0 1,0-1-1,-1 1 1,1 0-1,0-1 1,0 1-1,-1-1 1,1 0-1,0 1 1,-2-3-1,-13-17-2411,4-6-1704</inkml:trace>
  <inkml:trace contextRef="#ctx0" brushRef="#br0" timeOffset="4410.19">2311 1044 7668,'0'0'8993,"0"-1"-8991,0 1 0,-1 0 0,1-1 0,0 1 0,-1 0 0,1-1 0,0 1 0,-1 0 0,1 0 0,0-1 1,-1 1-1,1 0 0,-1 0 0,1 0 0,-1-1 0,1 1 0,-1 0 0,1 0 0,0 0 0,-1 0 0,1 0 0,-1 0 0,1 0 0,-1 0 0,0 0 0,0 5 2,-1 0-1,1 0 0,1 0 0,-1 0 1,1 0-1,0 0 0,0 0 0,0 0 0,1 0 1,0 0-1,0 0 0,0 0 0,2 6 1,0-8-25,-1-1 1,1 1-1,0-1 1,0 0-1,0 1 1,0-1-1,0 0 1,0-1-1,1 1 1,-1-1-1,1 1 1,-1-1-1,1 0 1,-1 0-1,6 0 1,-6 0-10,0 0 0,0-1 0,0 0 0,0 1 0,0-1 0,0 0 1,0 0-1,-1-1 0,1 1 0,0-1 0,0 1 0,0-1 0,0 0 1,-1 0-1,1 0 0,0-1 0,-1 1 0,1 0 0,-1-1 0,4-3 1,-3 1 28,0 0 0,0-1 1,-1 0-1,1 0 0,-1 1 1,0-2-1,-1 1 0,1 0 1,-1 0-1,0 0 0,0-7 1,1-63 471,-3 45 98,-3-9 242,4 37-710,0 0 0,0 0 0,-1 0 0,1 0 0,-1 0 0,0 0 0,1 0 0,-1 0 1,0 0-1,0 1 0,0-1 0,0 0 0,-1 1 0,1-1 0,0 1 0,-3-3 0,3 4 38,1 4-172,0 1 0,0-1 1,0 1-1,0 0 0,1-1 0,-1 1 1,1-1-1,1 0 0,-1 1 0,0-1 1,1 0-1,0 1 0,0-1 0,0 0 1,1-1-1,0 1 0,-1 0 0,1-1 0,0 1 1,0-1-1,1 0 0,-1 0 0,1 0 1,6 3-1,-4-2-205,0 0 1,1 0-1,-1-1 0,1 0 1,0 0-1,0-1 0,1 0 1,-1 0-1,0 0 0,0-1 1,15 0-1,-21-1 244,0 0 0,0-1 0,1 1 1,-1-1-1,0 0 0,0 1 0,0-1 0,1 0 0,-1 0 0,0 1 1,0-1-1,0 0 0,0 0 0,-1 0 0,1 0 0,0 0 1,0-1-1,-1 1 0,1 0 0,0 0 0,-1 0 0,1-1 0,-1 1 1,0 0-1,1-1 0,-1 1 0,0 0 0,0-1 0,0-2 1,3-46 811,-3 44-623,0-40 2401,0 45-2239,0 16-626,1-4 242,0 0 0,0 0 0,1 0 1,0 0-1,1 0 0,1 0 0,-1 0 0,2-1 1,8 17-1,-10-22-125,0 0 0,0-1 0,0 1 1,0-1-1,1 0 0,-1 0 0,1 0 1,0-1-1,1 1 0,-1-1 0,0 0 0,1 0 1,0 0-1,0-1 0,-1 1 0,2-1 0,-1-1 1,0 1-1,0-1 0,0 1 0,1-1 0,6 0 1,-10-2 137,0 1 0,0 0 0,0-1 0,0 1 0,0-1 0,0 0 0,0 0 0,0 0 0,-1 0 0,1 0 0,0 0 0,-1 0 0,1 0 0,0-1 0,-1 1 0,0-1 0,1 1 0,-1-1 0,0 0 0,0 1 0,0-1 0,0 0 0,0 0 0,0 0 0,0 0 0,-1 1 0,1-1 0,-1 0 0,1 0 0,-1-5 0,3-7 176,-2-1 1,0 0-1,-1-18 0,0 22 79,-1-48 1459,1 53-929,-1 38-801,2-30-12,-1 0 0,0 1 0,1-1 1,-1 0-1,1 0 0,0 1 0,0-1 0,0 0 0,0 0 0,0 0 1,0 0-1,0 0 0,1 0 0,-1 0 0,1 0 0,-1-1 1,1 1-1,0 0 0,0-1 0,0 0 0,0 1 0,0-1 0,0 0 1,0 0-1,2 1 0,1 0-96,-1-1 0,0 1 1,1-1-1,-1 0 0,0 0 0,1-1 1,0 1-1,-1-1 0,1 0 1,-1 0-1,1 0 0,6-2 0,-9 1 135,-1 0 0,1 0 0,-1 0-1,0 0 1,0 0 0,1 0 0,-1 0 0,0 0-1,0-1 1,0 1 0,0 0 0,0-1-1,0 1 1,-1 0 0,1-1 0,0 1 0,-1-1-1,1 0 1,-1 1 0,0-1 0,1 1-1,-1-1 1,0 0 0,0 1 0,0-3 0,-1-48 421,1 43-155,-1 6-186,1 1 1,-1-1-1,0 1 1,0 0-1,0-1 1,0 1-1,0 0 1,0 0-1,0-1 0,-1 1 1,1 0-1,-1 1 1,0-1-1,1 0 1,-1 0-1,0 1 1,0-1-1,0 1 0,0-1 1,0 1-1,0 0 1,-1 0-1,-3-2 1,4 3-68,1-1 1,-1 0-1,1 1 0,-1-1 1,1 1-1,-1 0 0,1 0 1,-1-1-1,0 1 1,1 0-1,-1 0 0,0 0 1,1 1-1,-1-1 1,0 0-1,1 1 0,-1-1 1,1 1-1,-1-1 1,1 1-1,-1 0 0,1-1 1,0 1-1,-1 0 1,1 0-1,0 0 0,-1 0 1,1 0-1,0 1 1,0-1-1,0 0 0,0 1 1,0-1-1,0 0 1,-1 3-1,-1 6-11,1 0 0,0 0 1,0 0-1,1 0 0,1 1 0,-1-1 0,2 0 1,-1 0-1,1 1 0,1-1 0,0 0 0,0 0 1,1-1-1,0 1 0,1 0 0,0-1 0,1 0 1,0 0-1,8 12 0,-9-15-94,0 0 0,0 0 1,0 0-1,1-1 0,0 1 0,0-1 1,1 0-1,0-1 0,-1 1 0,1-1 0,1 0 1,-1-1-1,1 1 0,-1-1 0,1-1 1,0 1-1,0-1 0,0 0 0,0-1 1,1 0-1,-1 0 0,14 0 0,-19-1 94,0 0 0,0-1 0,0 1 0,0-1 0,0 1 0,0-1 0,-1 0 0,1 1 0,0-1 0,0 0 0,-1 0 0,1 0 0,-1-1 0,1 1 0,-1 0 0,1-1 0,-1 1 0,0 0 0,0-1 0,1 0 0,-1 1 0,0-1 0,0 0 0,-1 1 0,2-5 0,2-5 71,0 0 0,-1-1 1,2-14-1,-2 9 115,26-162 2617,-23 158-2346,-6 21-450,1-1-1,-1 1 1,0 0-1,0 0 0,0 0 1,0-1-1,0 1 1,1 0-1,-1 0 0,0 0 1,0-1-1,0 1 1,1 0-1,-1 0 1,0 0-1,0 0 0,0 0 1,1 0-1,-1-1 1,0 1-1,0 0 1,1 0-1,-1 0 0,0 0 1,1 0-1,-1 0 1,0 0-1,0 0 1,1 0-1,-1 0 0,0 0 1,0 0-1,1 0 1,-1 1-1,3 1-28,-1 0 0,0 0 0,0 0 0,0 0 0,0 0-1,0 1 1,0-1 0,1 4 0,-1-3-62,0 1 1,0-1-1,0 0 0,1-1 0,-1 1 0,1 0 0,4 3 1,-6-6 84,-1 0 0,0 0 1,1 0-1,-1 0 0,0-1 1,1 1-1,-1 0 0,0 0 0,1-1 1,-1 1-1,0 0 0,1-1 1,-1 1-1,0 0 0,0 0 1,1-1-1,-1 1 0,0-1 1,0 1-1,0 0 0,0-1 1,1 1-1,-1 0 0,0-1 1,0 1-1,0-1 0,0 1 1,0 0-1,0-1 0,0 1 0,0-1 1,0 1-1,0-1 0,0 1 1,0 0-1,-1-1 0,2-24 100,-2 21-102,1 3-4,0 0-1,0-1 1,0 1 0,0 0 0,0-1-1,-1 1 1,1 0 0,0 0-1,-1-1 1,0 1 0,1 0-1,-1 0 1,1 0 0,-1 0 0,0 0-1,0 0 1,0 0 0,0 0-1,0 0 1,0 0 0,0 0-1,0 0 1,0 1 0,0-1 0,0 0-1,0 1 1,0-1 0,-1 1-1,1-1 1,0 1 0,-1 0-1,1-1 1,0 1 0,0 0 0,-1 0-1,1 0 1,0 0 0,-1 0-1,1 0 1,0 1 0,-1-1-1,1 0 1,0 1 0,0-1 0,-1 0-1,1 1 1,0 0 0,0-1-1,0 1 1,0 0 0,0-1 0,0 1-1,0 0 1,0 0 0,0 0-1,0 0 1,0 0 0,0 0-1,1 0 1,-2 3 0,-2 6-97,2 0 0,-1 1-1,1 0 1,1-1 0,0 1 0,0 0 0,1 0 0,1-1-1,-1 1 1,2 0 0,0-1 0,0 1 0,1-1 0,0 1-1,0-1 1,1 0 0,1 0 0,0-1 0,0 1 0,1-1 0,0 0-1,1-1 1,14 16 0,-17-21 83,0 0 0,-1 0 0,1-1 1,0 0-1,1 1 0,-1-1 0,0-1 0,1 1 0,-1-1 0,1 1 1,-1-1-1,1-1 0,-1 1 0,1-1 0,0 1 0,-1-1 0,1-1 1,0 1-1,-1-1 0,1 1 0,0-1 0,-1-1 0,1 1 0,-1-1 1,0 0-1,0 0 0,1 0 0,-1 0 0,0-1 0,-1 1 0,1-1 1,0 0-1,-1 0 0,1-1 0,-1 1 0,0-1 0,0 1 0,-1-1 0,1 0 1,-1 0-1,0 0 0,0-1 0,0 1 0,2-7 0,2-15 730,0 0 0,4-50 0,-2 17 263,-8 59-973,0 1 0,0 0 1,0-1-1,1 1 0,-1-1 0,0 1 0,1-1 1,-1 0-1,0 1 0,1-1 0,-1 1 0,1-1 1,-1 0-1,1 1 0,-1-1 0,0 0 0,1 1 1,-1-1-1,1 0 0,0 0 0,-1 1 0,1-1 1,-1 0-1,1 0 0,-1 0 0,1 0 0,-1 0 1,1 0-1,0 0 0,-1 0 0,1 0 0,-1 0 1,1 0-1,-1 0 0,1 0 0,-1 0 0,1-1 0,0 1 1,-1 0-1,1 0 0,-1-1 0,1 1 0,-1 0 1,0-1-1,1 1 0,-1 0 0,1-1 0,-1 1 1,0-1-1,1 1 0,-1-1 0,0 1 0,1-1 1,-1 1-1,0-1 0,0 1 0,1-1 0,-1 1 1,0-1-1,0 1 0,0-1 0,0 1 0,0-1 1,0 0-1,0 1 0,0-1 0,0 0 0,16 27-75,-12-18-504,1 0 0,0-1 1,0 0-1,6 8 0,-10-40 382,-1 23 249,0 0 0,-1 0 0,1 0 0,0 0 0,-1 0 0,1 0 0,-1 0 0,1 1 0,-1-1 0,0 0 0,0 0 0,0 0 0,0 1 0,0-1 0,-1 0 0,1 1 0,0-1 0,-1 1 0,1-1 0,-1 1 0,1 0 0,-1 0 0,0 0 0,-3-2 0,1 1 10,1 1-1,-1 0 1,0 0 0,0 0 0,1 0 0,-1 0 0,0 1 0,0 0 0,0 0 0,0 0 0,0 0 0,-5 2 0,7-2-66,-1 1 0,1 0 0,0 1 1,0-1-1,0 0 0,0 0 1,0 1-1,0 0 0,0-1 0,0 1 1,1 0-1,-1 0 0,1 0 1,-1 0-1,1 0 0,0 0 0,0 0 1,0 0-1,0 1 0,0-1 1,0 0-1,1 1 0,-1-1 0,1 0 1,-1 4-1,-1 8-1,0 0-1,1 27 1,1-41 6,0 9-2,0 1 1,1-1 0,0 1 0,0-1 0,1 0 0,1 0 0,4 13-1,-5-19-45,-1 1 0,1-1-1,0 0 1,0 1-1,0-1 1,1-1 0,-1 1-1,1 0 1,-1 0 0,1-1-1,0 1 1,0-1-1,0 0 1,0 0 0,1 0-1,-1-1 1,0 1-1,1-1 1,-1 1 0,1-1-1,6 1 1,-7-1 16,1-1 0,0 1 1,-1-1-1,1 0 0,0 1 0,0-2 1,-1 1-1,1 0 0,0-1 1,-1 0-1,1 0 0,-1 0 0,1 0 1,-1 0-1,1-1 0,-1 0 1,0 1-1,0-1 0,1 0 0,2-4 1,-2 2 40,-1 0-1,0 0 1,0-1 0,0 1 0,-1-1 0,0 0 0,0 1-1,0-1 1,0 0 0,-1 0 0,0 0 0,0 0 0,0-1-1,-1-4 1,3-23 417,-2-37 0,-1 59-90,-1 0 1,-1 0 0,0 1-1,0-1 1,-1 0-1,0 1 1,-7-14-1,7 58-223,3-23-156,1 1-1,0-1 1,0 1-1,1-1 1,1 0 0,7 21-1,-7-26-13,0 1 1,0-1-1,1 0 1,0 0-1,0 0 0,0 0 1,1 0-1,0-1 0,0 0 1,0 0-1,1 0 0,8 5 1,-11-8-22,0 0 0,1 0 1,-1-1-1,0 1 0,1-1 0,-1 0 1,1 0-1,-1 0 0,1 0 1,-1 0-1,1-1 0,0 0 0,-1 0 1,1 0-1,4 0 0,-5-1 84,-1 0-1,0 0 0,0 1 1,1-1-1,-1-1 0,0 1 1,0 0-1,0 0 0,0-1 1,0 0-1,0 1 0,-1-1 1,1 0-1,0 0 0,-1 1 1,1-1-1,-1 0 1,0-1-1,0 1 0,0 0 1,0 0-1,0 0 0,1-4 1,3-15 342,-1-1 1,0 0-1,-2 0 1,0 0 0,-3-30-1,1 42 68,0 9-170,-3 4-205,0 13-73,1 0 1,1 0 0,0 1-1,1-1 1,4 31-1,-4-44-14,1 0 0,-1 1 0,1-1 0,0 0 0,0 0 1,0 0-1,0 0 0,0 0 0,1-1 0,-1 1 0,1 0 0,0 0 0,0-1 0,0 0 0,0 1 0,0-1 0,1 0 0,-1 0 0,1 0 0,-1 0 0,1 0 0,0-1 0,3 2 0,2 0-120,0 0 1,0-1-1,0 0 1,0 0-1,0-1 1,1 0-1,12-1 1,-17-1 182,-1 1 0,0-1 1,0 0-1,1-1 0,-1 1 0,0 0 1,0-1-1,0 0 0,-1 0 0,1 1 1,0-2-1,-1 1 0,1 0 0,-1 0 1,0-1-1,0 0 0,0 1 0,0-1 1,0 0-1,0 0 0,-1 0 0,3-5 1,3-8 590,-1-1 0,9-32 0,-9 15 955,-6 31-910,0 12-408,0 2-366,0 16 97,-1-14-1,1 0 1,0 0-1,1-1 0,4 20 1,-4-28-206,1 0 1,-1 0 0,1 0 0,0 0-1,0 0 1,0-1 0,0 1 0,0-1-1,1 0 1,0 1 0,0-1 0,0 0-1,0-1 1,0 1 0,0-1 0,1 1-1,-1-1 1,5 2 0,24 8-3311,7-6-2214</inkml:trace>
  <inkml:trace contextRef="#ctx0" brushRef="#br0" timeOffset="4847.37">4259 899 6915,'0'0'13505,"-16"-16"-12408,-52-46-436,66 60-642,0 0 0,-1 1 1,1-1-1,0 1 0,0 0 0,0-1 0,-1 1 0,1 0 0,-1 1 0,1-1 1,-1 0-1,1 1 0,-1-1 0,0 1 0,-4 0 0,5 0-13,1 0-1,-1 1 1,0-1-1,0 1 1,0 0 0,1-1-1,-1 1 1,0 0-1,1 0 1,-1 0-1,1 0 1,-1 1-1,1-1 1,0 0 0,-1 1-1,0 1 1,-2 2-3,0 1 1,1 0-1,0 0 1,1-1-1,-1 2 1,1-1-1,0 0 1,-1 9-1,2-8-4,-1 0-1,2 0 0,-1 0 1,1 0-1,0 0 0,0 0 0,1-1 1,0 1-1,0 0 0,3 7 1,-3-11-50,0 0 1,1 0 0,-1 0 0,1-1 0,0 1 0,0 0 0,0-1 0,0 1-1,1-1 1,-1 0 0,0 0 0,1 0 0,0 0 0,-1 0 0,1 0 0,0-1-1,0 1 1,0-1 0,0 0 0,0 0 0,0 0 0,0 0 0,4 0-1,-3 0-32,-1 0 0,1-1-1,-1 1 1,1 0-1,0-1 1,-1 0-1,1 0 1,0 0 0,-1-1-1,1 1 1,-1-1-1,1 0 1,-1 1 0,1-2-1,-1 1 1,1 0-1,-1-1 1,0 0-1,0 1 1,0-1 0,0 0-1,0-1 1,0 1-1,0-1 1,-1 1-1,1-1 1,-1 0 0,0 0-1,0 0 1,0 0-1,0 0 1,0 0-1,-1 0 1,1-1 0,-1 1-1,1-7 1,4-10 130,0-1 0,-2 0 1,-1 0-1,1-37 0,-9-87 2118,2 113-519,-15-60 0,16 156-768,7-32-856,1-1 0,2 0 0,1 0 0,25 57 0,14 47-20,-41-106-180,-2 0 0,0 0 0,-1 33 0,-3 2-5193,-1-55 107</inkml:trace>
  <inkml:trace contextRef="#ctx0" brushRef="#br0" timeOffset="7007.66">4810 955 5346,'0'0'8989,"-2"11"-8733,2-6-218,-1 0 0,1 0 0,0 0 0,1 0 0,-1-1 1,1 1-1,0 0 0,0 0 0,1-1 0,-1 1 0,1-1 0,0 1 1,3 5-1,-3-7-32,1-1-1,-1 1 1,1 0 0,0-1 0,0 0 0,0 1 0,0-1 0,0 0 0,1-1-1,-1 1 1,0 0 0,1-1 0,-1 0 0,1 0 0,0 0 0,-1 0 0,1-1-1,5 1 1,-3 0 13,0 0 0,0-1 0,1 0 0,-1 0-1,0-1 1,0 0 0,-1 0 0,1 0 0,0 0-1,0-1 1,0 0 0,5-3 0,-7 2-6,-1 1-1,1-1 1,-1 0 0,1 0 0,-1 0 0,0 0-1,0-1 1,-1 1 0,1-1 0,-1 0 0,0 0-1,0 0 1,0 0 0,0 0 0,-1 0 0,1 0-1,0-5 1,2-13 831,-1-1 0,0 1 0,-2-45-1,-1 54 576,-7 35-896,5-3-513,1 1-1,1-1 1,1 0-1,1 0 1,0 0-1,1 0 1,1-1-1,12 33 1,30 48 4,-21-49-21,33 97 0,-55-135-290,-1-1 1,0 0-1,-1 1 0,0 0 1,-1 11-1,0-22 257,0 0 0,-1 0-1,1 0 1,-1-1 0,1 1 0,0 0 0,-1-1-1,1 1 1,-1 0 0,1-1 0,-1 1-1,0-1 1,1 1 0,-1-1 0,0 1-1,1-1 1,-1 1 0,0-1 0,0 0-1,1 1 1,-1-1 0,0 0 0,0 0 0,0 0-1,1 1 1,-1-1 0,0 0 0,0 0-1,0 0 1,1 0 0,-1 0 0,0 0-1,-1-1 1,-29-3-203,28 2 240,-1 0 1,0 0-1,0 0 1,1-1-1,-1 0 1,1 1-1,0-1 1,0 0-1,0-1 1,0 1-1,0 0 1,1-1-1,-1 0 1,1 0-1,0 1 1,0-1-1,1 0 1,-1 0-1,1-1 1,0 1-1,-1-6 1,-2-11 93,2 1 1,0 0-1,2-25 1,0 38-43,0-7 2,1 1 1,1-1-1,1 1 0,0-1 1,0 1-1,1 0 0,1 0 1,0 1-1,1-1 1,8-12-1,10-13-83,52-60 0,-14 18-21,-62 79 44,1 0 1,-1 0-1,1 1 0,-1-1 0,1 0 1,-1 1-1,1-1 0,-1 0 0,1 1 1,0-1-1,-1 0 0,1 1 1,0-1-1,0 1 0,-1 0 0,1-1 1,0 1-1,0-1 0,0 1 0,0 0 1,0 0-1,-1 0 0,1-1 0,0 1 1,0 0-1,0 0 0,0 0 0,0 0 1,0 0-1,0 1 0,-1-1 0,1 0 1,0 0-1,0 0 0,0 1 1,0-1-1,-1 1 0,1-1 0,1 1 1,3 3 29,-1 0 1,0 1 0,0-1-1,0 1 1,5 7 0,13 15 26,-21-26-39,0 0-1,0 0 0,1 0 0,-1 0 1,0 0-1,0 0 0,1-1 0,-1 1 0,0 0 1,1-1-1,-1 1 0,0-1 0,1 1 1,-1-1-1,1 0 0,-1 0 0,1 0 1,-1 0-1,1 0 0,-1 0 0,3 0 0,-3-1 7,0 0 0,-1 0-1,1 0 1,0 0 0,0 0-1,0 0 1,-1 0-1,1 0 1,-1 0 0,1-1-1,-1 1 1,1 0 0,-1 0-1,1-1 1,-1 1 0,0 0-1,0 0 1,0-1-1,0 1 1,0 0 0,0-1-1,0-1 1,0-3 12,0 0 0,0-1 1,-1 1-1,1-1 0,-1 1 0,-1 0 0,-2-10 0,3 14-15,-1 0 0,1 0 0,0 1 0,-1-1 1,1 0-1,-1 0 0,1 1 0,-1-1 0,0 1 0,0 0 0,0-1 0,0 1 0,0 0 0,0 0 0,0 0 0,0 0 0,0 0 0,0 1 0,0-1 0,-1 1 0,1 0 0,0-1 0,-1 1 0,-3 0 0,4 0-15,-1 0 1,0 0 0,0 0 0,1 0 0,-1 0 0,0 1 0,0-1 0,1 1-1,-1-1 1,0 1 0,1 0 0,-1 0 0,1 1 0,-1-1 0,1 0 0,0 1-1,0 0 1,-1-1 0,-1 3 0,1 0-4,1 0-1,-1 0 0,1 0 1,-1 0-1,1 0 1,1 1-1,-1-1 1,1 0-1,-1 1 0,0 7 1,0-2 4,1-1 1,-1 1-1,2 0 1,-1 0-1,1 0 0,1 0 1,0-1-1,0 1 1,5 16-1,-4-21-49,0 0-1,0 0 1,0-1-1,1 1 1,0 0-1,0-1 1,0 0-1,1 0 1,-1 0-1,1 0 1,0 0-1,0-1 1,0 1-1,1-1 1,-1 0-1,1-1 1,0 1-1,-1-1 1,7 3-1,-5-3-101,-1-1 0,0 1 1,0-1-1,0 0 0,1 0 0,-1 0 0,1-1 0,-1 0 1,0 0-1,11-2 0,-13 2 139,0-1 0,0 0-1,-1 0 1,1 0 0,0 0 0,-1-1-1,1 1 1,0-1 0,-1 1 0,0-1 0,1 0-1,-1 0 1,0 0 0,0 0 0,0-1 0,0 1-1,-1-1 1,1 1 0,-1-1 0,3-4-1,0-4 122,-1-1 0,1 1-1,-2-1 1,0 0 0,1-21-1,-2-53 2547,-2 66-1181,1 40-1460,1 0 0,1 0 0,6 33 0,-6-46-158,-1-1-1,1 1 0,1-1 0,-1 0 0,1 0 0,1 0 0,-1 0 0,1 0 0,0-1 0,0 1 0,0-1 1,1 0-1,0 0 0,0-1 0,7 5 0,-10-7 78,0-1 1,0 1-1,0-1 1,0 0-1,0 0 0,1 0 1,-1 0-1,0 0 1,1 0-1,-1-1 0,1 1 1,-1-1-1,1 0 1,-1 0-1,1 0 0,-1 0 1,1 0-1,-1 0 1,0-1-1,5 0 0,-4 0 52,-1-1 0,1 0-1,0 1 1,-1-1 0,1 0-1,-1 0 1,1-1 0,-1 1-1,0 0 1,0-1 0,0 1-1,0-1 1,2-5 0,2-4 142,-1-1 0,0 0 1,-1 0-1,-1-1 0,0 1 1,1-15-1,0-77 2759,-4 82-1883,-9 59-1060,9-25-110,-1 0 0,2-1 0,-1 1 0,2-1 0,-1 1 0,1-1 0,1 1 0,0-1 0,0 0 0,8 16 0,-8-21 70,0 0 0,0-1-1,0 1 1,1 0 0,0-1 0,-1 0 0,1 0-1,1 0 1,-1 0 0,1-1 0,-1 0-1,1 0 1,0 0 0,0 0 0,0-1-1,1 0 1,-1 0 0,1 0 0,-1-1 0,1 0-1,9 1 1,-12-1 38,0-1-1,0 0 0,-1 0 1,1 0-1,0 0 1,0 0-1,-1 0 1,1-1-1,0 0 1,0 1-1,-1-1 0,1 0 1,-1 0-1,1 0 1,-1-1-1,4-1 1,-4 1 55,0-1 0,0 1 0,0-1 0,0 0 0,-1 0 0,1 1 1,-1-1-1,1 0 0,-1 0 0,0 0 0,0-1 0,-1 1 0,2-6 1,1-17 736,-1-1 1,0 1 0,-6-53-1,2 74-485,0 16-76,-1 16-39,3-17-217,0-1-1,1 1 0,0-1 1,1 1-1,0-1 0,0 0 1,6 14-1,-6-19 20,1 1-1,-1-1 1,1 0 0,-1 0-1,1 0 1,0 0 0,1 0-1,-1-1 1,1 1 0,0-1-1,0 0 1,0 0-1,0 0 1,0-1 0,0 0-1,8 4 1,-8-5-28,0 1 1,0-1-1,1 0 0,-1 0 0,0 0 1,1-1-1,-1 1 0,0-1 0,1 0 1,-1 0-1,0-1 0,1 1 0,-1-1 1,6-1-1,-7 1 94,-1-1-1,1 1 1,0-1 0,0 1 0,-1-1-1,1 0 1,0 0 0,-1 0 0,0-1-1,0 1 1,0 0 0,0-1 0,0 0-1,0 1 1,0-1 0,-1 0 0,1 0-1,-1 0 1,1-4 0,3-11 333,0 0 1,-2 0-1,0-1 1,-1 1-1,-1-1 1,-1 1-1,-4-37 1,0 41 377,-1 19-534,0 22-227,5-19 53,0-1 0,1 0 0,0 1 0,0-1 0,1 0 1,0 0-1,0 0 0,1 0 0,4 7 0,-5-10-74,0 0 1,0-1-1,1 1 0,0-1 0,-1 1 1,1-1-1,1 0 0,-1 0 1,0 0-1,1-1 0,-1 1 1,1-1-1,0 0 0,0 0 0,0 0 1,8 2-1,-10-3 52,0-1-1,0 1 0,0-1 1,0 1-1,0-1 1,0 0-1,0 0 1,0 0-1,0 0 1,0 0-1,0-1 1,0 1-1,0-1 1,0 1-1,0-1 1,0 0-1,0 1 1,0-1-1,0 0 1,0 0-1,-1-1 0,1 1 1,0 0-1,-1 0 1,1-1-1,-1 1 1,0-1-1,1 0 1,-1 1-1,0-1 1,0 0-1,0 0 1,0 1-1,0-1 1,0 0-1,-1 0 1,2-4-1,1-8 252,0 1 0,-1-1 0,0 0 0,-1-21 0,0 23 32,-2-6 195,1-8 567,1 23-625,2 13-248,-1 2-348,3 15 284,13 42 0,4-24-1869,-19-41 1192,-1-1 0,1 1 0,0-1 0,0 0 0,0 0 0,0 0 0,1 0 0,5 3 0,21 7-6833</inkml:trace>
  <inkml:trace contextRef="#ctx0" brushRef="#br0" timeOffset="7884.3">6755 782 7700,'0'0'6354,"0"17"-5727,0 7-476,1 85 464,-1-107-597,1 0 0,0-1 1,-1 1-1,1 0 0,0-1 0,0 1 0,0 0 0,0-1 1,0 1-1,1-1 0,-1 0 0,0 1 0,1-1 0,-1 0 1,1 0-1,-1 0 0,1 0 0,0 0 0,-1 0 0,1 0 1,0 0-1,0-1 0,-1 1 0,1-1 0,0 0 0,0 1 1,0-1-1,0 0 0,0 0 0,-1 0 0,1 0 0,0 0 1,0 0-1,0-1 0,0 1 0,0-1 0,-1 1 0,1-1 1,0 0-1,0 0 0,1-1 0,1-1-7,0-1 0,-1 0 0,1 0 0,-1 0 0,0 0 0,0 0 0,0-1 0,-1 1 0,0-1 1,0 0-1,0 0 0,0 0 0,-1 0 0,2-10 0,1-6 188,-1 0 0,0-28 0,-3 26 191,2 12-62,-2-1-1,1 0 1,-2 1 0,1-1-1,-2 1 1,1-1-1,-2 1 1,1 0 0,-2-1-1,-5-13 1,7 37 296,6 12-714,3-9 126,1 0 1,1 0 0,17 22 0,12 21 50,-34-51-157,22 47 202,-25-50-296,1-1-1,-1 1 1,0 0 0,0 0 0,-1-1 0,1 1-1,-1 0 1,1 0 0,-1 0 0,-1 0 0,1 0 0,-2 7-1,1-9 52,0-1 0,-1 0 1,1 0-1,0 0 0,-1 0 0,1 0 0,-1 0 0,1 0 0,-1-1 0,1 1 0,-1 0 0,0-1 0,1 1 0,-1-1 1,0 0-1,0 1 0,1-1 0,-1 0 0,0 0 0,-2-1 0,-39-1-330,39 0 627,1 0 1,-1-1-1,0 1 1,1-1-1,0 1 1,0-1 0,0 0-1,0 0 1,0-1-1,0 1 1,1 0-1,-1-1 1,1 0-1,0 1 1,0-1 0,-2-7-1,5 14-183,0 0-1,0 0 1,0 0-1,0 0 1,0 0 0,0 0-1,1 0 1,0 0-1,-1-1 1,1 1-1,0 0 1,1-1 0,-1 0-1,0 1 1,0-1-1,1 0 1,0 0 0,5 2-1,-1 1-3,1 0 0,-1-1 0,1 0 0,0-1 0,0 0 0,11 3-1,-13-5-79,1 1-1,-1-1 0,1 0 1,0-1-1,-1 0 0,1 0 1,0 0-1,-1-1 0,1 0 1,0 0-1,9-4 0,-11 3 64,-1 0-1,1-1 1,0 0-1,-1 0 0,1-1 1,-1 1-1,0-1 1,0 0-1,0 0 1,-1 0-1,1 0 1,-1-1-1,0 1 0,3-7 1,1-3 34,0-2 0,-1 1 0,0-1 0,-1 0 0,-1 0 0,4-33 0,-5 10 150,-2-71 1,-2 98 119,-1 0 1,0-1 0,0 1 0,-1 0-1,-1 0 1,-10-22 0,11 31 828,1 11-889,1 17-571,1-21 434,2 29 23,0 0 0,3 0 0,0 0-1,14 43 1,-3-27-1399,2 0 0,26 51 0,-42-98-689</inkml:trace>
  <inkml:trace contextRef="#ctx0" brushRef="#br0" timeOffset="8879.14">7160 749 3906,'0'0'10986,"9"-5"-10852,-4 3-120,-2 0-11,-1 1-1,0 0 1,1 0 0,0 0-1,-1 0 1,1 0-1,0 0 1,-1 1 0,1-1-1,0 1 1,0 0-1,-1 0 1,1 0 0,0 0-1,0 0 1,-1 0 0,1 1-1,0 0 1,0-1-1,-1 1 1,1 0 0,3 2-1,4 3-96,1 0 1,-1-1-1,1 0 0,1-1 0,-1 0 0,1-1 0,-1 0 1,1-1-1,0-1 0,0 1 0,23-2 0,-34 0 124,1-1-1,0 1 0,-1-1 0,1 0 0,0 1 1,-1-1-1,1 0 0,-1 0 0,0 0 0,1 0 1,-1 0-1,0 0 0,1-1 0,-1 1 0,0 0 1,0-1-1,0 1 0,0 0 0,0-1 0,-1 0 1,1 1-1,0-1 0,-1 1 0,1-1 0,-1 0 1,1 1-1,-1-1 0,0 0 0,0-2 0,2-9 1261,-1-1 0,0-23-1,-2 26 380,1 11-1668,-1 0 0,0 1 1,0-1-1,1 0 0,-1 1 0,0-1 0,0 0 1,1 1-1,-1-1 0,1 1 0,-1-1 0,0 1 1,1-1-1,-1 1 0,1 0 0,-1-1 0,1 1 1,-1 0-1,0 0 0,0 2-45,0 0 1,0 0-1,0 0 0,0 0 1,0 1-1,0-1 0,1 0 0,0 0 1,0 0-1,-1 0 0,2 1 1,-1-1-1,0 0 0,1 0 1,-1 0-1,1 0 0,2 6 1,-2-7-48,1 0 1,-1 0 0,1 0-1,-1 0 1,1-1 0,0 1-1,-1 0 1,1-1 0,0 1 0,0-1-1,0 0 1,0 0 0,0 0-1,1 0 1,-1 0 0,0 0-1,0 0 1,1-1 0,-1 1-1,0-1 1,1 0 0,-1 1 0,0-1-1,4-1 1,-4 2 84,-1-1 1,1 0-1,0 0 1,-1 0-1,1 0 0,0 0 1,-1-1-1,1 1 1,-1 0-1,1-1 0,0 1 1,-1-1-1,1 0 1,-1 1-1,1-1 0,-1 0 1,0 0-1,1 0 0,-1 0 1,0 0-1,0 0 1,1 0-1,-1 0 0,0-1 1,0 1-1,0 0 1,-1-1-1,1 1 0,0-1 1,0 1-1,-1-1 1,1 1-1,-1-1 0,1 0 1,-1 1-1,0-1 1,0 1-1,0-1 0,0-3 1,2-8 194,-1 1 0,0-1 0,-1 1 1,0-1-1,-1 1 0,-3-14 0,4 24-119,-1-1 0,0 0 0,0 1 0,0-1 0,0 1-1,0-1 1,0 1 0,0-1 0,-1 1 0,0 0 0,1 0 0,-1 0 0,0 0 0,0 0-1,0 0 1,0 0 0,0 0 0,0 1 0,-1-1 0,1 1 0,-1 0 0,1 0-1,-1 0 1,1 0 0,-1 0 0,1 0 0,-1 0 0,0 1 0,1 0 0,-1-1 0,0 1-1,0 0 1,-4 1 0,5-1-72,1 1 0,-1-1-1,1 1 1,-1-1 0,1 1-1,0 0 1,-1 0 0,1 0 0,0-1-1,0 1 1,-1 0 0,1 1-1,0-1 1,0 0 0,0 0 0,0 0-1,0 1 1,0-1 0,1 0-1,-1 1 1,0-1 0,1 1 0,-1-1-1,1 1 1,-1-1 0,1 1-1,0-1 1,0 4 0,-4 50-29,4-49 29,0 4 11,0 1 0,1-1 0,0 1 0,1-1 0,0 0 0,1 1 0,0-1 0,6 14 0,-5-17-17,0 0 0,1 0 0,0 0 0,0-1 0,0 1 0,1-1 0,-1-1 0,1 1 0,1-1 0,-1 0 0,12 6-1,-14-8-18,1-1-1,-1 0 0,0 0 0,1 0 0,-1 0 0,1-1 0,-1 0 0,1 0 1,0 0-1,-1-1 0,1 1 0,0-1 0,-1 0 0,7-1 0,-8 0 25,0 0 0,0 0 0,0 0 0,0 0 1,0 0-1,0-1 0,0 1 0,-1-1 0,1 0 0,-1 0 0,1 0 0,-1 0 0,0 0 0,0 0 0,0 0 0,0-1 0,0 0 0,0 1 0,0-1 0,-1 0 1,2-4-1,3-8 71,-1-1 0,-1 1 0,-1-1 0,0 1 1,1-22-1,-4-80 2321,0 116-2345,0 1-1,0-1 1,0 1-1,0-1 1,1 0-1,-1 1 1,0-1-1,0 1 1,-1-1 0,1 0-1,0 1 1,0-1-1,0 1 1,0-1-1,0 1 1,-1-1-1,1 0 1,0 1-1,0-1 1,-1 1-1,1-1 1,0 1-1,-1-1 1,1 1 0,-1 0-1,1-1 1,-1 1-1,1-1 1,-1 1-1,0 1-32,1-1-1,-1 1 1,0 0 0,1 0-1,-1 0 1,1 0-1,-1 0 1,1 0-1,-1 0 1,1 0 0,0 0-1,0 0 1,-1 0-1,1 1 1,0-1 0,0 2-1,-3 38 0,1 0 0,2 0 0,2 0 1,1-1-1,2 1 0,2-1 0,2 0 0,19 52 0,-26-86 8,12 25 36,-14-30-54,1 0 0,-1 0 0,1 0 0,0 0-1,-1 1 1,1-2 0,0 1 0,0 0 0,0 0 0,0 0 0,0 0 0,0 0-1,0-1 1,0 1 0,0 0 0,0-1 0,0 1 0,0-1 0,1 0 0,-1 1-1,1-1 1,-1 0 6,-1 0 0,1-1 0,-1 1 0,1 0 0,-1-1 0,1 1 0,-1-1 0,1 1 0,-1-1 0,0 1 0,1-1 0,-1 1 0,0-1 0,1 1 0,-1-1 0,0 1 0,0-1 0,1 1 0,-1-1 0,0 0 0,0 1 0,0-1 0,0 0 0,0 1 0,0-1 0,0 0 0,2-22 12,-2 20-22,0-28-56,-1 1-1,-1-1 0,-9-48 1,1 24 73,2 0 0,0-106 1,8 160-11,0 0 0,0 0 0,0-1 0,0 1 0,0 0 0,0-1 1,1 1-1,-1 0 0,0 0 0,1 0 0,-1-1 0,0 1 0,1 0 0,0 0 1,-1 0-1,1 0 0,0 0 0,-1 0 0,1 0 0,0 0 0,0 0 0,0 0 1,2-1-1,-1 1-14,0 0 1,0 1-1,0-1 1,1 1-1,-1-1 1,0 1-1,1 0 1,-1 0-1,0 0 1,1 1-1,-1-1 1,5 1-1,-2 1 2,1 0 0,-1 0 0,1 1-1,-1-1 1,0 1 0,0 0 0,0 1-1,0-1 1,0 1 0,-1 0 0,0 0-1,4 5 1,6 7-9,0 1-1,10 18 0,-18-24-9,0-1-1,0 1 1,-1 0-1,-1 0 1,0 1-1,-1 0 1,0-1-1,0 1 0,-1 0 1,-1 0-1,0 0 1,-1 22-1,0-32-22,-1 0 1,1 1-1,0-1 0,-1 0 0,0 0 0,1 0 0,-1 0 0,0 0 1,0 1-1,0-1 0,-1-1 0,1 1 0,0 0 0,-1 0 0,1 0 0,-1-1 1,1 1-1,-1-1 0,0 1 0,0-1 0,0 0 0,-3 2 0,-22 7-2740,-1-7-5891</inkml:trace>
  <inkml:trace contextRef="#ctx0" brushRef="#br0" timeOffset="9360.5">8511 771 13062,'0'0'10410,"-4"2"-10335,-42 22 1,19-9-108,0-1 0,-1-2 1,-44 14-1,71-26 11,1 0 0,-1 0 0,1 0 1,0 0-1,-1 0 0,1 0 0,-1 0 0,1 0 0,0 0 0,-1 0 0,1-1 0,-1 1 0,1 0 1,0 0-1,-1 0 0,1-1 0,0 1 0,-1 0 0,1 0 0,0-1 0,0 1 0,-1 0 0,1-1 1,0 1-1,0 0 0,-1-1 0,1 1 0,0-1 0,0 1 0,0 0 0,0-1 0,0 1 1,-1-1-1,1 1 0,0 0 0,0-1 0,0 1 0,0-1 0,0 1 0,0 0 0,0-1 0,1 1 1,-1-1-1,0 1 0,0-1 0,3-22-48,2 7 20,1-1 0,1 1-1,0 1 1,1-1 0,14-18-1,9-20 39,4-21-2,-31 66 249,0 0 0,-1 0 1,-1 0-1,1-1 1,-2 1-1,2-10 0,-18 178-310,15-146 84,0 1 0,1-1 0,0 0 0,1 1 0,5 16 0,-5-24-11,1 0 0,0 0 0,0 0 0,0 0 0,1-1 0,0 1 0,0-1 0,0 0 1,0 0-1,1 0 0,0-1 0,10 8 0,-8-7-263,0 0 0,1-1 0,-1 0 1,1 0-1,12 4 0,23-1-5800,-8-6-3916</inkml:trace>
  <inkml:trace contextRef="#ctx0" brushRef="#br0" timeOffset="9530.34">8956 613 9588,'0'0'5811</inkml:trace>
  <inkml:trace contextRef="#ctx0" brushRef="#br0" timeOffset="10320.98">9039 743 4690,'0'0'13526,"0"-16"-12050,-2-26-620,1 25 201,6 57-759,43 238-124,-27-175-206,-18-87-101,-3-12-86,0 0 1,1 0-1,0 0 1,-1-1-1,1 1 1,1 0-1,-1 0 1,4 6-1,-5-11 159,1 0 1,0 0-1,-1 0 0,0 0 0,1 0 0,-1 0 1,0 0-1,1-1 0,-1 1 0,0 0 0,0 0 1,0 0-1,0 0 0,0 0 0,0 0 0,0-2 1,-16-278 494,0-4 1205,16 285-1634,0-1 0,0 1 0,0-1 1,0 1-1,0 0 0,1-1 0,-1 1 0,0-1 0,0 1 0,0 0 0,1-1 0,-1 1 0,0 0 0,1-1 0,-1 1 0,0 0 0,1-1 0,-1 1 0,0 0 0,1 0 1,-1-1-1,1 1 0,-1 0 0,0 0 0,1 0 0,-1 0 0,1 0 0,-1-1 0,1 1 0,-1 0 0,0 0 0,1 0 0,-1 0 0,1 0 0,-1 0 0,1 1 0,-1-1 1,1 0-1,-1 0 0,0 0 0,1 0 0,-1 0 0,1 1 0,0-1 0,21 11-25,-13-3 23,-1 1-1,0 0 1,-1 0 0,0 0 0,0 1 0,-1 0-1,0 1 1,-1-1 0,0 1 0,-1 0-1,6 21 1,-5-10-339,-2 0 0,0 0-1,-1 0 1,-1 1 0,-2 31 0,0-50-22,1 0 0,-1 1 0,1-1 1,-1 0-1,0 1 0,-1-1 1,-1 4-1,-8 4-6970</inkml:trace>
  <inkml:trace contextRef="#ctx0" brushRef="#br0" timeOffset="11546.1">9419 724 3201,'0'0'12937,"1"-9"-11563,3-29-187,-3 29-661,-1 30-601,0-18 13,-1 0 0,1 0 0,0 0 0,1 0 0,-1 0 0,0 1 0,1-1-1,0 0 1,0 0 0,0 0 0,0-1 0,0 1 0,0 0 0,1 0 0,-1-1 0,1 1 0,0-1 0,0 1 0,0-1-1,0 0 1,0 1 0,1-1 0,-1 0 0,1-1 0,-1 1 0,1 0 0,0-1 0,-1 1 0,1-1 0,0 0 0,0 0-1,0 0 1,0 0 0,0-1 0,0 1 0,5-1 0,-6 0 57,-1 0 0,1-1 1,-1 1-1,0-1 0,1 1 0,-1-1 0,0 1 0,1-1 1,-1 0-1,0 0 0,0 0 0,0 0 0,1 0 0,-1 0 0,0 0 1,0 0-1,0 0 0,-1 0 0,1 0 0,0-1 0,0 1 1,-1 0-1,1-1 0,-1 1 0,1 0 0,-1-1 0,1 1 1,-1-1-1,0 1 0,0-1 0,0-2 0,2-9 43,-1 0 0,-2-23 0,1 20-2,0 9 87,0 0 0,-1 0 1,1-1-1,-1 1 0,-1 0 0,1 0 1,-4-9-1,4 15-74,0-1 1,0 0-1,0 0 1,0 0-1,0 1 0,-1-1 1,1 1-1,0-1 1,-1 1-1,0-1 1,1 1-1,-1 0 0,1 0 1,-1 0-1,0 0 1,0 0-1,0 0 1,0 0-1,0 1 0,0-1 1,0 1-1,0-1 1,0 1-1,0 0 1,0 0-1,0 0 0,0 0 1,0 0-1,0 0 1,-2 1-1,2 0-50,0-1 0,0 1-1,0 0 1,0 0 0,0 0 0,0 1 0,1-1-1,-1 0 1,0 1 0,1-1 0,-1 1-1,1 0 1,-1-1 0,1 1 0,0 0-1,0 0 1,0 0 0,0 0 0,0 0 0,0 0-1,1 0 1,-1 0 0,0 3 0,-2 6-25,0 0 0,1 0 0,-1 13 0,2-9 26,0-1 1,1 1 0,1-1 0,0 1-1,5 22 1,-6-33-5,1-1 0,1 1-1,-1 0 1,0-1 0,1 1 0,0-1 0,0 0-1,0 0 1,0 1 0,0-1 0,1-1-1,-1 1 1,1 0 0,0 0 0,0-1 0,0 0-1,0 0 1,0 1 0,0-2 0,1 1 0,-1 0-1,1-1 1,-1 0 0,1 1 0,0-1 0,6 0-1,-5 1-12,1-2-1,0 1 0,0-1 0,-1 0 0,1 0 0,0 0 1,0-1-1,-1 0 0,1 0 0,-1 0 0,7-3 1,-8 2 30,-1 0 1,1 0 0,-1-1 0,1 0 0,-1 1 0,0-1 0,0 0-1,0 0 1,-1-1 0,1 1 0,-1-1 0,0 1 0,0-1 0,0 0 0,3-7-1,0-9 579,0-1 0,-2 0 0,0 1 0,-1-32 100,-2 66-714,0-4-7,0 0 1,0 0 0,1 0 0,0 0 0,1 0 0,3 10 0,-4-17-29,0-1 0,0 1 0,0-1 0,0 0 0,1 0 0,-1 1 0,1-1 0,0 0 0,-1 0 1,1-1-1,0 1 0,0 0 0,0-1 0,1 1 0,-1-1 0,0 1 0,0-1 0,1 0 0,-1 0 0,1 0 1,-1 0-1,1-1 0,-1 1 0,1-1 0,0 1 0,-1-1 0,1 0 0,4 0 0,-4 0 50,-1 0 1,0 0-1,0 0 0,1-1 0,-1 1 0,0 0 0,0-1 1,0 0-1,1 1 0,-1-1 0,0 0 0,0 0 0,0 0 1,0 0-1,0 0 0,-1-1 0,3-1 0,-1-1 18,0 0 0,0-1 1,0 1-1,0-1 0,-1 1 0,3-9 0,-1 0 343,0 1 0,-1-1 0,0 0 0,-1 0 0,1-23 0,-3 46-341,-1 7-112,1-1 0,1 1 0,1 0 1,0-1-1,7 26 0,-7-38-55,-1 0 0,1 0 0,0 0 0,0 0 0,0 0 0,1-1 0,-1 1 0,1 0 0,0-1 0,0 0 0,0 0 0,0 0 0,1 0 1,-1 0-1,1-1 0,0 0 0,-1 1 0,1-1 0,0-1 0,1 1 0,-1 0 0,0-1 0,0 0 0,0 0 0,1 0 0,-1-1 0,5 1 0,-5-1 91,0 0-1,-1 0 0,1 0 0,0 0 0,-1 0 1,1-1-1,0 0 0,-1 1 0,1-1 1,-1-1-1,1 1 0,-1 0 0,0-1 1,1 0-1,3-3 0,-2 1 47,0-1 0,0 0-1,-1-1 1,0 1 0,0-1 0,0 1 0,5-12-1,-1-2 105,0 0-1,-1 0 0,-1 0 0,-1-1 1,-1 0-1,4-35 0,-4-123 1976,-5 160-1766,1 0 349,-2 0 0,0 0 0,-9-33 0,12 50-623,-1 1 1,0 0-1,0 0 1,0-1 0,0 1-1,0 0 1,0 0-1,0-1 1,0 1 0,0 0-1,-1 0 1,1-1-1,0 1 1,0 0 0,0 0-1,0 0 1,0-1-1,0 1 1,0 0 0,-1 0-1,1 0 1,0-1-1,0 1 1,0 0 0,0 0-1,-1 0 1,1-1-1,0 1 1,0 0 0,0 0-1,-1 0 1,1 0-1,0 0 1,0 0 0,-1 0-1,1 0 1,0 0-1,0-1 1,-1 1 0,1 0-1,0 0 1,-1 0-1,-6 12 129,-1 18-278,1 26 215,3 1 1,5 96-1,-1-152-86,5 63 35,3-1 1,2 1 0,3-2 0,27 79 0,-36-131-39,23 64 57,-24-69-67,-1 1-1,1-1 1,1 1-1,-1-1 0,1 0 1,0-1-1,0 1 1,0-1-1,0 1 1,6 3-1,-9-7 12,1 0-1,0 0 1,-1 0 0,1 0 0,0 0-1,-1 0 1,1-1 0,0 1 0,0 0-1,0-1 1,0 0 0,-1 1-1,1-1 1,0 0 0,0 0 0,0 0-1,0 0 1,0 0 0,0 0 0,0-1-1,0 1 1,0-1 0,3-1 0,-3 1 8,1-1 1,0 0 0,-1 0-1,0-1 1,1 1 0,-1 0-1,0-1 1,0 0 0,-1 1-1,1-1 1,0 0 0,2-6 0,0-4 22,1 0 1,-2-1-1,1 0 1,-2 1 0,2-20-1,-3 5-18,0 0-1,-2 0 1,-7-51 0,5 68-15,1 0 0,-1 0 0,-1 0 0,0 1 1,0 0-1,-1-1 0,-1 2 0,1-1 0,-2 0 0,1 1 1,-1 1-1,-12-12 0,19 19-37,-1-1 0,0 1 1,0 0-1,0 1 0,1-1 1,-1 0-1,0 0 0,0 0 1,-1 0-1,1 1 0,0-1 1,0 0-1,0 1 0,0-1 1,-1 1-1,1 0 0,0-1 0,0 1 1,-1 0-1,1 0 0,0-1 1,0 1-1,-1 0 0,1 0 1,0 1-1,-1-1 0,1 0 1,-2 1-1,2 0-188,-1 1 0,1-1 0,0 0-1,0 1 1,0 0 0,1-1 0,-1 1 0,0-1 0,0 1 0,1 0 0,-1-1 0,1 1-1,0 0 1,0 0 0,-1 0 0,1-1 0,0 1 0,1 3 0,-1-5 179,-1 3-369,1 0 0,0 0 0,0-1 0,1 1 0,-1 0 0,0 0 0,1-1 0,0 1 1,-1 0-1,1-1 0,0 1 0,1-1 0,-1 1 0,2 1 0,17 14-4556</inkml:trace>
  <inkml:trace contextRef="#ctx0" brushRef="#br0" timeOffset="13019.7">10285 594 5394,'0'0'10299,"-17"-6"-9379,-53-14-320,69 19-584,0 1 0,0 0 0,-1 0-1,1 0 1,0 0 0,0 0 0,0 0-1,0 1 1,0-1 0,-1 0 0,1 1 0,0-1-1,0 0 1,0 1 0,0-1 0,0 1-1,0 0 1,0-1 0,0 1 0,0 0 0,0 0-1,1-1 1,-1 1 0,0 0 0,0 0-1,1 0 1,-1 0 0,0 0 0,1 0 0,-1 0-1,1 0 1,-1 0 0,1 2 0,-6 35 417,6-32-368,-1 2-30,1 0 0,0 0 0,1 0 0,-1 0 0,2 0 0,-1 0 0,1 0 0,0 0-1,1 0 1,-1-1 0,8 15 0,-7-18-90,0-1 0,0 1 0,0-1 0,0 1 0,0-1 0,1 0 0,-1 0 0,1 0 0,0-1 0,0 1 0,0-1 0,0 0 0,0 0 0,0 0 0,1-1 1,-1 0-1,0 0 0,1 0 0,-1 0 0,1 0 0,0-1 0,6 0 0,-7 0-9,-1 0 0,0 0 1,1 0-1,-1 0 0,1-1 1,-1 1-1,1-1 0,-1 0 1,0 0-1,4-2 0,-5 1 59,0 1-1,0-1 0,0 0 0,-1 0 1,1 0-1,0 0 0,-1 0 0,0 0 0,1 0 1,-1-1-1,0 1 0,0 0 0,0-1 0,1-3 1,1-7 104,0 0 1,0 0 0,-1 0 0,-1-1 0,0-24 0,-1 30 149,0 1 0,-1-1 0,0 1 0,-1 0 0,1 0 0,-1-1 0,-1 1 0,1 0 1,-1 0-1,0 1 0,-8-13 0,11 19-246,0 0 0,0 0-1,-1 0 1,1 0 0,0 0 0,0 0 0,0 0-1,0 0 1,0 0 0,0 0 0,0 0 0,0 0-1,0 0 1,0-1 0,0 1 0,-1 0 0,1 0-1,0 0 1,0 0 0,0 0 0,0 0 0,0 0-1,0 0 1,0 0 0,0 0 0,0 0 0,0 0-1,-1 0 1,1 1 0,0-1 0,0 0 0,0 0-1,0 0 1,0 0 0,0 0 0,0 0 0,0 0-1,0 0 1,0 0 0,0 0 0,-1 0 0,1 0-1,0 0 1,0 0 0,0 0 0,0 0 0,0 1-1,0-1 1,0 0 0,0 0 0,0 0 0,0 0-1,0 0 1,0 0 0,0 0 0,0 0 0,0 0-1,0 1 1,0-1 0,0 0 0,0 0 0,0 0-1,0 0 1,-2 12-17,1 14-52,1-18 72,1 1 0,0-1 0,0 1 0,0-1 1,1 1-1,0-1 0,1 0 0,6 15 0,-6-18-85,-1-1-1,1 0 0,0 0 1,0 0-1,0 0 0,0-1 0,1 1 1,-1-1-1,1 0 0,0 0 0,0 0 1,0 0-1,1-1 0,-1 0 1,1 0-1,-1 0 0,8 2 0,-9-3-20,0 0-1,0 0 1,0-1-1,0 1 0,0-1 1,0 1-1,1-1 0,-1 0 1,0 0-1,0-1 1,0 1-1,0-1 0,1 1 1,-1-1-1,3-1 1,-4 0 89,1 0 0,-1 1 0,0-1 0,0 0 0,0 0 0,-1 0 0,1-1 0,0 1 0,-1 0 0,0-1 1,1 1-1,-1-1 0,0 1 0,0-1 0,0 1 0,-1-1 0,2-4 0,2-16 266,-1-1 0,-1 1 0,-2-36 0,0 39 619,0 19-855,0 1-1,0 0 1,0 0-1,0-1 1,0 1-1,0 0 0,1 0 1,-1 0-1,0-1 1,0 1-1,0 0 1,0 0-1,0-1 0,-1 1 1,1 0-1,0 0 1,0-1-1,0 1 1,0 0-1,0 0 0,0-1 1,0 1-1,0 0 1,0 0-1,-1 0 1,1-1-1,0 1 0,0 0 1,0 0-1,0 0 1,-1 0-1,1-1 1,0 1-1,0 0 1,0 0-1,-1 0 0,1 0 1,0 0-1,0 0 1,-1 0-1,1-1 1,0 1-1,0 0 0,-1 0 1,1 0-1,0 0 1,-1 0-1,-6 11-156,6-3 139,0 0-1,0 0 1,1 0 0,0-1-1,0 1 1,1 0-1,0 0 1,1-1-1,-1 1 1,1 0 0,5 10-1,-6-15-87,1 1 0,0-1 0,0 0-1,0 0 1,0 1 0,0-1 0,1-1 0,-1 1 0,1 0-1,0-1 1,0 1 0,0-1 0,0 0 0,0 0 0,0 0-1,1 0 1,-1-1 0,1 1 0,-1-1 0,1 0 0,0 0-1,-1 0 1,1 0 0,0-1 0,7 0 0,-9 1 58,0-1 1,1 0-1,-1-1 1,0 1-1,1 0 1,-1-1 0,0 1-1,1-1 1,-1 0-1,0 1 1,0-1-1,0 0 1,1-1 0,-1 1-1,0 0 1,3-4-1,-2 2 39,0-1-1,-1 1 1,0-1-1,1 0 1,-2 0 0,1 0-1,0 0 1,1-6-1,1-3 355,-1-1 0,0 1 0,-1-1 0,0 0 0,-1 0 0,0 0 0,-2 0 0,-1-17 0,2 31-350,-1 0 0,1-1 0,0 1 0,-1 0 0,1-1 0,0 1 0,-1 0 0,1-1 0,0 1 0,-1 0-1,1 0 1,-1-1 0,1 1 0,0 0 0,-1 0 0,1 0 0,-1 0 0,1 0 0,-1 0 0,1-1 0,-1 1 0,1 0-1,-1 0 1,1 0 0,0 0 0,-1 1 0,1-1 0,-1 0 0,1 0 0,-1 0 0,1 0 0,-1 0 0,1 1 0,0-1 0,-1 0-1,1 0 1,-1 0 0,1 1 0,0-1 0,-1 0 0,1 1 0,0-1 0,-1 0 0,1 1 0,0 0 0,-3 10-15,1 1 1,0 0 0,1 0 0,0 0-1,1 0 1,0 0 0,1 0-1,0 0 1,5 19 0,-3-23 0,-1 0-1,1 1 1,1-1 0,-1-1-1,1 1 1,1 0 0,0-1 0,0 0-1,11 13 1,-12-17-52,0 1-1,0-1 1,0 0 0,0 0-1,1 0 1,-1 0 0,1-1 0,0 0-1,0 0 1,0 0 0,0 0-1,0-1 1,0 0 0,0 0-1,1-1 1,-1 1 0,9-1 0,-12-1 53,1 1 1,-1-1 0,0 0 0,0 0 0,1 0 0,-1 0-1,0-1 1,0 1 0,0 0 0,0-1 0,-1 1 0,1-1-1,0 0 1,-1 0 0,1 0 0,-1 0 0,1 0 0,-1 0-1,0 0 1,0 0 0,2-4 0,20-59 53,-18 47 20,32-85 1227,-37 102-1287,1 0-1,-1 1 1,0-1-1,0 1 1,1-1-1,-1 1 0,0-1 1,1 1-1,-1 0 1,0-1-1,1 1 1,-1-1-1,1 1 1,-1 0-1,1-1 1,-1 1-1,1 0 1,-1 0-1,1-1 1,-1 1-1,1 0 0,-1 0 1,1 0-1,-1-1 1,1 1-1,-1 0 1,1 0-1,0 0 1,-1 0-1,1 0 1,-1 0-1,1 0 1,-1 1-1,1-1 1,0 0-1,-1 0 0,1 0 1,-1 0-1,1 1 1,-1-1-1,1 0 1,-1 1-1,1-1 1,-1 0-1,1 1 1,-1-1-1,0 0 1,1 1-1,-1-1 1,0 1-1,1-1 0,-1 1 1,0-1-1,1 2 1,20 28-229,-10-8 216,-1 1 1,-1 0-1,7 27 1,-7-22-1062,20 48 0,-29-76 1039,0 0 0,1 1-1,-1-1 1,0 0 0,0 1-1,0-1 1,0 0 0,0 0 0,1 1-1,-1-1 1,0 0 0,0 1-1,0-1 1,1 0 0,-1 0-1,0 0 1,0 1 0,1-1 0,-1 0-1,0 0 1,1 0 0,-1 0-1,0 1 1,1-1 0,-1 0 0,0 0-1,0 0 1,1 0 0,-1 0-1,0 0 1,1 0 0,-1 0 0,0 0-1,1 0 1,-1 0 0,0 0-1,1 0 1,-1 0 0,0 0-1,1 0 1,-1-1 0,0 1 0,1 0-1,-1 0 1,0 0 0,1 0-1,-1-1 1,0 1 0,0 0 0,1 0-1,-1-1 1,0 1 0,0 0-1,0 0 1,1-1 0,-1 1-1,0 0 1,0-1 0,0 1 0,0 0-1,0-1 1,1 1 0,7-22 194,13-94 969,-18 88-547,2 0 1,0 0-1,2 0 0,11-27 0,-18 55-589,0 0 0,0 1 0,0-1 0,0 0 0,-1 0-1,1 0 1,0 0 0,0 1 0,0-1 0,0 0 0,0 0 0,0 0 0,0 0 0,0 0-1,0 1 1,1-1 0,-1 0 0,0 0 0,0 0 0,0 0 0,0 0 0,0 1-1,0-1 1,0 0 0,0 0 0,0 0 0,0 0 0,0 0 0,1 0 0,-1 1-1,0-1 1,0 0 0,0 0 0,0 0 0,0 0 0,0 0 0,1 0 0,-1 0-1,0 0 1,0 0 0,0 0 0,0 0 0,0 0 0,1 0 0,-1 0 0,0 0 0,0 0-1,0 0 1,0 0 0,1 0 0,-1 0 0,0 0 0,0 0 0,0 0 0,0 0-1,0 0 1,1 0 0,-1 0 0,0 0 0,0 0 0,0 0 0,0-1 0,0 1-1,0 0 1,1 0 0,-1 0 0,0 0 0,0 0 0,0 0 0,4 14-129,4 20 38,3 20-50,30 86 0,-40-139 85,-1 1-1,1 0 1,0-1-1,0 1 1,0-1-1,0 1 1,0-1-1,0 0 1,0 1-1,0-1 1,0 0-1,0 0 1,1 1-1,-1-1 1,3 1-1,-3-2 50,0 0 0,-1 0 0,1 0 0,0 0 0,0 0-1,-1 0 1,1 0 0,0 0 0,0 0 0,-1 0 0,1-1-1,0 1 1,-1 0 0,1 0 0,0-1 0,-1 1 0,1-1 0,0 1-1,-1 0 1,1-1 0,-1 1 0,1-1 0,-1 0 0,1 1-1,-1-1 1,1 1 0,-1-1 0,0 0 0,1 1 0,-1-1-1,0 0 1,0 1 0,1-1 0,-1 0 0,0 1 0,0-2 0,7-20 114,7-36 0,-12 45-1,0 0-1,1 0 0,1 0 0,0 1 0,1 0 0,0 0 0,1 0 0,12-19 0,-18 30-109,0 1 1,1-1-1,-1 0 0,1 0 0,-1 1 0,1-1 0,0 0 0,-1 1 0,1-1 0,0 1 0,-1-1 0,1 1 0,0-1 1,-1 1-1,1-1 0,0 1 0,0 0 0,0-1 0,0 1 0,-1 0 0,1 0 0,0-1 0,0 1 0,0 0 0,0 0 0,0 0 1,0 0-1,0 0 0,-1 1 0,1-1 0,0 0 0,0 0 0,0 0 0,0 1 0,-1-1 0,1 0 0,0 1 0,0-1 1,0 1-1,-1-1 0,1 1 0,0-1 0,-1 1 0,1 0 0,0-1 0,-1 1 0,1 0 0,-1 0 0,1-1 0,-1 1 0,0 0 1,1 1-1,4 6-50,-1 1 1,0-1 0,5 19 0,-6-19 81,4 13-7,-2 1 1,0-1-1,-1 1 1,1 29-1,-3 10-7315</inkml:trace>
  <inkml:trace contextRef="#ctx0" brushRef="#br0" timeOffset="13655.2">12036 506 8244,'0'0'12504,"2"1"-12445,0 1-53,0 1 0,0 0 0,-1-1 1,1 1-1,0 0 0,-1 0 0,0-1 0,0 1 0,1 0 1,-2 0-1,2 6 0,3 8 45,6 15 49,7 20-67,-1 0-1,17 103 1,-34-139-1289</inkml:trace>
  <inkml:trace contextRef="#ctx0" brushRef="#br0" timeOffset="15176.48">11993 688 2753,'0'0'12112,"-5"-7"-11741,3 4-351,-10-18 29,13 14 9,11 9 58,16 7-106,1-1 1,0-1-1,0-2 0,0-1 1,0-1-1,33-1 0,-59-2-37,0 0 0,1 0 0,-1-1 0,0 1 0,1-1-1,-1 0 1,0 0 0,1 0 0,-1 0 0,0-1 0,0 1 0,0-1 0,0 0 0,-1 0 0,1 0-1,0 0 1,-1 0 0,1-1 0,-1 1 0,4-5 0,-2 0-15,-1 0 1,1 1-1,-1-1 1,0 0-1,0-1 0,-1 1 1,0 0-1,1-11 1,0 1 557,-2-1 0,0 0 0,-3-32 0,3 75-510,1 0 1,1-1-1,1 1 1,2-1-1,13 41 1,-5-28-2,2-1 1,39 66 0,-52-97-79,1 0 0,-1-1 0,1 1 1,0-1-1,0 0 0,5 5 0,-8-8 70,0-1-1,0 1 0,-1-1 0,1 1 1,0-1-1,0 1 0,-1-1 1,1 0-1,0 1 0,0-1 1,0 0-1,0 0 0,0 1 0,-1-1 1,1 0-1,0 0 0,0 0 1,0 0-1,0 0 0,0 0 0,0 0 1,0-1-1,-1 1 0,1 0 1,0 0-1,0-1 0,0 1 1,0 0-1,-1-1 0,1 1 0,0-1 1,0 1-1,-1-1 0,1 0 1,0 1-1,-1-1 0,1 1 0,-1-1 1,1 0-1,-1 0 0,1 1 1,-1-1-1,1 0 0,-1 0 1,0 0-1,1 0 0,-1 1 0,0-3 1,6-13 183,-2 0 0,0-1 1,-1 0-1,-1 0 0,1-25 1,-3 24 232,1 1 0,1-1 0,1 1 1,9-31-1,-12 47-408,0 0 0,1 0 0,-1 0 0,0 1 0,0-1 0,0 0 0,1 0 0,-1 1 0,0-1 0,1 0 0,-1 0 0,1 1 0,-1-1 1,1 0-1,-1 1 0,1-1 0,-1 1 0,1-1 0,0 1 0,-1-1 0,1 1 0,0-1 0,0 1 0,-1 0 0,1-1 0,0 1 0,0 0 0,-1-1 0,3 1 0,-2 1-14,0-1 1,0 1-1,0 0 0,0-1 0,0 1 0,0 0 0,0 0 0,0 0 1,0 0-1,0 0 0,0 0 0,0 0 0,-1 0 0,1 1 0,1 1 0,17 51-152,-12-14-99,-6-30-85,1 0-1,0 0 1,0 0 0,1 0 0,0-1 0,8 19 0,-10-27 276,0 1 0,0-1 0,0 0 0,0 0 1,0 1-1,1-1 0,-1 0 0,0 0 0,1 0 0,-1 0 0,0 0 1,1-1-1,-1 1 0,1 0 0,-1-1 0,1 1 0,0-1 0,-1 1 1,1-1-1,-1 0 0,1 1 0,0-1 0,-1 0 0,1 0 0,0 0 1,-1-1-1,1 1 0,0 0 0,2-1 0,-1 0 56,-1 0-1,1 0 1,-1-1-1,1 1 1,-1-1-1,1 1 1,-1-1 0,0 1-1,0-1 1,0 0-1,0 0 1,0 0-1,0-1 1,-1 1-1,1 0 1,1-5-1,1-1 305,-1-2 0,0 1-1,0 0 1,-1 0-1,0-1 1,-1 1-1,0-1 1,0 0 0,-1 1-1,-1-1 1,-1-11-1,2 20-272,0 0 0,-1 1 0,1-1 0,0 0 0,0 1 0,-1-1 1,1 0-1,0 1 0,-1-1 0,1 1 0,-1-1 0,1 1 0,-1-1 0,1 1 0,-1-1 0,1 1 0,-1 0 0,1-1 0,-1 1 0,0 0 0,1-1 0,-1 1 0,1 0 0,-1 0 0,0-1 0,1 1 0,-1 0 0,0 0 0,0 0 0,1 0 0,-1 0 0,0 0 0,1 0 0,-1 0 0,0 0 0,1 0 0,-1 1 0,0-1 0,1 0 0,-1 0 0,0 1 0,1-1 0,-1 0 0,1 1 0,-1-1 0,1 0 0,-1 1 0,0-1 0,1 1 0,0-1 0,-1 1 0,1-1 0,-1 1 0,1 0 0,0-1 0,-1 1 0,1-1 0,0 1 0,-1 0 1,1 1-1,-1 2-56,1 1 0,0-1 0,0 1 0,0-1 0,0 1 0,1-1 0,0 0 1,0 1-1,0-1 0,0 0 0,4 8 0,-3-10-50,-1 0-1,1 0 0,0 0 1,-1-1-1,1 1 1,0 0-1,0-1 0,0 0 1,0 1-1,1-1 1,-1 0-1,0 0 1,1 0-1,-1 0 0,0-1 1,1 1-1,-1-1 1,1 1-1,-1-1 0,1 0 1,-1 0-1,5 0 1,-6 0 64,1 0-1,0 0 1,-1 0 0,1 0 0,-1 0-1,1-1 1,-1 1 0,1 0 0,-1-1-1,0 1 1,1-1 0,-1 1 0,1-1 0,-1 0-1,0 1 1,1-1 0,-1 0 0,0 0-1,0 0 1,0 0 0,0 0 0,0 0-1,0-1 1,1 0 0,0-2 22,-1 0-1,0 0 1,0 0 0,0 0-1,0 0 1,-1 0 0,1 0-1,-1-5 1,0-1 69,0 1 1,0 0-1,-1-1 0,0 1 1,0 0-1,-1-1 1,-4-11-1,5 19-38,0 0 0,0-1 0,0 1 0,0 0 0,-1 0 0,1 0 0,0 0 0,-1 0 0,0 1 0,1-1 1,-1 0-1,0 1 0,0-1 0,0 1 0,0 0 0,0-1 0,0 1 0,0 0 0,0 0 0,-1 1 0,1-1 0,0 0 0,-1 1 0,1-1 0,-1 1 0,1 0 0,0 0 0,-1 0 0,1 0 0,-1 0 0,1 0 0,0 1 0,-1-1 0,-2 2 0,3-1-27,0 0 0,0 0 0,1 0 0,-1 0 0,0 0 0,1 1 0,-1-1 0,1 0 0,0 1 0,-1-1 0,1 1 0,0-1 0,0 1 0,0 0 0,0-1 0,0 1 0,0 0 0,1 0 0,-1 0 0,1 0 0,-1 0 1,1 0-1,0 0 0,-1 2 0,-2 55-15,3-51 18,0-6-15,0 16 26,0 0 1,1 0 0,1 0-1,7 29 1,-8-43-75,0 0 0,0-1 0,1 1 1,-1 0-1,1-1 0,0 1 0,0-1 0,0 0 1,0 0-1,0 0 0,1 0 0,0 0 0,-1 0 1,1-1-1,0 1 0,0-1 0,1 0 0,-1 0 1,0 0-1,1 0 0,-1 0 0,1-1 0,0 0 0,-1 0 1,1 0-1,0 0 0,0 0 0,6 0 0,-6-1 51,-1 0-1,1 1 0,0-1 0,0-1 0,0 1 0,0 0 0,0-1 0,0 0 0,-1 0 0,1 0 0,0-1 0,-1 1 1,1-1-1,-1 1 0,1-1 0,-1-1 0,0 1 0,0 0 0,0-1 0,0 1 0,0-1 0,0 0 0,-1 0 0,0 0 1,1 0-1,-1-1 0,0 1 0,0 0 0,1-5 0,31-71 1046,-26 58-274,0 1-1,1 1 1,20-32 0,-29 50-753,0 1 0,1 0 0,-1-1 0,0 1 0,0 0 0,0-1 0,1 1 0,-1 0 0,0 0 0,0-1 1,1 1-1,-1 0 0,0 0 0,1 0 0,-1-1 0,0 1 0,1 0 0,-1 0 0,0 0 0,1 0 1,-1 0-1,0 0 0,1 0 0,-1 0 0,1 0 0,-1 0 0,0 0 0,1 0 0,-1 0 0,0 0 0,1 0 1,-1 0-1,0 0 0,1 1 0,10 11 8,5 23-189,-14-32 218,16 65-55,-16-55-24,1 0 1,1 0 0,0 0-1,0 0 1,10 17 0,-14-29 21,1-1 1,-1 1-1,1 0 1,-1 0-1,1-1 1,-1 1 0,1 0-1,0-1 1,-1 1-1,1 0 1,0-1-1,0 1 1,0-1 0,-1 1-1,1-1 1,0 0-1,0 1 1,0-1-1,0 0 1,0 0 0,0 1-1,-1-1 1,1 0-1,0 0 1,0 0-1,0 0 1,0 0 0,0 0-1,0 0 1,0-1-1,0 1 1,0 0-1,0 0 1,-1-1 0,1 1-1,0-1 1,0 1-1,0 0 1,0-1-1,-1 0 1,1 1 0,0-1-1,-1 1 1,1-1-1,0 0 1,-1 0-1,1 1 1,-1-1 0,1-1-1,4-4 60,0 1 1,-1-1-1,0 0 0,6-13 0,13-51 307,-20 57-12,1-1-1,0 1 1,1 0-1,0 0 0,1 1 1,1 0-1,13-20 1,-20 31-341,1 1 1,-1-1 0,1 0-1,0 1 1,-1-1 0,1 1-1,0-1 1,-1 1-1,1-1 1,0 1 0,0 0-1,-1-1 1,1 1 0,0 0-1,0-1 1,0 1 0,0 0-1,-1 0 1,1 0 0,0 0-1,0 0 1,0 0 0,0 0-1,0 0 1,-1 0 0,1 0-1,0 1 1,0-1 0,0 0-1,0 1 1,-1-1-1,1 0 1,0 1 0,0-1-1,-1 1 1,1-1 0,0 1-1,-1-1 1,1 1 0,-1 0-1,1-1 1,0 1 0,-1 0-1,1-1 1,0 2 0,21 39 115,-20-37-118,8 23-486,10 36 0,1 2-408,-21-65 872,0 0-1,0 1 1,0-1-1,0 0 1,0 0 0,0 1-1,0-1 1,0 0-1,0 0 1,0 0 0,0 1-1,0-1 1,1 0-1,-1 0 1,0 0 0,0 1-1,0-1 1,0 0-1,1 0 1,-1 0 0,0 0-1,0 1 1,0-1-1,1 0 1,-1 0 0,0 0-1,0 0 1,1 0 0,-1 0-1,0 0 1,0 0-1,1 0 1,-1 0 0,0 0-1,0 0 1,0 0-1,1 0 1,6-7 24,3-13 217,9-48-26,-11 38 272,12-33-1,-17 55-313,0 1 0,1 0 0,-1 0-1,2 0 1,-1 0 0,1 1-1,0-1 1,0 1 0,8-7-1,-12 12-148,1 0 0,-1 0 0,0 0 0,1 0 1,-1 0-1,1 0 0,-1 0 0,1 1 0,-1-1 0,1 0 0,-1 1 0,1 0 0,0-1 0,-1 1 0,1 0 0,0 0 0,-1 0 0,1 0 0,0 0 0,-1 0 0,1 0 0,0 0 1,1 1-1,0 0-10,-1 1 1,1-1 0,-1 1 0,1-1-1,-1 1 1,0 0 0,0 0-1,0 0 1,0 0 0,0 1 0,0-1-1,1 3 1,4 8-54,0-1 0,-1 1 0,-1 0 0,5 16 0,-3 2-633,4 10-2037,1-18-3017,1-10-3662</inkml:trace>
  <inkml:trace contextRef="#ctx0" brushRef="#br0" timeOffset="16047.4">14236 528 10549,'0'0'9639,"-7"-3"-9524,5 1-112,0 1 1,-1 0 0,1 0-1,0 0 1,0 1 0,-1-1 0,1 1-1,0-1 1,-1 1 0,1 0-1,0-1 1,-1 1 0,1 0 0,0 1-1,-1-1 1,1 0 0,-1 1-1,-2 0 1,2 1-2,0 0-1,0 0 1,0 0-1,0 0 1,0 0-1,0 1 1,0-1-1,1 1 1,-1 0-1,1-1 1,0 1-1,0 0 1,0 1-1,-2 5 1,0-1-3,2 0-1,-1 0 1,1 1-1,0-1 1,1 1-1,0 0 1,0-1-1,1 1 1,0 0-1,2 8 1,-2-14-10,1-1 0,-1 1 0,1-1 0,0 0 0,0 1 0,0-1 0,0 0 0,0 0-1,1 1 1,-1-1 0,1 0 0,-1 0 0,1 0 0,0-1 0,0 1 0,-1 0 0,1-1 0,0 1 0,1-1 0,-1 0 0,0 1 0,0-1 0,1 0 0,-1 0-1,0-1 1,1 1 0,-1 0 0,1-1 0,-1 0 0,4 1 0,5 0-19,0 1-1,0-2 1,0 0-1,-1 0 1,22-3-1,-27 2 36,0 0 0,-1-1-1,1 1 1,-1-1 0,1 0-1,-1 0 1,0 0 0,0 0-1,1-1 1,-2 0 0,1 0-1,0 0 1,-1 0 0,1 0-1,-1-1 1,0 0 0,0 0-1,0 0 1,-1 0 0,1 0-1,-1 0 1,2-6 0,0-3 202,0 1 0,-1-1 1,0 0-1,-1-1 0,-1 1 0,0-24 0,-1 37-196,0 1 0,0-1-1,0 0 1,0 0-1,-1 0 1,1 0-1,0 0 1,0 0-1,0 0 1,0 1 0,0-1-1,0 0 1,0 0-1,-1 0 1,1 0-1,0 0 1,0 0-1,0 0 1,0 0-1,0 0 1,-1 0 0,1 0-1,0 0 1,0 0-1,0 0 1,0 0-1,0 0 1,-1 0-1,1 0 1,0 0 0,0 0-1,0 0 1,0 0-1,0 0 1,0 0-1,-1 0 1,1 0-1,0 0 1,0 0-1,0-1 1,0 1 0,0 0-1,0 0 1,-1 0-1,1 0 1,0 0-1,0 0 1,0 0-1,0-1 1,0 1 0,0 0-1,-7 15-113,6-6 40,1-1-1,0 1 1,0-1 0,1 1-1,0 0 1,0-1-1,1 0 1,0 1 0,0-1-1,1 0 1,0 0 0,1 0-1,0 0 1,0-1 0,0 1-1,1-1 1,0 0-1,1-1 1,-1 1 0,1-1-1,1 0 1,-1-1 0,1 1-1,0-1 1,0-1 0,1 1-1,11 4 1,-16-7 12,0 0 0,0-1-1,0 1 1,0-1 0,0 0 0,0 0 0,1-1 0,-1 1 0,0 0-1,1-1 1,-1 0 0,0 0 0,1 0 0,-1 0 0,0-1-1,1 1 1,4-2 0,-5 0 109,0 0 1,-1 0-1,1 0 0,0 0 0,-1 0 1,0 0-1,1-1 0,-1 0 0,0 1 1,0-1-1,-1 0 0,1 0 0,0 0 1,-1 0-1,0 0 0,2-6 0,13-46 1221,7-17 716,-23 72-1980,0-1-1,0 1 1,1-1 0,-1 1 0,0-1-1,0 1 1,1-1 0,-1 1 0,0-1-1,1 1 1,-1 0 0,0-1 0,1 1 0,-1 0-1,0-1 1,1 1 0,-1 0 0,1-1-1,-1 1 1,1 0 0,-1 0 0,1 0 0,-1-1-1,1 1 1,-1 0 0,1 0 0,-1 0-1,1 0 1,-1 0 0,1 0 0,-1 0-1,1 0 1,-1 0 0,1 0 0,-1 0 0,1 0-1,-1 1 1,1-1 0,-1 0 0,1 0-1,-1 0 1,1 1 0,-1-1 0,0 0 0,1 1-1,-1-1 1,1 0 0,-1 1 0,0-1-1,1 0 1,-1 1 0,0-1 0,1 1-1,-1 0 1,19 26-167,-18-26 207,24 49 4,-19-35-218,2 0 0,0 0 0,12 16 0,-20-30 145,1-1-1,-1 1 0,1-1 0,-1 0 0,1 1 0,-1-1 1,1 0-1,0 0 0,-1 1 0,1-1 0,-1 0 0,1 0 1,0 0-1,-1 0 0,1 1 0,-1-1 0,1 0 0,0 0 1,-1 0-1,1-1 0,-1 1 0,1 0 0,0 0 0,-1 0 1,1 0-1,-1 0 0,1-1 0,-1 1 0,1 0 0,0-1 1,-1 1-1,1 0 0,-1-1 0,0 1 0,1 0 0,-1-1 0,1 1 1,-1-1-1,0 1 0,1-1 0,-1 1 0,0-1 0,1 1 1,-1-1-1,1-1 0,15-26 193,-16 27-204,26-58 171,-17 37 52,0 0 0,2 1 0,20-32 0,-31 53-198,1-1 0,-1 1 0,0 0 0,0-1 0,1 1 0,-1 0 1,0-1-1,1 1 0,-1 0 0,1-1 0,-1 1 0,0 0 0,1 0 0,-1 0 0,1-1 0,-1 1 0,1 0 0,-1 0 0,0 0 0,1 0 0,-1 0 0,1 0 0,-1 0 0,1 0 0,-1 0 0,1 0 0,-1 0 0,1 0 0,-1 0 0,1 0 0,-1 0 0,0 0 0,1 1 0,-1-1 0,1 0 0,-1 0 0,0 1 0,1-1 0,-1 0 0,1 0 1,-1 1-1,0-1 0,1 0 0,-1 1 0,0-1 0,0 1 0,1-1 0,-1 0 0,0 1 0,0-1 0,1 1 0,10 23-126,-11-24 136,14 56-236,4 13-1180,-17-65 815,1 0 0,0 1 0,0-1 0,0 0 0,0-1 0,1 1 0,0 0 1,-1-1-1,1 1 0,0-1 0,1 0 0,3 4 0,21 7-8981</inkml:trace>
  <inkml:trace contextRef="#ctx0" brushRef="#br0" timeOffset="18239.32">15289 511 5795,'0'0'11557,"3"-4"-10204,4-6-836,-3 9-78,-3 24-54,-1-10-475,0 33 144,1 65 151,0-106-219,0-1 0,0 0 0,0 0 1,0 0-1,1 0 0,0 0 0,0 0 0,0 0 1,0 0-1,0-1 0,1 1 0,0-1 1,-1 0-1,1 1 0,1-1 0,-1-1 1,0 1-1,1 0 0,-1-1 0,1 0 1,0 0-1,0 0 0,0 0 0,6 2 0,-6-3 6,0 1 0,1-1 0,-1 0 0,0 0 0,1-1 0,-1 1 0,1-1 0,-1 0-1,0 0 1,1 0 0,-1-1 0,1 1 0,-1-1 0,0 0 0,1-1 0,-1 1-1,0-1 1,0 0 0,0 0 0,0 0 0,0 0 0,-1-1 0,7-5 0,-4 1 25,0 0-1,0-1 1,-1 0 0,-1 0 0,1-1 0,-1 1 0,-1-1 0,1 0-1,-2 0 1,1 0 0,-1 0 0,1-13 0,0-13 821,-2-66 1,-2 59 730,1 83-1775,-1-9 203,1 0 0,2 0 0,1 0 0,8 38 0,60 130 38,-44-133-639,22 86-1,-43-126 1,-2 0 0,-1 0 0,-1 1 0,-2 50 0,0-77 586,0 0 0,-1 0 0,1 0 0,0-1 0,0 1 0,0 0 0,-1 0 0,1-1 0,0 1 0,-1 0 0,1 0 0,-1-1 0,1 1 0,-1 0 0,1-1 0,-1 1 0,1 0 0,-1-1 0,0 1 0,1-1 0,-1 1 0,0-1 0,0 1 0,1-1 0,-1 0 0,0 1 0,0-1 0,1 0 0,-1 0 0,0 0-1,0 1 1,0-1 0,0 0 0,1 0 0,-1 0 0,0 0 0,0 0 0,0-1 0,0 1 0,0 0 0,-2-1 16,0 1 0,0-1 0,0 0-1,0 0 1,0 0 0,0 0 0,1-1 0,-1 1-1,0-1 1,-3-3 0,0-1 66,0-1 0,1 0 1,-1 0-1,2 0 0,-1-1 1,1 0-1,0 0 0,0 0 0,1 0 1,0 0-1,1-1 0,-3-14 0,1-8 429,1 0-1,1-40 1,3 56-405,0 1 1,1-1-1,1 0 1,0 1-1,1-1 1,10-24-1,46-81 209,-31 67-21,3-16-49,-18 37 24,1 1 1,36-53 0,-50 83-254,-1 1-1,0 0 1,0-1-1,0 1 1,1 0-1,-1 0 1,0 0-1,0-1 1,1 1-1,-1 0 1,0 0-1,0 0 1,1 0-1,-1-1 1,0 1-1,1 0 1,-1 0-1,0 0 1,0 0-1,1 0 1,-1 0-1,0 0 1,1 0-1,-1 0 1,0 0-1,1 0 1,-1 0-1,0 0 1,1 0-1,-1 0 1,0 0-1,1 0 1,-1 0-1,0 1 1,0-1-1,1 0 1,-1 0-1,0 0 0,1 0 1,-1 1-1,0-1 1,0 0-1,0 0 1,1 1-1,-1-1 1,9 13-66,-9-12 86,13 27 80,-8-18-106,-1 0 0,1-1-1,0 1 1,1-1 0,0 0 0,1 0-1,-1 0 1,13 10 0,-19-18 1,1-1-1,-1 0 1,0 0 0,0 1 0,1-1 0,-1 0-1,0 0 1,0 1 0,1-1 0,-1 0-1,0 0 1,1 0 0,-1 1 0,0-1-1,1 0 1,-1 0 0,0 0 0,1 0 0,-1 0-1,1 0 1,-1 0 0,0 0 0,1 0-1,-1 0 1,0 0 0,1 0 0,-1 0-1,0 0 1,1 0 0,-1 0 0,0 0 0,1-1-1,-1 1 1,0 0 0,1 0 0,-1 0-1,0 0 1,1-1 0,-1 1 0,0 0 0,0 0-1,1-1 1,-1 1 0,0 0 0,0-1-1,0 1 1,1 0 0,-1-1 0,0 1-1,0 0 1,0-1 0,0 1 0,0 0 0,0-1-1,1 1 1,-1-1 0,0-25 209,0 19-294,0 4 93,0-1-1,0 1 0,-1 0 0,1-1 0,-1 1 0,0 0 0,0-1 0,0 1 0,0 0 0,0 0 0,-1 0 0,1 0 1,-1 0-1,0 0 0,0 0 0,0 1 0,0-1 0,0 1 0,-1-1 0,1 1 0,-5-3 0,1 2 7,1 0-1,-1 1 0,1-1 1,-1 1-1,0 0 0,1 1 0,-1 0 1,0 0-1,0 0 0,0 0 0,-8 1 1,12 1-16,-1-1 1,1 1-1,0-1 1,0 1-1,0 0 0,-1 0 1,1 0-1,0 0 1,0 0-1,0 1 1,1-1-1,-1 1 1,0-1-1,0 1 0,1 0 1,-1-1-1,1 1 1,-1 0-1,1 0 1,0 0-1,0 0 1,0 0-1,0 0 0,0 1 1,0-1-1,0 3 1,-2 5-11,0 1 1,1-1 0,0 1-1,-1 15 1,3-23 19,-1 9-55,0 0-1,1 0 1,0 0 0,1 0-1,4 15 1,-4-24-47,0 1 1,0-1 0,0 0 0,1 0-1,0 1 1,-1-1 0,1-1 0,0 1 0,1 0-1,-1 0 1,0-1 0,1 1 0,0-1-1,-1 0 1,1 0 0,0 0 0,0 0 0,0 0-1,0-1 1,0 1 0,1-1 0,4 2-1,-5-2 54,1 0 0,-1 0-1,1 0 1,-1 0-1,1-1 1,0 1-1,-1-1 1,1 0-1,0 0 1,-1 0-1,1 0 1,-1-1-1,1 1 1,0-1-1,-1 0 1,1 0-1,-1-1 1,0 1 0,1-1-1,4-3 1,-4 2 88,-1 0 1,0-1-1,0 0 1,0 1 0,0-1-1,0 0 1,-1 0 0,0-1-1,0 1 1,0 0-1,-1-1 1,1 1 0,-1-1-1,0 1 1,1-8 0,2-23 1166,-2-65 1,-2 68-273,0 31-861,0 17-433,0-5 353,1 1-1,0 0 0,1 0 1,0 0-1,1-1 0,7 20 1,-8-25-71,1 0 1,0-1-1,0 1 1,0-1-1,0 0 0,1 0 1,0 0-1,0 0 1,0-1-1,1 1 1,-1-1-1,1 0 0,0-1 1,0 1-1,7 2 1,-10-5 53,0 0 1,-1 0 0,1 0-1,0 0 1,0-1 0,0 1-1,0-1 1,1 1-1,-1-1 1,0 0 0,0 0-1,0 0 1,0 0 0,0 0-1,0 0 1,0-1 0,0 1-1,0-1 1,0 1-1,0-1 1,0 0 0,0 0-1,3-1 1,-2-1 23,-1 0 1,1 1-1,0-1 1,-1 0-1,0 0 1,0 0-1,0-1 0,0 1 1,0 0-1,0-1 1,-1 1-1,1-5 1,3-9 219,-1-1 1,-1 1 0,-1-1-1,1-23 1,1-46 1559,-2 115-1816,2-1-1,1 1 0,1-1 0,18 50 1,-21-70-171,0 1 1,0-1 0,0 0-1,1 0 1,0 0 0,10 12-1,-13-18 169,1 1-1,-1 0 0,1-1 1,0 0-1,0 1 0,0-1 0,-1 0 1,1 0-1,0 0 0,0 0 1,0 0-1,0-1 0,1 1 0,-1-1 1,0 1-1,0-1 0,0 0 1,0 1-1,1-1 0,-1 0 0,0-1 1,0 1-1,0 0 0,1-1 1,-1 1-1,0-1 0,0 0 0,0 1 1,4-3-1,-1 0 48,-1-1 0,1 1 0,0-1 0,-1 0 0,0 0 0,0 0 1,0-1-1,-1 1 0,1-1 0,-1 0 0,3-6 0,3-7 36,14-37 0,-19 39 168,0 0 1,0 0 0,-2-1-1,0 1 1,-1-34 0,-2 50-214,0 0-1,1 0 1,-1 0 0,1 0 0,-1 0 0,0 0 0,1 0 0,-1 0-1,0 1 1,1-1 0,-1 0 0,1 0 0,-1 1 0,0-1 0,1 0 0,-1 1-1,1-1 1,-1 0 0,0 2 0,-2 4-13,1 0 0,0 0 1,0 0-1,1 1 0,-1-1 0,1 1 0,1 0 0,-1-1 1,1 1-1,0-1 0,2 9 0,-2 3-19,1-12 16,-1-1 0,1 0 0,0 1 0,0-1 0,1 0 0,0 0 0,0 0 0,0 0 0,0 0 0,1 0 0,0-1 0,0 1 0,0-1 0,0 0 0,1 0 0,-1 0 0,6 4 1,-4-4-74,0 0 0,0 0 1,0 0-1,1-1 1,-1 0-1,1 0 1,0-1-1,0 1 0,0-1 1,0 0-1,0-1 1,1 0-1,-1 0 0,8 1 1,-11-2 90,1 0-1,-1 0 1,0 0-1,0-1 1,1 1 0,-1-1-1,0 0 1,0 1-1,0-1 1,0-1 0,0 1-1,0 0 1,0-1 0,0 0-1,4-3 1,-4 2 18,0-1-1,0 1 1,-1-1 0,0 0 0,0 0 0,0 0 0,0 0 0,0 0-1,-1 0 1,0-1 0,1-5 0,3-18 368,-2-1 0,-1 1 1,-4-58-1,2 77-241,-3-12 193,3 20-307,0 0 0,0 0 0,0 1 0,0-1-1,0 0 1,0 0 0,0 0 0,-1 0 0,1 1 0,0-1 0,-1 0 0,1 0 0,0 1 0,-1-1 0,1 0 0,-1 1-1,1-1 1,-1 0 0,0 1 0,1-1 0,-2 0 0,0 26-302,2-14 230,0 0-1,1-1 0,1 1 0,-1-1 1,2 0-1,-1 1 0,1-1 1,7 14-1,-8-21-40,0 1 1,0-1-1,0 1 0,0-1 1,1 0-1,-1 1 0,1-1 1,0-1-1,0 1 0,0 0 1,1-1-1,-1 1 0,1-1 1,-1 0-1,1 0 0,0-1 1,-1 1-1,1-1 0,0 0 1,0 0-1,0 0 0,0 0 1,0-1-1,8 1 0,-10-1 80,0-1 0,0 1-1,0-1 1,0 0 0,0 1 0,0-1 0,0 0-1,0 0 1,0 0 0,-1 0 0,1 0-1,0-1 1,-1 1 0,1-1 0,-1 1 0,0-1-1,1 1 1,-1-1 0,0 0 0,0 1-1,0-1 1,0 0 0,0 0 0,0 0 0,-1 0-1,1 0 1,0-2 0,2-7 54,0-1 0,0 0 1,0-14-1,-1-95 2462,-3 185-2746,-1-24 244,3 0 1,4 42 0,-4-75-82,1 0 1,-1-1 0,1 1-1,5 11 1,11 5-3576,-8-19-2115</inkml:trace>
  <inkml:trace contextRef="#ctx0" brushRef="#br0" timeOffset="19103.25">17425 558 5122,'0'0'8599,"-1"10"-8506,0-4-87,0 0 0,1 0 0,0 0 0,0 0 0,0 1 0,1-1 0,0 0 0,0 0 0,0 0 0,1 0 0,0-1 0,0 1 0,1 0 0,-1-1 0,1 1 0,1-1 0,-1 0 0,1 0 0,4 5 0,-3-6-49,0 0-1,0-1 0,0 1 1,0-1-1,1 0 0,0 0 1,0-1-1,-1 1 0,1-1 1,10 1-1,-14-2 24,1 0 0,0-1-1,-1 0 1,1 1 0,0-1 0,0 0-1,-1 0 1,1-1 0,0 1 0,0 0 0,-1-1-1,1 0 1,-1 0 0,1 0 0,0 0 0,-1 0-1,1 0 1,-1 0 0,0-1 0,0 1 0,1-1-1,-1 0 1,0 0 0,0 0 0,3-4 0,1-5 24,-1 0 0,1-1 0,-2 0-1,0 0 1,0 0 0,-1-1 0,-1 1 0,0-1 0,0-18 0,0-13 479,-7-60 0,2 82-176,-1 0-1,-1 0 1,-1 1-1,-9-23 1,-10-35 2410,26 86-2708,-1 1 0,1-1-1,-1 0 1,-1 14-1,-1 6-3,3 18 28,3 0 0,1 0-1,2-1 1,2 0-1,2 0 1,1 0 0,3-2-1,30 62 1,-43-99-127,-1-2 32,-1-1 0,1 0 1,0 0-1,0 0 0,0 0 0,0 0 0,0 0 0,1 0 0,-1 0 0,0 0 1,1 0-1,-1-1 0,1 1 0,3 2 0,-3-8 107,-1 1-1,1 0 1,-1-1 0,1 1-1,-1-1 1,0 1 0,-1-1 0,1 0-1,0 1 1,-1-7 0,0 5 10,5-59 268,-4 38-48,9-52 0,-9 72-202,1-1 0,0 0 1,0 0-1,1 1 1,0-1-1,0 1 1,0 0-1,1 0 1,0 0-1,0 1 1,0-1-1,6-5 0,-9 10-70,1 0-1,-1 0 0,0 0 1,0 0-1,1 0 0,-1 0 1,0 0-1,1 1 0,-1-1 1,1 0-1,-1 1 0,1-1 1,-1 1-1,1 0 0,-1-1 1,1 1-1,0 0 0,-1 0 1,1 0-1,-1 0 0,1 0 0,0 1 1,-1-1-1,1 0 0,-1 1 1,1-1-1,-1 1 0,1-1 1,-1 1-1,1 0 0,-1 0 1,0 0-1,1 0 0,-1-1 1,0 2-1,0-1 0,0 0 1,0 0-1,0 0 0,0 0 1,1 2-1,3 5-13,0-1-1,0 0 1,-1 1 0,0 0 0,-1 0-1,4 9 1,-2 2-40,-1 1 0,0-1 0,-2 1 0,0-1 0,-1 1 0,-2 29 0,1-47-122,0-1 0,0 0 0,-1 0 0,1 0 0,0 0 1,-1 1-1,1-1 0,-1 0 0,1 0 0,-1 0 0,1 0 0,-1 0 1,0 0-1,1 0 0,-1 0 0,0 0 0,0 0 0,0-1 1,0 1-1,0 0 0,0 0 0,0-1 0,0 1 0,0-1 0,0 1 1,0-1-1,-1 1 0,1-1 0,0 0 0,0 1 0,0-1 1,-3 0-1,-9 1-4571</inkml:trace>
  <inkml:trace contextRef="#ctx0" brushRef="#br0" timeOffset="20982.62">18038 560 7668,'0'0'9545,"-1"-6"-9046,-3-17-451,4 23-51,0 0 0,0 0 0,0 0 0,0 0 0,-1 0 0,1 0 0,0 0 0,0 0 0,0 0 0,0 0 0,0 0 0,0 0 0,0 0 0,0 0 0,0 0 0,0 1 0,0-1 0,0 0 0,0 0 0,0 0 0,0 0 0,0 0 0,0 0 0,0 0 0,0 0 0,-1 0 0,1 0 0,0 0 0,0 0 0,0 0 0,0 0 0,0 0 0,0 0 0,0 0 0,0 0 0,0 0 0,0 0 0,0 0 0,0 0 0,0 0 0,0 0 0,-1 0 0,1 0 0,0 0 0,0 0 0,0 0 0,0 0 0,0 0 0,0-1 0,0 1 0,0 0 0,0 0 0,0 0 0,0 0 0,0 0 0,0 0 0,0 0 0,0 0 0,0 0 0,0 0 0,0 0 1,-4 10-14,-1 13 41,5-21-33,0 0 0,-1-1 0,1 1 0,1 0 0,-1 0-1,0 0 1,0-1 0,1 1 0,-1 0 0,1-1 0,-1 1 0,1 0 0,0-1 0,-1 1-1,1-1 1,0 1 0,0-1 0,0 1 0,0-1 0,1 1 0,-1-1 0,0 0 0,3 2 0,0-1-51,0-1-1,1 0 1,-1 0 0,0 0 0,1 0 0,-1-1 0,0 1 0,9-2 0,-10 1 50,-1 0 0,1-1 0,-1 1 0,0-1 1,1 0-1,-1 1 0,0-1 0,0 0 0,1 0 0,-1-1 0,0 1 0,0 0 0,0-1 0,0 1 0,0-1 0,-1 0 0,1 1 0,0-1 0,-1 0 0,1 0 0,-1 0 0,0 0 0,0-1 0,0 1 0,0 0 0,0 0 0,0-1 0,0 1 0,-1 0 0,1-1 0,-1 1 0,0-3 0,2-10 61,0 1-1,-2-1 0,1 1 0,-3-16 0,1 26-8,0 1-1,0 0 0,0 0 0,0 0 1,0 1-1,0-1 0,-1 0 0,0 0 1,1 1-1,-1-1 0,0 1 0,0 0 1,0-1-1,-1 1 0,1 0 0,-1 0 1,1 0-1,-1 1 0,1-1 0,-1 0 1,0 1-1,0 0 0,-6-2 0,7 2-28,-1 0 0,0 0-1,0 0 1,0 0 0,1 1 0,-1 0-1,0-1 1,0 1 0,0 0 0,0 0-1,0 1 1,0-1 0,0 1 0,0-1-1,1 1 1,-1 0 0,0 0-1,0 0 1,1 0 0,-1 1 0,1-1-1,-1 1 1,1-1 0,-1 1 0,1 0-1,-2 2 1,0 2-19,0 1 0,1-1-1,0 1 1,0-1 0,1 1 0,0 0 0,0 0-1,0 0 1,1 0 0,0 0 0,1 0 0,0 12-1,0-12 6,0-1 0,0 1 0,1-1-1,0 1 1,1-1 0,-1 0-1,1 1 1,0-1 0,1 0-1,-1 0 1,1 0 0,0-1 0,1 1-1,4 6 1,0-6-11,-1 0-1,1 0 1,0 0-1,1-1 1,-1-1-1,1 1 1,0-1-1,0-1 1,1 0-1,-1 0 1,1 0-1,-1-2 1,1 1-1,0-1 1,0 0-1,-1-1 1,1 0-1,0-1 1,12-2 0,-18 2 2,0 0 1,0-1-1,0 0 1,-1 1-1,1-1 1,0-1-1,-1 1 1,0 0-1,1-1 1,-1 0-1,0 0 1,0 0-1,-1 0 1,1 0-1,0 0 1,-1-1-1,0 1 1,0-1-1,0 0 1,0 1-1,-1-1 1,0 0-1,2-8 1,2-7 31,-1 0 0,-1 0 0,1-34-1,-3 26 49,1-73 210,-3 88-50,0-1 1,-1 1-1,0-1 0,-1 1 1,-7-21-1,10 32-225,0 1 0,0 0 0,0 0 0,0-1 0,0 1 0,0 0 0,0-1 0,-1 1 0,1 0 0,0 0 0,0-1 0,0 1 0,0 0 1,0 0-1,-1-1 0,1 1 0,0 0 0,0 0 0,0-1 0,-1 1 0,1 0 0,0 0 0,0 0 0,-1 0 0,1-1 0,0 1 0,-1 0 0,1 0 0,0 0 0,0 0 0,-1 0 0,1 0 0,0 0 0,-1 0 0,1 0 0,-1 0 0,-5 10 226,-1 19 23,2 4-245,2 0 1,2 1 0,0-1-1,9 63 1,-5-78-4,1-1-1,0 0 1,2 0 0,0 0-1,0-1 1,2 1 0,9 14-1,-17-31-11,0 1 1,0-1-1,0 0 0,1 1 0,-1-1 0,0 0 0,0 1 1,0-1-1,1 0 0,-1 1 0,0-1 0,1 0 0,-1 0 0,0 1 1,0-1-1,1 0 0,-1 0 0,0 1 0,1-1 0,-1 0 0,0 0 1,1 0-1,-1 0 0,1 0 0,-1 1 0,0-1 0,1 0 1,-1 0-1,1 0 0,-1 0 0,0 0 0,1 0 0,-1 0 0,1 0 1,-1-1-1,0 1 0,1 0 0,-1 0 0,0 0 0,1 0 0,-1 0 1,0-1-1,1 1 0,-1 0 0,0 0 0,1-1 0,-1 1 1,0 0-1,1 0 0,-1-1 0,0 1 0,0 0 0,0-1 0,1 1 1,-1 0-1,0-1 0,0 1 0,0 0 0,0-1 0,0 1 0,1-1 1,-1 1-1,0 0 0,0-1 0,0 0 0,7-28 214,-7 28-236,5-40 71,-4 28 30,0 0 0,1 1-1,1-1 1,0 0 0,0 1 0,1-1 0,10-19 0,-13 31-74,-1 0 0,1 0 0,0 0 0,0 0 0,0 1 0,0-1 0,-1 0 0,1 1 0,0-1 0,0 0 0,0 1 0,0-1 0,1 1 0,-1 0 0,0-1 0,0 1 0,0 0 0,0 0 0,0-1 0,0 1 0,1 0 0,-1 0 0,0 0 0,0 1 0,0-1 0,0 0 0,0 0 0,0 0 0,1 1 0,-1-1 0,0 1 0,0-1 0,0 1 0,0-1 0,0 1 0,0 0 0,0 0 0,4 2-18,-1 0-1,-1 0 0,1 0 0,0 0 0,-1 1 1,0-1-1,4 6 0,-1 0 10,-2 1 0,1 0 0,-1 0 0,3 11 0,-4-11-303,1 0 1,0 0-1,9 17 1,-11-25 196,-1 0-1,1 0 1,0-1 0,-1 1 0,1-1-1,0 1 1,0-1 0,0 0 0,0 1-1,0-1 1,0 0 0,0 0 0,1-1-1,-1 1 1,0 0 0,0-1 0,1 1-1,-1-1 1,0 0 0,1 0-1,-1 0 1,0 0 0,1 0 0,-1 0-1,1-1 1,-1 1 0,0-1 0,4-1-1,-1 1 37,0-1-1,0 0 0,0 0 0,0-1 0,-1 1 0,1-1 0,-1 0 1,0 0-1,0-1 0,0 1 0,6-8 0,-6 4 418,0 0 0,0-1 0,-1 1 0,0-1 0,0 0 0,-1 0 1,0 0-1,-1 0 0,1 0 0,-2-1 0,1 1 0,-1 0 0,0 0 0,-1-1 0,0 1 0,-3-14 0,4 21-299,-1 0 0,1 0 1,0 0-1,-1-1 0,1 1 0,-1 0 0,1 0 1,-1 0-1,0 0 0,1 0 0,-1 0 1,0 0-1,0 0 0,0 0 0,0 0 0,0 0 1,1 1-1,-2-1 0,1 0 0,0 0 1,0 1-1,0-1 0,0 1 0,0-1 0,0 1 1,-1 0-1,1-1 0,0 1 0,0 0 1,-1 0-1,1 0 0,0 0 0,-2 0 0,1 0-37,0 1-1,0-1 0,1 1 1,-1 0-1,0 0 1,0-1-1,0 1 0,1 0 1,-1 0-1,0 1 0,1-1 1,-1 0-1,1 1 0,0-1 1,-1 0-1,1 1 0,0 0 1,0-1-1,-2 4 0,-1 5-5,0 1-1,1 0 1,0-1-1,1 1 0,0 0 1,0 1-1,2-1 1,-1 0-1,1 0 0,3 23 1,-2-31-12,1 0-1,-1-1 1,0 1 0,1 0 0,-1 0 0,1-1-1,0 1 1,0-1 0,0 0 0,0 1 0,0-1-1,1 0 1,-1 0 0,1-1 0,-1 1 0,1 0-1,0-1 1,0 0 0,-1 1 0,1-1 0,0 0-1,0 0 1,0-1 0,0 1 0,0-1-1,1 1 1,2-1 0,-2 1-3,1-1 0,-1 0 0,0 1 0,1-1 0,-1-1 0,1 1 0,-1-1 1,0 1-1,1-1 0,-1-1 0,0 1 0,0 0 0,1-1 0,-1 0 0,-1 0 0,1 0 0,0-1 0,6-4 0,-6 1 32,1-1 0,-1 1 0,0-1-1,-1 0 1,0 0 0,0 0 0,0-1 0,-1 1-1,0-1 1,1-9 0,0-9 814,0-44 1,-3 69-602,0 9-490,-2 31 288,1-24-60,0 0-1,1 1 0,1-1 0,3 23 0,-3-35-21,0 0 0,0 0 0,1-1 0,-1 1 0,1-1 0,-1 1 0,1-1 0,0 1 0,-1-1 0,1 0 0,1 0 0,-1 0 0,0 0 0,0 0 0,1 0 0,-1-1 0,1 1 0,-1-1-1,1 0 1,0 1 0,-1-1 0,1-1 0,3 2 0,4 0-185,0 0 0,-1-1 0,1 0 0,0-1-1,15-1 1,-20 0 235,-1 0 0,0 0 0,0 0 0,1-1 0,-1 0 0,0 1 0,-1-2 0,1 1 0,0 0 0,0-1 1,-1 0-1,0 1 0,1-1 0,-1-1 0,0 1 0,0 0 0,-1-1 0,5-7 0,1-2 18,-1 0 0,0-1 0,-1 0 0,5-19 0,-4 1 248,-1 0 0,-2 0 0,-2-1-1,-1 1 1,-3-42 0,0 4 735,1 56-544,-1 13 16,-4 25-419,2 34-29,2 1 0,8 73 0,-4-118-10,0-1 0,1 1 0,0-1 0,1 0-1,7 17 1,-9-26-26,-1 0-1,1-1 1,0 1-1,0 0 1,1-1-1,-1 0 0,1 1 1,0-1-1,-1 0 1,1-1-1,1 1 1,-1 0-1,0-1 1,1 0-1,-1 1 0,1-1 1,-1-1-1,1 1 1,0-1-1,0 1 1,0-1-1,4 1 1,-3-2-24,-1 1 0,1-1 0,0 0 0,-1 0 0,1 0 1,-1-1-1,1 0 0,-1 1 0,1-2 0,-1 1 0,1 0 1,-1-1-1,0 0 0,6-3 0,-6 1 28,1 1 1,-1-1-1,0 0 0,0 0 1,-1-1-1,1 1 0,-1-1 0,0 0 1,0 0-1,-1 0 0,3-7 1,3-6 12,-2-1 1,0-1-1,-2 1 1,0-1 0,2-30-1,-5-100 952,-1 148-884,0-1-1,0 1 1,-1 0-1,1-1 1,-1 1-1,1 0 1,-1 0-1,0 0 1,0 0-1,-2-4 1,3 5-55,0 1-1,0 0 1,-1 0 0,1 0-1,0 0 1,0-1 0,0 1-1,0 0 1,-1 0 0,1 0-1,0 0 1,0 0 0,0 0-1,-1 0 1,1-1 0,0 1 0,0 0-1,0 0 1,-1 0 0,1 0-1,0 0 1,0 0 0,-1 0-1,1 0 1,0 0 0,0 0-1,0 0 1,-1 0 0,1 0-1,0 1 1,0-1 0,0 0 0,-1 0-1,1 0 1,0 0 0,0 0-1,-1 1 1,-8 15-12,2 15 5,1 0 1,1 0-1,2 1 0,1-1 1,3 50-1,-1-34 26,0-24-19,1 0 0,1 0 0,1 0 0,1 0 0,1-1 0,1 1 0,9 22 0,-12-38-31,0 0 0,0-1-1,0 0 1,1 1 0,0-1-1,0 0 1,0-1-1,1 1 1,0-1 0,0 0-1,0 0 1,1-1 0,0 1-1,0-1 1,0 0 0,0-1-1,0 1 1,1-1-1,0-1 1,0 1 0,-1-1-1,1 0 1,0-1 0,1 0-1,-1 0 1,10 0 0,-16-1 18,1 0 1,-1 0-1,0 0 1,1-1-1,-1 1 1,0 0-1,0-1 1,1 1-1,-1-1 1,0 1-1,0-1 1,0 0-1,0 1 1,0-1-1,1 0 1,-1 0-1,-1 0 1,1 0-1,0 1 0,0-1 1,0-1-1,0 1 1,0-1-1,1-1 1,-1-1-1,1 0 0,-1 1 0,0-1 0,0 0 0,0 0 0,0 1 0,-1-5 0,1-3 1,-1 0 1,-1 0-1,1 0 0,-2 1 0,-3-15 0,1 13-25,-1-1-1,0 2 1,-1-1 0,-1 1 0,0-1 0,0 2-1,-1-1 1,0 1 0,-1 0 0,0 1-1,-12-10 1,18 18-87,1-1 0,-1 1 0,0-1 0,0 1 1,1 0-1,-1 0 0,0 0 0,0 1 0,0-1 0,0 1 0,-4-1 0,-10 1-3003,16 0 2764</inkml:trace>
  <inkml:trace contextRef="#ctx0" brushRef="#br0" timeOffset="22999.77">20158 417 3249,'0'0'14388,"-4"-6"-12936,0 1-896,-8-12-151,8 2 2910,4 50-3320,1-1 0,7 36 0,-6-59 1,0 0 0,1 0 0,0 0-1,1 0 1,0-1 0,1 1 0,0-1 0,0 0-1,1-1 1,12 15 0,-17-22-20,1 0 0,0 0-1,0-1 1,0 1 0,0 0 0,0-1 0,0 1-1,1-1 1,-1 0 0,0 0 0,1 0 0,-1 0 0,1 0-1,-1-1 1,1 1 0,-1-1 0,1 1 0,-1-1-1,1 0 1,0 0 0,-1 0 0,1 0 0,-1-1-1,1 1 1,-1-1 0,5-1 0,-3 1 28,0-1-1,0 0 1,0-1 0,0 1 0,0-1 0,0 0-1,0 0 1,-1 0 0,0 0 0,0 0-1,1-1 1,-2 0 0,5-6 0,0-4 135,0-2 1,0 1 0,-2-1 0,0 1-1,-1-1 1,-1-1 0,0 1-1,-1 0 1,-1-1 0,-1-27-1,-9 136-251,9-84 111,1 0 0,0 0 0,1-1 0,-1 1 0,1-1 0,1 1 0,0-1 0,0 0 0,0 0 0,1 0 0,0 0 0,8 11 0,-8-14-66,-1 0 0,1 0 0,0 0 0,0 0 1,0 0-1,0-1 0,1 1 0,-1-1 0,1-1 0,0 1 1,0 0-1,0-1 0,0 0 0,1-1 0,-1 1 1,0-1-1,1 0 0,9 1 0,-13-2 69,0-1 0,1 1 0,-1-1 0,0 0-1,1 0 1,-1 0 0,0 0 0,0 0 0,1 0 0,-1-1 0,0 1-1,0 0 1,-1-1 0,1 0 0,0 1 0,0-1 0,-1 0 0,1 0-1,-1 0 1,0 0 0,1 0 0,-1-1 0,0 1 0,0 0 0,0-4-1,4-7 35,-1-1-1,0 1 1,1-15-1,-4 27-35,4-39 222,-2 0 1,-2-46-1,-1 69-25,-3 5-1,-3 14-235,-7 17-75,11-11 97,0 0 0,0 1 1,1-1-1,0 1 1,0 0-1,1-1 0,0 1 1,0-1-1,1 1 0,1-1 1,2 14-1,-3-19-62,0 1 1,1-1-1,-1 0 0,1 1 0,-1-1 0,1 0 1,0 0-1,0 0 0,1 0 0,-1 0 0,1-1 0,-1 1 1,1-1-1,0 1 0,0-1 0,0 0 0,0 0 1,0 0-1,0-1 0,0 1 0,1-1 0,-1 0 0,1 1 1,-1-2-1,1 1 0,0 0 0,-1-1 0,1 1 1,4-1-1,-4-1 57,0 0 1,1 0-1,-1 0 0,0-1 1,0 1-1,0-1 1,-1 0-1,1 0 0,0 0 1,-1 0-1,1-1 1,-1 0-1,0 1 1,0-1-1,0-1 0,0 1 1,0 0-1,-1-1 1,1 1-1,-1-1 0,2-4 1,4-6 46,-1 0 0,-1 0 0,0-1 0,6-25 0,-5 4 295,-2-1-1,-2 0 0,-2-60 0,-1 69 304,0 29-614,0-1 0,0 0-1,0 0 1,0 0 0,0 0 0,0 0 0,0 0 0,-1 0-1,1 1 1,0-1 0,0 0 0,0 0 0,0 0 0,0 0 0,0 0-1,-1 0 1,1 0 0,0 0 0,0 0 0,0 0 0,0 0 0,0 0-1,-1 0 1,1 0 0,0 0 0,0 0 0,0 0 0,0 0-1,0 0 1,-1 0 0,1 0 0,0 0 0,0 0 0,0 0 0,0 0-1,0 0 1,0 0 0,-1 0 0,1 0 0,0-1 0,0 1 0,0 0-1,0 0 1,0 0 0,0 0 0,0 0 0,0 0 0,-1 0-1,1-1 1,0 1 0,0 0 0,0 0 0,0 0 0,0 0 0,0 0-1,0-1 1,0 1 0,0 0 0,0 0 0,-3 5-23,0 1 1,1-1 0,-1 1-1,1 0 1,0 0-1,1-1 1,-1 1 0,1 1-1,0 5 1,-2 64-1,3-59 28,-2 24 48,1-2-47,4 52 0,-2-80-13,1 0 1,0 0 0,1 0 0,0 0 0,0-1 0,1 1 0,1-1 0,-1 0 0,9 13-1,-12-22-3,0 1 0,0-1 0,1 1 0,-1-1-1,0 1 1,1-1 0,-1 0 0,1 0-1,-1 1 1,1-1 0,2 1 0,-3-2 7,-1 0 1,1 1 0,0-1-1,-1 0 1,1 0 0,0 0-1,-1 0 1,1 0 0,0 0-1,0 0 1,-1 0 0,1 0-1,0 0 1,-1 0-1,1-1 1,0 1 0,-1 0-1,1 0 1,-1-1 0,1 1-1,1-1 1,-1-1 5,1 1 0,-1-1 1,1 0-1,-1 0 0,0 0 0,0 0 0,0 0 0,0 0 1,0 0-1,0 0 0,0 0 0,-1 0 0,1-1 1,-1 1-1,0 0 0,1-3 0,-2-60 225,0 52-124,0 0 0,1 0-1,1-1 1,0 1 0,0 0 0,5-17 0,-6 29-111,1 0-1,-1 0 1,0 0-1,0 0 1,1 1-1,-1-1 1,0 0-1,1 0 0,-1 0 1,1 0-1,-1 0 1,1 0-1,0 1 1,-1-1-1,1 0 1,0 0-1,-1 1 0,1-1 1,0 1-1,0-1 1,0 1-1,0-1 1,0 1-1,-1-1 1,1 1-1,0 0 1,0-1-1,0 1 0,0 0 1,0 0-1,0 0 1,0 0-1,0 0 1,0 0-1,0 0 1,0 0-1,0 0 1,0 0-1,0 0 0,0 1 1,0-1-1,0 0 1,0 1-1,0-1 1,0 1-1,1 0 1,2 2-14,0 0 0,0 0-1,-1 0 1,1 0 0,-1 0 0,0 1 0,0 0 0,4 5 0,13 29-46,-14-27-138,-1 0-1,1 0 0,1 0 0,14 16 0,-19-24-68,0-1 0,1 0 1,-1 0-1,1 0 0,0 0 0,-1 0 1,1-1-1,0 1 0,0-1 1,0 0-1,0 0 0,0 0 0,0 0 1,1 0-1,-1-1 0,0 1 0,0-1 1,0 0-1,1 0 0,-1 0 1,0 0-1,7-2 0,-8 1 237,1-1 1,-1 1-1,1-1 0,-1 1 0,0-1 0,1 0 1,-1 0-1,0 0 0,0 0 0,-1 0 1,1 0-1,0-1 0,-1 1 0,1-1 0,-1 1 1,0-1-1,0 1 0,0-1 0,1-4 1,2-6 573,0 0 0,3-23 0,-4-16 2643,-4 44-1658,1 34-1403,0-21-186,0 1 1,1-1-1,-1 1 1,1-1-1,0 1 1,1-1-1,-1 0 1,1 0-1,0 0 1,3 6-1,-3-9-24,-1 0 0,0-1 0,0 1 0,1-1 0,-1 1 0,1-1 0,-1 1 0,1-1 0,0 0-1,0 1 1,-1-1 0,1 0 0,0 0 0,0-1 0,0 1 0,0 0 0,0-1 0,0 1 0,0-1 0,0 1 0,1-1 0,-1 0 0,0 0-1,0 0 1,0 0 0,0-1 0,0 1 0,0 0 0,4-2 0,-4 1 54,1 0 1,-1-1-1,1 1 1,-1-1-1,1 0 0,-1 0 1,0 0-1,0 0 0,0 0 1,0 0-1,0 0 0,-1-1 1,1 1-1,0-1 1,-1 1-1,0-1 0,0 0 1,0 1-1,0-1 0,0 0 1,0 0-1,0-5 0,1-6-97,0-1-1,0 0 0,-1-15 0,-1 27 133,0-2 139,0 1-1,0-1 1,0 0-1,-1 1 1,0-1 0,-2-7-1,2 11-108,1-1 0,-1 1 0,0 0 0,1 0 0,-1 0 0,0 0 0,0 0 0,0 0 0,0 0 0,0 0 0,0 1 0,-1-1 0,1 0 0,0 1 0,0-1 0,0 0 0,-1 1 0,1-1 0,0 1 0,-1 0 0,1 0 0,0-1 0,-1 1 0,1 0 0,0 0 0,-1 0 0,-1 0 0,2 1-29,-1 0-1,1-1 0,0 1 1,-1 0-1,1 0 1,0 0-1,0-1 0,-1 2 1,1-1-1,0 0 1,0 0-1,0 0 0,0 0 1,0 1-1,0-1 1,1 0-1,-1 1 0,0-1 1,1 1-1,-1-1 1,1 0-1,-1 1 1,1-1-1,0 1 0,0 0 1,-1 2-1,-4 46-4,5-50 0,-2 18 18,2 0 1,0-1 0,1 1 0,1 0-1,5 24 1,-6-38-20,0 0 1,0 0-1,1-1 0,0 1 0,-1 0 1,1 0-1,0-1 0,1 1 0,-1-1 0,1 1 1,-1-1-1,1 0 0,0 0 0,0-1 1,0 1-1,1 0 0,-1-1 0,1 0 0,-1 0 1,1 0-1,0 0 0,0-1 0,0 1 1,0-1-1,0 0 0,0 0 0,0 0 1,0-1-1,5 1 0,-5-1 10,1 0-1,-1 0 1,0 0-1,1 0 1,-1-1 0,0 0-1,0 0 1,1 0-1,-1 0 1,0-1 0,0 0-1,0 1 1,7-6 0,-4 1 1,0 0 0,-1-1 1,0 1-1,0-2 0,9-12 1,-3 3 137,-1 0 1,-1 0 0,-1-1 0,0-1-1,-1 0 1,-1 0 0,5-23 0,2 82 296,-9-15-446,-4-13-10,1 1 0,1-1-1,0 0 1,1 0 0,0 0-1,1 0 1,11 19 0,-16-30-6,1 0-1,0-1 1,-1 1 0,1 0-1,-1 0 1,1 0 0,0-1 0,0 1-1,0 0 1,-1-1 0,1 1 0,0 0-1,0-1 1,0 1 0,0-1-1,0 0 1,0 1 0,0-1 0,0 0-1,0 1 1,0-1 0,0 0 0,0 0-1,0 0 1,2 0 0,-1-1 17,0 0 1,-1 1 0,1-1-1,-1 0 1,1 0-1,-1 0 1,1 0 0,-1 0-1,0 0 1,1-1 0,-1 1-1,0 0 1,2-3-1,3-5 34,-1 0 0,0 0 0,6-18-1,4-19 33,-11 31-4,1 0-1,0 1 1,1-1-1,0 1 1,10-14 0,-16 27-65,0 1 0,1 0 1,-1 0-1,0-1 0,0 1 1,1 0-1,-1 0 0,0-1 1,1 1-1,-1 0 0,0 0 1,0 0-1,1 0 1,-1-1-1,0 1 0,1 0 1,-1 0-1,1 0 0,-1 0 1,0 0-1,1 0 0,-1 0 1,0 0-1,1 0 0,-1 0 1,0 0-1,1 0 0,-1 0 1,0 0-1,1 1 0,-1-1 1,0 0-1,1 0 1,-1 0-1,0 0 0,0 1 1,1-1-1,-1 0 0,0 0 1,1 1-1,-1-1 0,0 0 1,0 0-1,0 1 0,1-1 1,-1 0-1,0 1 0,0-1 1,0 0-1,0 1 0,0-1 1,1 0-1,-1 1 0,0-1 1,0 0-1,0 1 1,9 23-185,-9-22 166,14 52-153,8 28-63,-20-74-341,1 0-1,1-1 0,-1 1 1,1 0-1,1-1 0,0 0 1,6 8-1,12 4-4584</inkml:trace>
  <inkml:trace contextRef="#ctx0" brushRef="#br0" timeOffset="24319.88">22412 547 1889,'0'0'9444,"-3"7"-8806,-9 24-179,11-29-442,1-1 0,0 0 0,0 0-1,-1 0 1,1 0 0,0 1 0,0-1 0,0 0 0,0 0 0,1 0 0,-1 1 0,0-1 0,0 0 0,1 0 0,-1 0 0,1 0 0,-1 0 0,1 0 0,-1 0 0,1 0-1,-1 0 1,1 0 0,0 0 0,0 0 0,0 0 0,-1 0 0,1 0 0,0-1 0,0 1 0,0 0 0,0-1 0,0 1 0,0-1 0,1 1 0,-1-1 0,0 1 0,0-1-1,0 0 1,0 0 0,0 1 0,3-1 0,5 1 107,-1 0-1,1 0 1,0-1-1,10-1 1,-14 1 11,-1-1-113,0 1 0,-1-1 0,1 0 0,0-1 0,0 1 0,-1-1-1,1 1 1,-1-1 0,1 0 0,-1-1 0,0 1 0,0 0 0,0-1 0,0 0-1,0 0 1,-1 0 0,1 0 0,-1 0 0,0 0 0,0-1 0,0 1-1,2-7 1,2-2 48,-1 0 0,-1-1 0,0 1 0,-1-1 0,3-22 0,-3 15 309,0-1 0,-2 0 0,-1 0 0,0 1 0,-2-1-1,-4-24 1,-4 28 479,9 17-840,1 0 0,0 0 0,-1-1 0,1 1 0,0 0 0,-1 0 0,1 0 0,-1 0 0,1 0 0,0 0 0,-1 0-1,1 0 1,-1 0 0,1 0 0,0 0 0,-1 0 0,1 0 0,-1 0 0,1 0 0,-1 0 0,1 0 0,0 0 0,-1 0 0,1 1 0,0-1 0,-1 0 0,-1 2-18,0 0 1,1-1 0,-1 1 0,1 0 0,-1 0-1,1 0 1,0 0 0,0 0 0,0 0 0,0 0-1,0 0 1,-1 3 0,-1 6-11,0-1-1,1 1 1,0 0-1,1 0 1,0 0 0,1 0-1,0 0 1,0 0 0,1 0-1,1-1 1,2 12 0,-2-16-43,0-1 1,0 1 0,0-1 0,1 0 0,0 1-1,0-1 1,1-1 0,-1 1 0,1 0 0,0-1-1,0 0 1,0 0 0,1 0 0,-1 0 0,1-1-1,0 1 1,0-1 0,0-1 0,1 1 0,-1-1 0,10 3-1,-6-2-44,-1-1 1,1 0-1,-1 0 0,1-1 0,-1 0 0,1-1 0,0 0 0,0 0 0,-1-1 0,11-2 0,-14 2 111,0-1 0,-1 1 1,1-1-1,-1 0 0,1-1 0,-1 1 0,0-1 0,0 1 0,0-1 0,0 0 0,-1-1 0,1 1 0,-1-1 0,0 0 1,0 1-1,0-1 0,0-1 0,-1 1 0,3-6 0,1-3 400,-2-1 1,0 0-1,0 0 0,2-23 1,4-14 2318,-9 108-2474,1-21-179,-3-24-99,1 1 1,1-1-1,0 1 1,1-1 0,0 0-1,8 24 1,-8-33-41,-1 1 0,1-1 0,0 0 0,0 0 0,0 1-1,1-2 1,-1 1 0,1 0 0,0 0 0,-1-1 0,1 1 0,0-1 0,1 0 0,-1 0 0,0 0 0,0 0 0,1-1 0,-1 1 0,1-1 0,0 0 0,-1 0 0,1 0 0,0-1 0,-1 1 0,1-1 0,0 0 0,4 0 0,-4 0 53,0 0 1,0 0 0,0 0 0,1-1-1,-1 1 1,0-1 0,0 0 0,0 0-1,0-1 1,-1 1 0,1-1 0,0 0-1,-1 0 1,1 0 0,-1 0 0,1-1-1,-1 1 1,0-1 0,0 0 0,0 0-1,-1 0 1,1 0 0,-1-1 0,1 1-1,-1-1 1,0 1 0,0-1 0,1-5-1,3-5 317,-1 0 0,0 0-1,-1-1 1,0 1 0,-2-1-1,1 0 1,-2 0 0,0-21-1,-1 35-192,-2 2-128,1 0-1,-1 0 1,1 1 0,0-1-1,-1 0 1,1 0 0,0 1 0,0-1-1,-1 1 1,1-1 0,0 1-1,1-1 1,-1 1 0,0-1-1,0 1 1,1 0 0,-1 0 0,1-1-1,-1 1 1,1 0 0,0 0-1,0 3 1,-4 43-264,4-48 259,0 1-39,0 1 0,0-1 0,0 0 0,0 0 0,0 0 0,0 1 0,0-1-1,1 0 1,-1 0 0,0 0 0,0 0 0,1 0 0,-1 1 0,1-1 0,-1 0 0,1 0-1,0 0 1,-1 0 0,1 0 0,0 0 0,1 1 0,0-1-25,0-1 0,0 1-1,1-1 1,-1 1 0,0-1 0,0 0 0,1 1 0,-1-1-1,4-1 1,-1 1 82,-2 0-11,-1-1 0,1 0 0,-1 0 0,1 1 0,-1-2 1,1 1-1,-1 0 0,1 0 0,-1-1 0,0 1 0,0-1 1,0 0-1,0 0 0,0 0 0,0 0 0,0 0 0,-1 0 0,1 0 1,-1 0-1,0-1 0,1 1 0,-1-1 0,0 1 0,0-1 1,-1 1-1,2-4 0,1-5 48,1-1-1,-2 0 1,0 0 0,2-18-1,-4 21 48,1 5-12,-1-1 0,0 1 0,0 0 0,0 0 0,0 0 0,-1-1 0,0 1 0,-1-6 0,1 9-70,0 0 1,0 0-1,0 0 1,0 0-1,0 0 1,0 0-1,0 1 1,0-1-1,0 0 1,0 0-1,0 1 1,-1-1-1,1 1 1,0-1-1,-1 1 0,1-1 1,0 1-1,-1 0 1,1 0-1,0 0 1,-1 0-1,1 0 1,0 0-1,-1 0 1,1 0-1,0 0 1,-1 1-1,1-1 1,-3 1-1,2 0-8,-1 0 0,1 0 1,-1 1-1,1-1 0,-1 1 0,1-1 0,0 1 0,-1 0 1,1 0-1,0 0 0,0 0 0,1 0 0,-1 0 0,0 1 1,1-1-1,-1 0 0,1 1 0,0-1 0,0 1 1,0 0-1,0-1 0,0 1 0,0 0 0,0 5 0,-2 8-18,1 0 1,-1 29-1,3-36-115,0-1 1,0 0 0,1 0 0,0 0-1,0 0 1,1 0 0,0 0 0,0 0-1,5 9 1,-4-12-10,0 0 1,0 0-1,0-1 1,1 1-1,0-1 0,0 0 1,0 0-1,1 0 1,-1 0-1,1-1 0,0 0 1,0 0-1,0 0 1,5 2-1,5 0-1295,0-1-1,0 0 1,1-1 0,-1 0-1,1-2 1,-1 0 0,28-1-1,-5 0-2963</inkml:trace>
  <inkml:trace contextRef="#ctx0" brushRef="#br0" timeOffset="26222.64">23428 513 3650,'0'0'11432,"-9"-15"-10643,-31-46-293,39 59-483,1 1-1,-1 1 0,0-1 0,1 0 0,-1 0 1,0 0-1,1 0 0,-1 0 0,0 0 0,0 1 0,0-1 1,0 0-1,0 1 0,0-1 0,0 1 0,0-1 0,0 1 1,0-1-1,0 1 0,0 0 0,0 0 0,0-1 0,0 1 1,-1 0-1,1 0 0,0 0 0,0 0 0,0 0 0,0 0 1,0 1-1,0-1 0,-1 0 0,1 1 0,0-1 0,0 0 1,0 1-1,0-1 0,0 1 0,0 0 0,-1 0 0,-1 2 10,0 1 0,0-1 0,0 1 1,0-1-1,0 1 0,-3 7 0,4-7-1,-2 4-39,1-1 0,0 1 0,0-1-1,1 1 1,0 0 0,0 0 0,1 1-1,0-1 1,0 0 0,1 0 0,0 1-1,1 11 1,0-19-2,0 1 0,0-1-1,-1 1 1,1-1 0,0 1 0,0-1 0,0 0-1,1 1 1,-1-1 0,0 0 0,0 0 0,1 0-1,-1 0 1,1 0 0,-1 0 0,1 0 0,-1-1-1,1 1 1,-1 0 0,1-1 0,0 1 0,-1-1-1,1 0 1,0 0 0,-1 1 0,1-1 0,3 0-1,-2 0 3,1 0-1,0 0 0,-1 0 0,1 0 0,0 0 0,-1-1 0,1 1 0,0-1 1,-1 0-1,1 0 0,-1-1 0,7-2 0,-6 0 61,0 0 0,-1 0 1,1 0-1,-1-1 0,0 1 0,0-1 0,0 0 1,0 0-1,-1 0 0,0 0 0,0 0 1,0 0-1,-1-1 0,0 1 0,1-7 0,1-11 811,-1-1-1,-2-28 0,0 34 113,0-38 1433,0 56-2386,0 0 0,0 1 0,0-1 0,0 0 0,0 0 0,0 0 0,0 0 0,0 0 0,-1 1 0,1-1 0,0 0 0,0 0 0,0 0 0,0 0 0,0 0 0,0 0 0,0 1 0,0-1 0,-1 0 0,1 0 0,0 0 0,0 0 0,0 0 0,0 0 0,0 0 0,-1 0 0,1 0 0,0 0 0,0 0 0,0 0 0,0 0 0,0 0 0,-1 0 0,1 0 0,0 0 0,0 0 0,0 0 0,0 0 0,-1 0 0,1 0 0,0 0 0,0 0 0,0 0 0,0 0 0,0 0 0,-1 0 0,1 0 0,0 0 0,0 0 0,0 0 0,0 0 0,0-1 0,0 1 0,-1 0 0,1 0 0,0 0 0,0 0 0,0 0 0,0-1 0,0 1 0,0 0 0,0 0 0,0 0 0,0 0 0,0-1 0,-3 11-66,1-1 0,0 1-1,1 0 1,0 0 0,1-1-1,1 15 1,-1 3 42,0-1 6,-2 32 72,9 73-1,-5-114-71,0 0-1,2 0 1,0 0-1,1 0 1,1-1-1,0 0 1,1 0-1,16 26 1,-22-40-11,0-1 0,0 1 0,0 0 1,0-1-1,0 1 0,0-1 0,1 1 0,-1-1 1,1 0-1,-1 0 0,1 1 0,-1-1 0,1 0 1,0 0-1,-1 0 0,1-1 0,0 1 0,0 0 0,0-1 1,-1 1-1,1-1 0,0 0 0,0 1 0,0-1 1,0 0-1,0 0 0,0 0 0,0-1 0,0 1 1,0 0-1,0-1 0,0 1 0,-1-1 0,1 0 0,0 1 1,0-1-1,-1 0 0,1 0 0,0 0 0,-1 0 1,1-1-1,-1 1 0,1 0 0,-1-1 0,0 1 1,1-1-1,-1 1 0,0-1 0,0 1 0,0-1 0,0 0 1,1-3-1,6-15 40,-1-1 0,0 0-1,-2-1 1,0 1 0,-1-1 0,0-24 0,-2-139 627,-3 103 53,-12 112-957,10-9 249,0 0-1,2 0 1,1 21 0,0-34-85,0-1 0,1 1 0,0-1 0,0 0-1,1 1 1,0-1 0,0 0 0,1 0 0,0 0 0,0 0 0,8 11 0,-10-16-13,1-1 0,-1 1-1,0 0 1,1-1 0,0 1 0,-1-1-1,1 0 1,0 1 0,0-1 0,-1 0-1,1 0 1,0 0 0,0 0 0,0-1-1,0 1 1,0 0 0,1-1-1,-1 0 1,0 1 0,0-1 0,0 0-1,0 0 1,1 0 0,-1 0 0,0-1-1,4 0 1,-3 0 76,-1 0 1,1 0-1,0-1 0,0 0 1,-1 1-1,1-1 0,-1 0 1,0 0-1,0 0 0,1 0 1,-1-1-1,0 1 0,-1 0 1,1-1-1,0 0 0,-1 1 1,2-5-1,3-9 104,0-1-1,-2 1 1,0-1 0,3-33-1,-4-56 3541,-3 102-3271,-1 40-515,0-11 186,1-1 0,3 29 1,-2-47-163,0-1 1,0 1-1,0-1 1,0 0 0,1 1-1,0-1 1,0 0-1,0 0 1,1 0 0,0-1-1,0 1 1,0-1-1,0 1 1,1-1 0,5 5-1,-7-7 77,0-1 0,-1 1 0,1-1 0,0 0 0,0 0 1,0 0-1,0 0 0,1 0 0,-1 0 0,0 0 0,0 0 0,1-1 0,-1 0 0,0 1 0,0-1 0,1 0 0,-1 0 0,0 0 0,1 0 0,-1 0 0,0-1 0,1 1 0,-1-1 0,0 0 0,4-1 0,-2 0-24,-1-1-1,1 1 0,-1-1 0,0 0 1,0 0-1,0 0 0,0 0 0,0 0 1,-1-1-1,0 1 0,1-1 0,-1 1 1,1-6-1,6-13 746,-2 0 0,0-1 1,-2 0-1,0-1 0,-2 1 1,-1-1-1,0-35 0,-2 79-901,-1 4 272,2 1 0,5 38 0,-5-57-136,0-1 0,0 0 0,0 0 0,1 1 0,0-1 0,0 0 0,0 0 0,1-1 0,-1 1 0,1 0 0,0-1 0,0 0 0,1 1-1,0-1 1,-1-1 0,1 1 0,0 0 0,6 2 0,-8-4-2,1 0 1,0-1-1,0 0 0,0 0 1,0 0-1,0 0 0,0 0 0,0-1 1,0 1-1,0-1 0,0 0 1,1 0-1,-1 0 0,0 0 0,0 0 1,0-1-1,0 1 0,0-1 1,5-2-1,-4 1 80,0 0 0,0 0 0,-1-1 0,1 1 0,-1-1 0,0 0 0,0 0 0,0 0 0,0 0 0,0-1 0,-1 1 0,0-1 0,4-6 0,2-6 104,-1-1 1,-1-1 0,0 1 0,-1-1 0,4-30 0,-5 5 1550,0-55 1,-4 98-1611,0 0 1,-1 1-1,1-1 0,0 0 1,0 0-1,0 0 0,-1 1 1,1-1-1,0 0 0,0 0 1,0 0-1,-1 0 0,1 0 1,0 0-1,0 1 0,-1-1 1,1 0-1,0 0 0,-1 0 0,1 0 1,0 0-1,0 0 0,-1 0 1,1 0-1,0 0 0,0 0 1,-1 0-1,1 0 0,0-1 1,0 1-1,-1 0 0,1 0 1,0 0-1,0 0 0,-1 0 1,1 0-1,0-1 0,0 1 1,-1 0-1,1 0 0,0 0 1,0 0-1,0-1 0,0 1 1,-1 0-1,1 0 0,0-1 1,0 1-1,0 0 0,0 0 1,0-1-1,0 1 0,-2 8-33,0 0 0,1-1 0,0 1-1,1 0 1,0 0 0,0 1 0,0-1-1,1-1 1,0 1 0,1 0 0,0 0-1,0 0 1,1-1 0,6 14 0,-7-17-58,0 0 0,0 0 1,1 0-1,0 0 0,0-1 1,0 1-1,0-1 0,0 0 1,1 0-1,-1 0 1,1 0-1,0-1 0,0 1 1,0-1-1,0 0 0,0 0 1,0-1-1,1 1 0,-1-1 1,1 0-1,-1 0 0,1 0 1,-1-1-1,1 1 0,-1-1 1,1 0-1,6-2 0,-8 2 91,-1-1 1,1-1-1,-1 1 0,0 0 0,0-1 0,0 1 0,1-1 0,-1 1 0,-1-1 0,1 0 0,0 0 0,0 0 1,-1 0-1,1 0 0,-1 0 0,0-1 0,1 1 0,0-4 0,18-47 139,-7-20 2664,-17 125-2920,-3 85 23,8-133 26,-1 1-1,1-1 1,0 0 0,0 0 0,0 0 0,0 0 0,1 0-1,-1 0 1,1 0 0,0 0 0,1 0 0,-1-1 0,1 1-1,-1-1 1,7 6 0,-7-7-11,1 0 0,-1 0 0,0 0 0,1-1 0,0 1 0,-1-1 0,1 1 0,0-1 0,0 0 0,0 0 0,0 0 0,0-1-1,0 1 1,0-1 0,0 0 0,0 0 0,0 0 0,0 0 0,0 0 0,0 0 0,0-1 0,0 1 0,5-3 0,-4 1 64,-1 0-1,0-1 1,0 1-1,0-1 1,0 1 0,0-1-1,0 0 1,-1 0 0,1 0-1,-1 0 1,0-1 0,0 1-1,0-1 1,0 1-1,-1-1 1,2-4 0,18-64 30,-20 70-23,3-23 323,-1 0 0,-1 0 0,-1-32 0,-1 48-43,-9 21-376,6-1-32,1 1 0,0 0 0,1 0 0,1 1 0,0-1 0,2 19 0,-1-28-6,-1-1 0,1 0 1,0 0-1,0 1 0,0-1 1,0 0-1,0 0 0,0 0 1,0 0-1,1 0 0,-1 0 1,1-1-1,0 1 0,-1 0 1,1-1-1,0 1 0,0-1 1,0 0-1,0 1 0,3 0 1,-3-1 66,-1 0 0,0-1 0,1 1 0,-1-1 0,0 1 0,1-1 0,-1 1 0,1-1 0,-1 0 0,1 0 0,-1 0 0,0 0 0,1 0 0,-1 0 0,1 0 0,-1-1 0,1 1 0,-1 0 0,1-1 0,-1 1 0,0-1 0,1 1 0,-1-1 0,0 0 0,0 0 0,1 1 0,-1-1 0,0 0 0,0 0 0,0 0 0,0 0 0,0 0 0,1-2 0,2-6 100,-1 1 0,0-1 0,0 0 0,-1 0-1,0 0 1,0-1 0,-1 1 0,-1 0 0,1 0 0,-3-14 0,2 11 377,0 10-350,-1-1-1,1 1 1,-1 0-1,0-1 1,0 1-1,0 0 1,0-1 0,0 1-1,-1 0 1,1 0-1,-1 0 1,1 0-1,-1 0 1,0 1-1,0-1 1,0 0-1,0 1 1,0-1-1,0 1 1,0 0-1,0 0 1,-1 0-1,1 0 1,0 0 0,-1 0-1,1 1 1,-1-1-1,1 1 1,-1-1-1,1 1 1,-1 0-1,1 0 1,-1 0-1,1 0 1,-1 1-1,1-1 1,-1 1-1,1-1 1,0 1-1,-1 0 1,1 0 0,0 0-1,-1 0 1,1 1-1,0-1 1,0 0-1,-2 3 1,0 2-71,0 0 1,1 0-1,0 0 1,0 0-1,0 1 1,1-1-1,0 1 1,0-1-1,1 1 1,0 0-1,-1 8 1,1-2-6,0 0 0,1 1 1,1-1-1,0 0 1,3 15-1,-2-23-49,-1 1-1,1-1 0,1 1 1,-1-1-1,1 0 1,0 0-1,0 0 1,0-1-1,1 1 0,-1-1 1,1 1-1,0-1 1,1-1-1,-1 1 0,1 0 1,-1-1-1,1 0 1,9 4-1,-4-2-752,0-1 1,0-1-1,18 5 1,32-1-5947,-23-7 1733</inkml:trace>
  <inkml:trace contextRef="#ctx0" brushRef="#br0" timeOffset="26689.08">24845 455 5811,'0'0'14657,"-5"-13"-13574,-16-38-496,20 50-573,1 0 1,-1 0-1,0 0 0,1 0 0,-1 0 1,0 0-1,1 0 0,-1 0 0,0 1 1,0-1-1,0 0 0,0 1 0,0-1 1,0 0-1,0 1 0,0-1 0,0 1 1,0 0-1,0-1 0,0 1 0,-1 0 1,1 0-1,0-1 0,0 1 0,0 0 1,0 0-1,0 0 0,-1 1 0,1-1 1,0 0-1,0 0 0,0 1 0,0-1 0,0 0 1,0 1-1,-1 0 0,-2 0-5,1 1 0,1 0 0,-1 0 0,0 0 0,0 0 0,1 0 0,-1 0 0,-3 5 0,2 1-7,-1-1-1,2 1 0,-1 0 0,1-1 0,0 2 0,1-1 1,0 0-1,0 0 0,1 1 0,0-1 0,0 1 0,1-1 1,0 1-1,1-1 0,2 12 0,-3-18-26,1 1-1,0-1 1,1 1 0,-1-1-1,0 0 1,1 1 0,-1-1-1,1 0 1,-1 0 0,1 0-1,0 0 1,0 0 0,0-1-1,0 1 1,1-1 0,-1 1-1,0-1 1,0 0 0,1 0-1,-1 0 1,1 0 0,-1 0-1,1 0 1,0-1-1,-1 1 1,1-1 0,0 0-1,-1 1 1,1-1 0,0-1-1,-1 1 1,1 0 0,-1-1-1,1 1 1,0-1 0,-1 0-1,1 0 1,-1 0 0,1 0-1,-1 0 1,2-2 0,2-2 43,-1 0-1,-1-1 1,1 0 0,-1 0 0,0 0 0,0 0 0,-1-1 0,1 1 0,-2-1 0,1 0 0,-1 0-1,2-9 1,2-8 12,-2 0 0,2-33 0,-1-30 425,-12-156 0,7 241-414,-4-28 334,4 29-361,0 0-1,0 0 1,0 1 0,0-1 0,0 0-1,0 1 1,0-1 0,0 0-1,0 1 1,0-1 0,-1 0-1,1 1 1,0-1 0,-1 0-1,1 1 1,0-1 0,-1 1 0,1-1-1,0 1 1,-1-1 0,1 1-1,-1-1 1,1 1 0,-1-1-1,0 1 1,1-1 0,-1 1 0,1 0-1,-1-1 1,-1 1 0,1 1-19,0 0 1,0 0 0,0 0-1,1 1 1,-1-1 0,0 0-1,0 0 1,1 1 0,-1-1 0,1 1-1,-1-1 1,1 1 0,-1-1-1,1 1 1,0-1 0,0 1-1,0-1 1,0 1 0,0 1 0,-1 5-6,-3 41 16,2 1 0,2 0 1,2 0-1,2 0 0,2-1 1,3 0-1,25 85 0,0-47-926,-18-52-7996</inkml:trace>
  <inkml:trace contextRef="#ctx0" brushRef="#br0" timeOffset="26876.65">23895 141 8052,'0'0'2321,"98"4"-2914,-36 7-9107</inkml:trace>
  <inkml:trace contextRef="#ctx0" brushRef="#br0" timeOffset="27111.54">25550 615 16408,'0'0'7315,"0"23"-7411,0-14-1825,-5-3-2513</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5:17.877"/>
    </inkml:context>
    <inkml:brush xml:id="br0">
      <inkml:brushProperty name="width" value="0.05" units="cm"/>
      <inkml:brushProperty name="height" value="0.05" units="cm"/>
      <inkml:brushProperty name="color" value="#E71224"/>
    </inkml:brush>
  </inkml:definitions>
  <inkml:trace contextRef="#ctx0" brushRef="#br0">0 730 3089,'0'0'11499,"11"0"-11064,62-3 258,79-12 0,-4-9-3597,-104 15-1013,-16-2-1349</inkml:trace>
  <inkml:trace contextRef="#ctx0" brushRef="#br0" timeOffset="218.45">320 583 3986,'0'0'14297,"-2"-10"-13459,-3-32-635,5 42-202,0 0 1,0 0-1,0-1 1,0 1 0,0 0-1,-1 0 1,1-1 0,0 1-1,0 0 1,0 0-1,0-1 1,0 1 0,0 0-1,0-1 1,0 1 0,0 0-1,1 0 1,-1-1-1,0 1 1,0 0 0,0 0-1,0-1 1,0 1 0,0 0-1,0 0 1,1-1-1,-1 1 1,0 0 0,0 0-1,0 0 1,1-1 0,-1 1-1,0 0 1,0 0-1,1 0 1,-1 0 0,0-1-1,0 1 1,1 0 0,-1 0-1,0 0 1,0 0-1,1 0 1,-1 0 0,0 0-1,0 0 1,1 0 0,-1 0-1,0 0 1,1 0-1,11 6 75,-11-5-58,5 4-1,0 0 1,0 0 0,0 1 0,-1-1-1,0 1 1,0 0 0,0 1 0,-1-1-1,0 1 1,0 0 0,-1 0 0,0 0-1,0 0 1,-1 1 0,0-1 0,2 10-1,-3-12-278,0 1 0,-1 0-1,1-1 1,-1 1 0,0-1-1,-1 1 1,1 0 0,-1-1-1,0 1 1,-1-1-1,1 0 1,-1 1 0,0-1-1,-1 0 1,1 0 0,-1 0-1,0 0 1,0-1 0,0 1-1,-1-1 1,0 0 0,1 0-1,-7 5 1,-20 11-4528</inkml:trace>
  <inkml:trace contextRef="#ctx0" brushRef="#br0" timeOffset="1761.41">1103 1016 4818,'0'0'8975,"-4"21"-8343,4-18-628,0-1 0,0 1 0,0-1 1,0 1-1,0-1 0,0 1 0,1-1 0,0 1 0,-1-1 0,1 1 0,0-1 0,0 0 0,0 0 0,0 1 0,1-1 0,-1 0 0,1 0 1,-1 0-1,1 0 0,0 0 0,0-1 0,0 1 0,0 0 0,0-1 0,0 0 0,0 1 0,0-1 0,0 0 0,1 0 0,-1 0 1,0 0-1,1-1 0,-1 1 0,1-1 0,-1 1 0,1-1 0,4 0 0,-5 0 6,1 0 0,-1 0 0,0 0 1,0-1-1,1 1 0,-1-1 0,0 1 0,0-1 0,0 0 1,0 0-1,0 0 0,0 0 0,0 0 0,0 0 0,0-1 0,0 1 1,0-1-1,-1 1 0,1-1 0,-1 0 0,1 1 0,-1-1 1,0 0-1,0 0 0,0 0 0,0 0 0,0 0 0,1-5 0,3-6-26,-2 0 0,0-1 0,3-25 0,-4 21 18,7-91-53,-6-168 0,-5 143 94,2 35 2193,3 133-2179,1 0 0,1 0 1,21 65-1,-11-43 93,2 16-56,-5-18-48,2-1 1,2 0 0,37 80-1,-53-132-39,1 0-1,-1 0 1,1 0-1,-1 0 1,1 0-1,-1-1 1,1 1-1,-1 0 1,1 0-1,0 0 1,0 0-1,0-1 1,-1 1-1,1 0 1,0-1-1,0 1 1,1 0 0,-1-1 0,-1 0 1,1 0 0,-1-1 0,0 1 0,1 0 0,-1-1 0,0 1 0,1 0-1,-1 0 1,0-1 0,1 1 0,-1-1 0,0 1 0,0 0 0,1-1 0,-1 1-1,0-1 1,0 1 0,0-1 0,0 1 0,1 0 0,-1-1 0,0 1 0,0-1-1,0 1 1,0-1 0,1-46 260,-1 41-308,0-6-16,0-1 1,-1 1 0,-1 0 0,0 0-1,-1 0 1,0 0 0,-8-19 0,8 24-3,-1 1 0,1-1 1,-1 1-1,0 0 0,-1 0 1,0 0-1,0 1 0,0-1 1,0 1-1,-1 0 0,0 1 0,0 0 1,0-1-1,-8-2 0,12 6 45,0-1-1,-1 1 1,1 0-1,-1 0 1,0 0-1,1 1 0,-1-1 1,0 0-1,0 1 1,1 0-1,-1 0 1,0 0-1,0 0 0,0 0 1,1 0-1,-1 1 1,-4 1-1,5-1 14,0 0 0,0 0 0,1 0 0,-1 0 0,0 1 0,1-1 0,0 1 0,-1-1 0,1 1 0,0-1 0,0 1 0,-1 0 0,1 0-1,1 0 1,-1-1 0,0 1 0,0 0 0,1 0 0,-1 0 0,1 0 0,-1 0 0,1 0 0,0 3 0,-2 6-75,1 0 0,0 1 0,1-1 1,0 1-1,1-1 0,0 0 0,0 1 0,2-1 0,-1 0 0,1 0 1,1 0-1,0 0 0,1-1 0,0 0 0,0 1 0,13 16 0,-12-20-122,-1 0-1,1 0 1,0-1-1,0 0 1,1-1-1,0 1 1,0-1-1,0 0 0,0-1 1,1 0-1,0 0 1,0-1-1,0 1 1,0-2-1,0 1 1,1-1-1,-1-1 1,1 1-1,0-2 0,-1 1 1,10-1-1,-14 0 168,-1-1-1,1 1 0,-1-1 0,1 0 0,-1 0 1,0 0-1,0 0 0,1 0 0,-1-1 0,0 1 0,0-1 1,0 0-1,-1 0 0,1 0 0,5-5 0,-4 2 48,1-1-1,-1 0 1,0 0-1,0 0 0,-1 0 1,1 0-1,2-10 1,0-3 497,0-1 0,-1-1 0,-1 1 0,1-30 0,-3-42 4187,-2 102-4740,0 11 55,0 1 0,1-1-1,1 0 1,1 0 0,8 28-1,-10-44-103,1-1-1,0 1 1,0 0 0,0-1-1,0 1 1,1-1 0,0 0-1,0 0 1,0 0 0,0 0-1,1-1 1,-1 1 0,1-1-1,0 0 1,0 0-1,0 0 1,0-1 0,1 1-1,-1-1 1,1 0 0,0 0-1,-1 0 1,1-1 0,0 0-1,0 0 1,0 0-1,0-1 1,0 1 0,7-1-1,-10 0 67,1 0-1,0-1 0,-1 1 0,1 0 1,-1-1-1,1 0 0,-1 1 0,1-1 1,-1 0-1,0 0 0,1 0 0,-1-1 1,0 1-1,0 0 0,0-1 0,0 0 1,0 1-1,2-3 0,-1 0 18,0 0-1,-1 0 1,1 0-1,-1-1 1,0 1-1,0-1 0,0 1 1,-1-1-1,2-5 1,0-12 583,0 0 1,-1-1-1,-3-32 1,1 32 676,-1 46-605,0 1-394,1 1-1,4 34 0,-3-53-389,-1 0 0,2 1 0,-1-1 0,1 0-1,0 0 1,0 0 0,0-1 0,1 1 0,0 0 0,0-1-1,0 0 1,1 0 0,0 0 0,0 0 0,0 0 0,5 4-1,-6-8 91,-1 1-1,1 0 0,-1-1 0,1 0 1,-1 1-1,1-1 0,0 0 1,0 0-1,0-1 0,-1 1 0,1-1 1,0 1-1,0-1 0,0 0 1,0 0-1,0 0 0,0 0 0,0-1 1,0 1-1,-1-1 0,1 0 1,0 1-1,0-1 0,-1-1 0,1 1 1,0 0-1,-1-1 0,1 1 1,-1-1-1,0 0 0,1 0 0,-1 0 1,0 0-1,0 0 0,0 0 0,-1 0 1,1-1-1,0 1 0,-1-1 1,0 1-1,3-6 0,0-5 185,0 0 0,-1-1 0,0 1 0,-1-1 0,1-21 0,-5-72 992,1 95-896,0-1 1,-2 1 0,1-1 0,-1 1-1,-1 0 1,0 0 0,-1 0-1,0 1 1,-1 0 0,-9-15 0,14 26-232,1 0 0,0-1 0,0 1 0,0 0 0,0 0 0,0-1 0,0 1 0,-1 0 0,1-1 0,0 1 0,0 0 0,0 0 0,-1 0 0,1-1 0,0 1 0,0 0 0,-1 0 0,1 0 0,0 0 0,0-1 0,-1 1 0,1 0 0,0 0 0,-1 0 0,1 0 0,0 0 0,0 0 0,-1 0 0,1 0 0,0 0 0,-1 0 0,1 0 0,0 0 0,0 0 0,-1 0 0,1 0 0,-1 0 0,-4 12 26,1 23-71,4-33 53,-1 17-9,0 1 0,2-1 0,0 0-1,1 1 1,1-1 0,1 0 0,0 0-1,2-1 1,10 28 0,-15-46-9,7 20-132,2 0 0,19 28 0,-1-18-3628,-24-28 598</inkml:trace>
  <inkml:trace contextRef="#ctx0" brushRef="#br0" timeOffset="3579.33">1885 856 1857,'0'0'6381,"16"2"-6034,128 5-307,-140-6-193,1-1-1,-1-1 0,1 1 1,-1-1-1,0 1 0,1-1 1,-1 0-1,0-1 0,0 1 1,0-1-1,0 0 0,8-4 1,-10 4 185,0 0 0,0-1 1,0 1-1,0 0 1,0-1-1,0 1 0,-1-1 1,1 0-1,-1 1 1,0-1-1,0 0 0,0 0 1,0 0-1,0 0 0,-1 0 1,1 0-1,-1 0 1,0 0-1,0-5 0,0 2 481,0 1 251,0 0 0,0 0 0,0 0 0,-1 0-1,-1-8 1,1 12-716,1 1-1,0-1 1,0 0-1,-1 1 1,1-1-1,0 0 1,-1 1-1,1-1 1,-1 1-1,1-1 1,-1 1-1,1-1 1,-1 1-1,1-1 1,-1 1-1,0-1 1,1 1-1,-1 0 1,0-1 0,1 1-1,-1 0 1,0 0-1,1-1 1,-1 1-1,0 0 1,1 0-1,-1 0 1,0 0-1,0 0 1,1 0-1,-1 0 1,0 0-1,0 0 1,1 0-1,-1 0 1,0 1-1,1-1 1,-1 0-1,0 1 1,1-1-1,-1 0 1,0 1-1,1-1 1,-1 0 0,1 1-1,-1-1 1,0 2-1,-2 0-16,1 0-1,-1 0 1,1 1-1,-1-1 1,1 1-1,0 0 1,0 0-1,0-1 1,1 1-1,-1 1 1,1-1 0,-1 0-1,1 0 1,0 0-1,0 1 1,1-1-1,-1 5 1,-2 9-54,2-1 1,0 20 0,1-33 30,0 6-4,0 0 0,0 0 0,1 0 0,1-1 1,-1 1-1,1 0 0,6 15 0,-6-20-16,0-1 0,0 0 0,0 0 0,0 0-1,0-1 1,0 1 0,1 0 0,-1-1 0,1 1 0,0-1 0,0 0 0,0 0 0,0 0-1,0 0 1,0-1 0,1 1 0,-1-1 0,0 0 0,1 0 0,-1 0 0,1 0 0,5 0-1,-6 0-2,1-1 0,-1 1-1,1-1 1,-1 0-1,0 0 1,1 0-1,-1-1 1,0 1-1,1-1 1,-1 1-1,0-1 1,1 0-1,-1-1 1,0 1-1,0 0 1,0-1-1,0 0 1,0 1-1,4-5 1,-4 3 26,-1-1 0,1-1 0,0 1-1,-1 0 1,0 0 0,0-1 0,0 1 0,-1-1 0,1 0 0,-1 0-1,0 1 1,-1-1 0,1-6 0,4-63 342,-5 69-300,0-1 1,0 1-1,-1-1 1,0 1-1,0 0 1,0 0-1,-1-1 1,0 1 0,0 0-1,0 0 1,-4-6-1,6 11-59,-1-1-1,1 0 1,0 1-1,-1-1 1,1 1-1,-1-1 1,1 0 0,-1 1-1,1 0 1,-1-1-1,1 1 1,-1-1-1,1 1 1,-1-1-1,0 1 1,1 0-1,-1 0 1,0-1-1,1 1 1,-1 0 0,0 0-1,-1 0 1,-6 10 16,3 25 46,4-25-144,2 1 0,-1-1 1,1 1-1,1-1 1,0 1-1,0-1 1,1 0-1,1 0 1,-1 0-1,9 14 1,-8-17-269,0-1 1,0 0 0,1 0-1,0 0 1,0-1 0,0 1-1,1-1 1,-1-1 0,1 1-1,0-1 1,1 0 0,-1 0-1,1-1 1,0 0-1,13 4 1,-16-5 180,0-1-1,1 0 1,-1 0-1,1-1 1,-1 1-1,0-1 1,1 0-1,-1 0 0,7-1 1,-9 0 199,0 1-1,-1-1 1,1 1-1,0-1 1,0 0-1,-1 0 1,1 0-1,0 0 1,-1 0 0,1 0-1,-1-1 1,0 1-1,1 0 1,-1-1-1,0 1 1,0-1-1,0 1 1,0-1-1,0 0 1,0 0 0,0 1-1,0-1 1,0-2-1,6-22 1509,-2 0 0,3-30 0,-5 31-114,1 0 0,11-36 0,-15 60-1386,0 1 1,0-1 0,0 0-1,1 0 1,-1 0 0,0 0 0,1 1-1,-1-1 1,0 0 0,1 0-1,-1 1 1,1-1 0,0 0 0,-1 1-1,1-1 1,-1 0 0,1 1-1,0-1 1,-1 1 0,1-1 0,0 1-1,0 0 1,-1-1 0,1 1-1,0 0 1,0-1 0,0 1 0,0 0-1,0 0 1,-1 0 0,1 0-1,0 0 1,0 0 0,0 0-1,0 0 1,0 0 0,-1 0 0,1 0-1,0 0 1,0 1 0,0-1-1,0 0 1,-1 1 0,1-1 0,0 1-1,0-1 1,0 1 0,3 2-40,0-1 0,-1 1 0,1 0 0,-1 1 1,1-1-1,-1 0 0,3 6 0,6 10 1,-2 0 1,0 1-1,-2 0 0,11 35 1,7 16-1050,-26-71 1038,0 1 0,0 0 1,1 0-1,-1-1 0,0 1 1,1 0-1,-1 0 0,1-1 1,-1 1-1,1-1 0,-1 1 0,1 0 1,-1-1-1,1 1 0,0-1 1,-1 1-1,1-1 0,0 0 1,-1 1-1,1-1 0,0 0 1,0 1-1,-1-1 0,1 0 0,0 0 1,0 0-1,0 0 0,-1 1 1,1-1-1,0 0 0,0 0 1,0-1-1,-1 1 0,1 0 0,0 0 1,0 0-1,-1 0 0,1-1 1,0 1-1,0 0 0,-1-1 1,1 1-1,0-1 0,-1 1 0,1-1 1,0 1-1,-1-1 0,1 1 1,-1-1-1,1 1 0,-1-1 1,1 0-1,-1 1 0,1-1 1,-1 0-1,0 0 0,1 1 0,-1-1 1,0 0-1,0 0 0,1-1 1,12-70 704,-13 60-382,2 1 0,-1-1 1,1 1-1,1 0 0,0-1 1,1 1-1,0 0 0,1 1 0,8-16 1,-12 25-297,-1 1 0,1-1 1,-1 1-1,1-1 0,-1 1 1,1-1-1,-1 1 0,1 0 1,-1-1-1,1 1 0,-1 0 1,1-1-1,0 1 0,-1 0 1,1 0-1,0-1 0,-1 1 0,1 0 1,0 0-1,-1 0 0,1 0 1,0 0-1,-1 0 0,1 0 1,0 0-1,-1 0 0,1 0 1,0 1-1,-1-1 0,1 0 1,-1 0-1,1 1 0,0-1 1,-1 0-1,1 1 0,-1-1 1,1 0-1,-1 1 0,1-1 1,-1 1-1,1-1 0,-1 1 0,1-1 1,-1 1-1,0-1 0,1 1 1,-1 0-1,18 29-107,-18-30 99,13 30 24,9 32 0,-14-36-777,1-1 0,20 37 0,-29-61 680,1 0 0,-1 0-1,1 0 1,-1 0 0,1 0 0,0 0 0,-1 0 0,1 0 0,0 0-1,-1-1 1,1 1 0,0 0 0,0-1 0,0 1 0,0 0 0,0-1-1,0 1 1,0-1 0,0 1 0,1-1 0,-1 0 56,0 0 1,-1 0-1,1 0 1,0-1-1,-1 1 1,1 0-1,0 0 1,-1-1-1,1 1 1,0-1-1,-1 1 1,1-1 0,-1 1-1,1-1 1,-1 1-1,1-1 1,-1 1-1,1-1 1,-1 0-1,1 1 1,0-2-1,2-4 47,-1-1 1,1 1-1,-1-1 0,2-12 0,0-3 20,1-7 375,1 0-1,1 0 0,1 1 0,17-36 0,-25 64-426,0 0 0,0 0 0,0 1-1,0-1 1,0 0 0,0 0 0,0 1 0,0-1 0,0 0 0,0 0 0,1 0 0,-1 1-1,0-1 1,0 0 0,0 0 0,0 1 0,0-1 0,1 0 0,-1 0 0,0 0 0,0 0 0,0 1-1,1-1 1,-1 0 0,0 0 0,0 0 0,0 0 0,1 0 0,-1 0 0,0 0 0,0 0 0,1 0-1,-1 1 1,0-1 0,0 0 0,1 0 0,-1 0 0,0 0 0,0 0 0,1-1 0,-1 1-1,0 0 1,0 0 0,0 0 0,1 0 0,-1 0 0,0 0 0,0 0 0,1 0 0,-1 0 0,0-1-1,0 1 1,0 0 0,1 0 0,-1 0 0,0 0 0,0-1 0,0 1 0,0 0 0,0 0 0,1-1-1,3 25-185,-4-22 221,4 39-44,5 35-622,-8-70 373,0 0 1,1 0 0,0 1-1,0-1 1,1-1-1,0 1 1,0 0-1,0 0 1,4 4 0,-5-8 64,-1 0 1,1-1 0,-1 1 0,1 0-1,-1-1 1,1 0 0,0 1 0,0-1 0,0 0-1,0 0 1,0 0 0,0 0 0,0-1-1,0 1 1,0 0 0,0-1 0,0 1 0,1-1-1,-1 0 1,0 0 0,0 0 0,0 0-1,1 0 1,-1 0 0,0-1 0,0 1 0,4-2-1,-3 1 98,1-1 0,-1 0 0,0 1 0,1-1 0,-1-1 0,0 1 0,0 0 0,-1-1 0,1 1 0,0-1-1,-1 0 1,0 0 0,1 0 0,2-6 0,0-1 237,-1 0 0,0 0 1,-1-1-1,0 1 0,-1-1 0,2-18 0,-2 0 2381,-3-38-1,1 65-2451,0 0 0,0 0 0,0 1 0,-1-1 0,1 0 0,0 0 0,-1 1 0,0-1 0,1 0 0,-1 1 1,0-1-1,0 0 0,0 1 0,0-1 0,0 1 0,0 0 0,0-1 0,-1 1 0,1 0 0,0 0 0,-1-1 0,-1 0 0,-1 0-3,1 1 0,-1 0 0,1 0 1,-1 0-1,0 0 0,0 0 0,1 1 1,-1-1-1,-6 1 0,9 0-61,0 0 1,0 1-1,0-1 1,0 0-1,0 0 0,0 0 1,0 1-1,1-1 1,-1 1-1,0-1 0,0 1 1,0-1-1,0 1 0,1-1 1,-1 1-1,0-1 1,1 1-1,-1 0 0,0 0 1,1-1-1,-1 1 1,0 1-1,-8 27-22,5 30-68,4-57 91,0-1 5,-1 11-91,1-1-1,1 0 1,0 1 0,0-1-1,1 0 1,4 14 0,-5-22-36,1 0 1,-1 0 0,1 0-1,0-1 1,0 1 0,0 0 0,0-1-1,0 1 1,1-1 0,-1 0-1,1 1 1,-1-1 0,1-1-1,0 1 1,0 0 0,0-1-1,0 1 1,0-1 0,0 0-1,0 0 1,0 0 0,1 0-1,-1-1 1,0 1 0,7-1-1,-7 1 61,0-1-1,1 0 0,-1 0 0,0 0 1,1 0-1,-1 0 0,0-1 0,0 1 1,0-1-1,1 0 0,-1 0 0,0 0 1,0-1-1,0 1 0,0-1 0,-1 1 1,1-1-1,4-3 0,-4 0 141,0 1 0,0 0 1,0-1-1,0 1 0,-1-1 0,0 0 0,0 0 0,0 0 0,0 0 0,-1 0 0,1-6 0,3-16 2276,-2 0 0,1-42 0,-4 82-2372,-1 3 9,1 1 0,1-1-1,1 1 1,0-1 0,7 27 0,-8-40-54,0 0 1,1 0-1,-1 1 1,1-1 0,-1 0-1,1 0 1,0 0-1,0-1 1,0 1-1,1 0 1,-1-1-1,1 1 1,-1-1-1,1 0 1,0 0 0,0 0-1,0 0 1,0-1-1,0 1 1,0-1-1,1 1 1,-1-1-1,0 0 1,1-1 0,-1 1-1,1 0 1,-1-1-1,1 0 1,-1 0-1,1 0 1,-1 0-1,1-1 1,5-1 0,-7 2 51,1-1 1,0 0-1,-1 0 1,0-1-1,1 1 1,-1 0-1,0-1 1,1 0 0,-1 1-1,0-1 1,0 0-1,-1 0 1,1 0-1,0 0 1,-1-1 0,1 1-1,-1 0 1,1-1-1,-1 1 1,1-5-1,3-5 17,0-1-1,4-25 1,-2-8 79,-2 0 1,-2 0-1,-2-1 1,-8-70-1,1 73 538,-2 1 1,-19-61-1,24 99-1,1 8-328,0 20-337,2 37-199,11 7 344,3-1 0,34 102 0,-16-60-113,-20-72-101,6 27-244,-13-23-3952,-11-61-10356</inkml:trace>
  <inkml:trace contextRef="#ctx0" brushRef="#br0" timeOffset="4124.83">3347 730 1217,'0'0'7993,"8"5"-7809,4 4-135,51 29 54,-57-35-90,-1-1-1,0 0 1,0 0-1,1 0 0,-1-1 1,1 1-1,0-2 1,-1 1-1,1 0 0,0-1 1,10-1-1,-15 0 35,1 0 1,0 0-1,-1 0 1,1 0-1,0 0 0,-1-1 1,1 1-1,-1 0 0,0-1 1,1 0-1,-1 1 1,0-1-1,0 1 0,0-1 1,0 0-1,0 0 0,0 0 1,-1 0-1,2-3 0,8-40 2891,-9 27-418,2 51-2103,-1-25-506,0 0 1,1 0 0,0 0-1,0 0 1,6 9-1,-8-14 0,1-1 0,-1 0-1,0 0 1,1 0-1,-1 0 1,1 0 0,0 0-1,0-1 1,0 1-1,0 0 1,0-1 0,0 0-1,0 1 1,0-1-1,0 0 1,1 0 0,-1 0-1,0 0 1,1-1 0,-1 1-1,4 0 1,-5-1 93,0 0 1,0-1-1,0 1 1,0 0 0,0-1-1,0 1 1,0-1-1,0 1 1,0-1-1,0 1 1,0-1 0,0 1-1,-1-1 1,1 0-1,0 0 1,0 1-1,-1-1 1,1 0 0,-1 0-1,1 0 1,-1 0-1,1 0 1,-1 0-1,1 0 1,-1 0 0,1-1-1,6-30 162,-6 27-148,3-15 496,-1 0 0,-1 0 0,-1 0 0,-1 0 0,-3-33 0,3 52-501,0 0-1,0 0 1,-1 0 0,1 0 0,0 0 0,-1 0 0,1 0 0,-1 0 0,1 1 0,-1-1 0,1 0 0,-1 0 0,1 1 0,-1-1 0,0 0-1,0 1 1,1-1 0,-1 0 0,0 1 0,0-1 0,1 1 0,-1-1 0,0 1 0,0 0 0,0-1 0,0 1 0,0 0 0,0 0-1,0 0 1,0-1 0,0 1 0,0 0 0,0 0 0,0 0 0,0 0 0,-1 1 0,0-1-2,1 1 1,-1-1-1,0 0 0,0 1 1,1 0-1,-1-1 0,0 1 1,1 0-1,-1 0 0,1 0 1,-1 0-1,1 0 0,-1 0 1,1 1-1,0-1 0,0 0 1,0 1-1,-2 1 0,-1 6-14,0 0-1,1 0 1,0 1-1,1-1 1,0 0 0,-1 17-1,1 62-26,2-60 36,0-22-105,0 1 0,1-1 0,0 1 0,0-1 0,1 1 0,-1-1-1,1 1 1,1-1 0,-1 0 0,1 0 0,0 0 0,1-1 0,-1 1 0,1-1-1,0 0 1,0 0 0,6 6 0,-5-8-289,-1 1 1,1-1-1,0 1 0,0-1 1,0-1-1,0 1 0,1-1 0,-1 0 1,1 0-1,-1 0 0,1-1 1,10 1-1,25-1-3142,7-1-2587</inkml:trace>
  <inkml:trace contextRef="#ctx0" brushRef="#br0" timeOffset="4547.55">4015 766 4562,'0'0'10418,"-13"-16"-8593,-45-49-360,57 63-1371,-1 0 0,0 0 1,0 0-1,0 0 0,0 0 0,0 1 1,0-1-1,0 1 0,-1 0 1,1-1-1,-1 1 0,1 0 0,-1 0 1,1 1-1,-1-1 0,1 0 1,-1 1-1,0 0 0,1-1 0,-1 1 1,1 0-1,-1 0 0,-3 1 1,-7 0 155,11-1-233,0 1 0,-1-1-1,1 0 1,0 1 0,-1 0 0,1 0 0,0-1 0,0 1 0,0 0 0,0 1 0,0-1-1,0 0 1,0 1 0,0-1 0,0 1 0,0-1 0,1 1 0,-1 0 0,1 0-1,-1-1 1,1 1 0,0 1 0,0-1 0,0 0 0,0 0 0,0 0 0,0 0 0,0 1-1,1-1 1,-1 4 0,-2 7-53,1 1 0,1 0 0,0 25-1,1-35 30,0 1 10,0-1 1,0 0-1,1 0 1,-1 0-1,1 0 1,0 0-1,1 0 1,-1 0-1,0 0 1,1 0-1,0 0 1,0-1-1,0 1 0,1-1 1,-1 0-1,1 1 1,0-1-1,0 0 1,0 0-1,0-1 1,0 1-1,0-1 1,8 4-1,-3-2-67,1 0 0,0 0 0,1-1 0,-1-1 0,0 0 0,1 0-1,0-1 1,-1 0 0,14 0 0,-21-1 54,1 0 1,0 0-1,0-1 1,-1 1-1,1-1 0,0 0 1,0 1-1,-1-1 0,1 0 1,-1 0-1,1-1 0,-1 1 1,1-1-1,-1 1 1,0-1-1,0 0 0,3-2 1,-2 1 8,0-1 0,-1 0 1,1 0-1,-1 0 1,1 0-1,-1-1 1,0 1-1,-1-1 0,2-5 1,1-10 40,-1 0 0,-1 0 0,0-37-1,-2 51-32,0-10 33,0-42 50,-9-68 0,7 109 33,-1 0 1,0 1-1,-2-1 1,0 1-1,-1 0 1,0 0-1,-1 0 1,-16-24-1,16 34 294,5 10-344,2 20-330,0-15 240,2 22-2,0 0 0,2 0-1,1-1 1,11 35 0,48 118 243,-60-172-499,0-1 0,0 0-1,1 1 1,1-2 0,0 1 0,0-1 0,1 1-1,0-2 1,1 1 0,0-1 0,10 8-1,27 10-5553</inkml:trace>
  <inkml:trace contextRef="#ctx0" brushRef="#br0" timeOffset="5265.16">5189 651 2993,'0'0'10904,"-8"-13"-10245,-27-40-83,33 51-478,0 0 0,-1 1-1,1-1 1,-1 1 0,1-1-1,-1 1 1,0 0-1,0 0 1,0 0 0,1 0-1,-1 0 1,0 1 0,0 0-1,0-1 1,0 1 0,0 0-1,0 0 1,0 1 0,0-1-1,0 1 1,0-1 0,-3 2-1,-1-1 170,4 0-206,-1 0-1,0 0 0,0 1 0,0-1 1,1 1-1,-1 0 0,1 0 0,-1 0 1,1 0-1,0 0 0,0 1 1,0 0-1,0-1 0,0 1 0,1 0 1,-1 1-1,1-1 0,0 0 0,0 1 1,0-1-1,-2 8 0,1-3-74,0-1 0,1 1 1,0 0-1,0 1 0,1-1 0,0 0 0,1 0 0,0 0 0,1 15 1,0-18 23,1-1 1,-1 1-1,1 0 0,0-1 1,1 0-1,-1 1 1,1-1-1,0 0 1,0 0-1,0-1 1,0 1-1,1-1 0,-1 1 1,1-1-1,0 0 1,0 0-1,0-1 1,6 3-1,12 7 42,0-1 0,29 9 0,-42-17-81,11 4-62,-7-3-360,0 1 0,-1 0 0,23 14 0,-33-18 351,1 1 0,0 0 0,-1 0 0,0 0 1,1 0-1,-1 1 0,0-1 0,0 0 0,0 1 0,0 0 0,-1 0 0,1-1 1,-1 1-1,1 0 0,-1 0 0,0 0 0,0 0 0,-1 0 0,1 1 0,-1-1 0,1 5 1,-1-6 58,0-1 0,0 1 1,-1-1-1,1 1 1,-1-1-1,1 0 0,-1 1 1,1-1-1,-1 1 0,0-1 1,1 0-1,-1 1 1,0-1-1,0 0 0,0 0 1,0 0-1,0 0 1,-3 2-1,0 0-30,0 0-1,0-1 1,-1 1 0,1-1-1,-9 3 1,-5 0 43,1 0 0,-22 1 0,39-5 31,-25 2 196,0-1-1,1-2 1,-32-1 0,56 1-194,-1 0 0,1 0 0,0 0 0,-1-1 0,1 1 0,-1 0 0,1 0 0,0 0 0,-1 0 0,1 0 0,0 0 0,-1 0 0,1-1 0,0 1 0,0 0 0,-1 0-1,1-1 1,0 1 0,-1 0 0,1 0 0,0-1 0,0 1 0,0 0 0,-1-1 0,1 1 0,0 0 0,0-1 0,0 1 0,0 0 0,-1-1 0,1 1 0,0-1 0,0 1-75,0-1 1,1 1-1,-1-1 0,0 1 1,0-1-1,0 1 0,1-1 1,-1 1-1,0 0 0,1-1 0,-1 1 1,0-1-1,1 1 0,-1 0 1,0-1-1,1 1 0,-1 0 1,1 0-1,-1-1 0,1 1 1,-1 0-1,1 0 0,-1 0 1,1-1-1,-1 1 0,1 0 1,-1 0-1,2 0 0,23-4-3366,6-1-2201</inkml:trace>
  <inkml:trace contextRef="#ctx0" brushRef="#br0" timeOffset="7006.05">5404 784 1505,'0'0'14657,"-7"-6"-14262,-22-17-336,28 23-60,1 0 1,-1 0-1,1 0 0,-1 0 1,0 0-1,1 0 1,-1 0-1,1 0 1,-1 1-1,0-1 1,1 0-1,-1 0 0,1 0 1,-1 1-1,1-1 1,-1 0-1,1 1 1,-1-1-1,1 0 1,-1 1-1,1-1 0,0 0 1,-1 1-1,1-1 1,0 1-1,-1-1 1,1 1-1,0-1 1,-1 1-1,1-1 0,0 1 1,0-1-1,0 1 1,-1 0-1,1-1 1,0 1-1,0-1 1,0 1-1,0-1 1,0 1-1,0 0 0,0-1 1,0 1-1,-3 32-152,3-31 123,0 10 24,-1-1 0,2 1 1,0 0-1,0-1 1,1 1-1,0-1 1,6 16-1,-6-22-9,0-1 1,0 0-1,0 0 0,1 0 0,-1 0 0,1-1 0,0 1 1,0-1-1,1 1 0,-1-1 0,1 0 0,-1 0 0,1-1 0,0 1 1,0-1-1,0 0 0,1 0 0,-1 0 0,0-1 0,1 1 1,7 0-1,-4 0-86,-1 0 1,0-1 0,1-1 0,-1 1 0,1-1-1,-1 0 1,1-1 0,-1 0 0,0 0 0,12-4-1,-14 4 119,-1-2-1,1 1 1,0-1-1,-1 1 1,1-1 0,-1 0-1,0-1 1,0 1-1,0-1 1,-1 0-1,1 0 1,-1 0-1,0 0 1,0 0-1,4-9 1,-2-1 111,1 0-1,-2 0 1,0-1 0,0 0 0,-2 0-1,0 0 1,0 0 0,-2 0-1,0 0 1,0-1 0,-4-14 0,-6-2 526,9 31-634,1 1 0,-1-1-1,1 0 1,-1 0-1,1 0 1,-1 1 0,1-1-1,-1 0 1,0 1 0,1-1-1,-1 0 1,0 1 0,1-1-1,-1 1 1,0-1-1,0 1 1,0 0 0,1-1-1,-1 1 1,0 0 0,0-1-1,0 1 1,0 0 0,0 0-1,0 0 1,0 0-1,0 0 1,1 0 0,-1 0-1,0 0 1,0 0 0,-2 1-1,2 1-27,0-1-1,0 1 0,0 0 1,0 0-1,0 0 1,1 0-1,-1 0 0,1 0 1,-1 0-1,1 1 1,0-1-1,-1 0 0,1 0 1,0 0-1,1 0 1,-1 0-1,1 4 0,-1 0-20,0 2 9,0 0 1,1 0-1,0 0 0,0 0 1,0 0-1,1 0 1,1-1-1,3 11 0,-3-13-100,0-1-1,0 1 0,0 0 1,0-1-1,1 0 0,0 0 0,-1 0 1,2 0-1,-1-1 0,0 1 1,1-1-1,-1 0 0,7 2 0,-8-3-98,1 0-1,0 0 1,0-1-1,0 1 0,0-1 1,0 0-1,0 0 0,0-1 1,1 1-1,-1-1 1,0 0-1,0 0 0,0 0 1,0-1-1,1 0 1,6-1-1,-8 0 196,0 1 0,-1 0 0,1-1 0,-1 1 0,1-1 0,-1 0 0,0 1 0,1-1 0,-1 0 0,0-1-1,0 1 1,-1 0 0,1-1 0,0 1 0,-1-1 0,1 1 0,-1-1 0,0 0 0,0 1 0,0-1 0,0 0 0,-1 0 0,1 0 0,0-3 0,1-26 2158,0-37 0,-2 50-176,-11 56-2009,9-21 61,1 1 1,0-1-1,2 1 0,3 31 1,-3-45-40,-1 1-1,1-1 1,0 0 0,-1 0 0,1 0-1,1 0 1,-1 0 0,0 0 0,1 0-1,0-1 1,-1 1 0,1 0 0,0-1-1,0 1 1,1-1 0,-1 0 0,0 0-1,1 0 1,-1 0 0,1 0 0,0 0-1,0-1 1,0 1 0,-1-1 0,1 0-1,1 0 1,-1 0 0,0 0 0,0-1-1,0 1 1,0-1 0,5 0-1,-4 1 14,-1-1 0,0 0-1,0 0 1,0 0-1,0-1 1,0 1-1,0-1 1,0 1 0,0-1-1,0 0 1,0-1-1,0 1 1,0 0-1,-1-1 1,1 1-1,-1-1 1,1 0 0,-1 0-1,1 0 1,-1 0-1,0 0 1,0-1-1,0 1 1,0-1-1,0 1 1,-1-1 0,1 1-1,-1-1 1,0 0-1,0 0 1,0 0-1,1-4 1,3-13 289,-1 1 0,-1-1 0,0 1 0,-2-1 0,-1-35 0,0 28 518,-8 59-656,8-10-166,-1-12 27,1 1-1,0-1 1,1 1 0,0 0-1,4 13 1,-4-21-60,0 0 0,0 0 1,0 0-1,1-1 0,-1 1 0,1 0 1,0-1-1,0 1 0,0-1 0,0 1 1,0-1-1,0 0 0,1 0 1,-1 0-1,1-1 0,-1 1 0,1 0 1,0-1-1,-1 0 0,1 1 1,0-1-1,0 0 0,4 0 0,-1 1-33,0-1-1,0 0 1,0 0-1,0 0 1,1-1-1,-1 0 1,0 0-1,0-1 1,0 0-1,1 0 1,-1 0-1,0-1 1,0 0 0,-1 0-1,1 0 1,0-1-1,-1 0 1,1 0-1,-1 0 1,7-7-1,-6 5 135,-1 0-1,0-1 0,0 0 1,-1 0-1,0 0 1,0 0-1,0-1 1,-1 0-1,0 1 0,0-1 1,-1 0-1,0-1 1,0 1-1,-1 0 1,1-1-1,-1-13 0,0 6 316,-2-41 2381,1 56-2709,0 0 0,0 0 0,-1-1 0,1 1 0,0 0 0,0 0 0,0-1 0,-1 1 0,1 0 0,0 0-1,0 0 1,-1 0 0,1-1 0,0 1 0,-1 0 0,1 0 0,0 0 0,0 0 0,-1 0 0,1 0 0,0 0 0,-1 0 0,1 0 0,0 0 0,-1 0-1,1 0 1,0 0 0,0 0 0,-1 0 0,1 0 0,0 0 0,-1 0 0,1 0 0,0 0 0,0 1 0,-1-1 0,1 0 0,0 0 0,0 0 0,-1 0 0,1 1-1,0-1 1,0 0 0,-1 0 0,1 0 0,0 1 0,0-1 0,0 0 0,0 1 0,-1-1 0,1 1 0,-4 15-3,0 0 0,1 0 0,1 1 1,0 0-1,1-1 0,1 1 0,2 18 1,-1 7 58,1-1 7,3 1 1,1 0 0,12 43 0,5 29-1640,-22-107 1023,-1-443 2209,0 429-1674,0 1 0,1-1-1,0 1 1,1 0 0,-1-1 0,1 1 0,1 0-1,3-7 1,-6 11-8,1 1 1,-1 0-1,1 0 0,0-1 0,-1 1 1,1 0-1,0 0 0,0 0 0,0 0 1,0 0-1,0 0 0,0 0 0,0 0 1,0 0-1,1 1 0,-1-1 0,0 0 1,0 1-1,1-1 0,-1 1 0,0-1 1,1 1-1,-1 0 0,0-1 0,1 1 1,-1 0-1,1 0 0,-1 0 0,0 0 1,1 0-1,-1 1 0,1-1 0,-1 0 1,0 0-1,1 1 0,-1-1 0,0 1 1,1 0-1,-1-1 0,0 1 0,0 0 1,0-1-1,0 1 0,0 0 0,2 1 1,2 4 3,1 0 0,0 0 0,-1 0 0,0 1 0,-1 0 0,1 0 0,-1 0 0,-1 1 0,1-1 0,2 12 1,0-2-39,-1 1 1,-1-1-1,4 34 0,-7-42-49,-1 27-1758,0-35 1758,0 0 1,0 0-1,-1 0 1,1 0-1,0 0 0,0-1 1,-1 1-1,1 0 0,-1 0 1,1 0-1,0-1 0,-1 1 1,1 0-1,-1-1 0,0 1 1,1 0-1,-1-1 1,0 1-1,1-1 0,-1 1 1,0-1-1,0 1 0,1-1 1,-1 1-1,0-1 0,0 0 1,0 0-1,0 1 1,1-1-1,-1 0 0,0 0 1,0 0-1,-1 0 0,0 0 91,0 0 0,0 0 0,0 0 0,0-1 0,0 1 0,0-1 0,0 1 0,1-1 0,-1 0 0,0 1 0,0-1 0,1 0 0,-1 0 1,1 0-1,-1-1 0,1 1 0,-1 0 0,1-1 0,-1 1 0,1 0 0,0-1 0,0 0 0,0 1 0,0-1 0,-1-2 0,-14-17 1128,15 21-1135,1 0-1,-1 0 1,1 0-1,0 0 0,-1 0 1,1 0-1,-1 1 1,1-1-1,0 0 1,-1 0-1,1 0 0,-1 1 1,1-1-1,0 0 1,0 1-1,-1-1 1,1 0-1,0 1 0,-1-1 1,1 0-1,0 1 1,0-1-1,0 0 1,-1 1-1,1-1 0,0 1 1,0-1-1,0 1 1,0-1-1,0 0 1,0 1-1,0-1 0,0 1 1,0-1-1,0 1 1,0 0-1,-4 17-231,3-13 224,0 1-21,1 0 1,-1 0 0,1 0 0,1 1-1,-1-1 1,1 0 0,1 8 0,-1-13 20,0 1 1,0 0 0,0-1-1,0 1 1,0-1 0,0 0 0,0 1-1,1-1 1,-1 0 0,0 0-1,1 1 1,-1-1 0,1 0 0,-1-1-1,1 1 1,0 0 0,-1 0-1,1-1 1,0 1 0,0-1 0,-1 1-1,1-1 1,0 0 0,0 1-1,0-1 1,-1 0 0,1 0 0,3-1-1,2 1 34,0-1 0,0 0 0,0 0 0,0-1 0,-1 0 0,1 0 0,-1-1 0,1 1-1,-1-1 1,9-6 0,7-6 59,29-25 1,-21 15-38,-15 14-25,-1-1 0,-1-1 0,0 0 0,0 0 0,-2-1-1,11-16 1,-15 19 54,-1-1-1,-1 1 1,0-1 0,-1 1-1,0-1 1,0-1-1,-2 1 1,1 0 0,0-22-1,-2 13 140,2-8 405,-3-46 1,-1 68-497,1 1 1,-1-1-1,0 1 1,-1-1-1,1 1 1,-1-1-1,0 1 0,-1 0 1,0 0-1,0 0 1,0 1-1,-8-11 1,11 14-90,-1 1 1,0 1-1,0-1 1,0 0-1,0 0 1,0 0-1,0 0 0,0 1 1,0-1-1,0 0 1,0 1-1,0-1 1,0 1-1,0-1 1,0 1-1,-1-1 1,1 1-1,0 0 1,-3-1-1,4 2-28,-1-1 0,0 0 0,0 1 0,1-1-1,-1 1 1,0-1 0,1 1 0,-1-1 0,1 1 0,-1-1 0,1 1-1,-1 0 1,1-1 0,-1 1 0,1 0 0,-1-1 0,1 1 0,0 0-1,-1 0 1,1-1 0,0 1 0,0 1 0,-2 7-18,0-1 0,1 1 0,1 0 0,0 9 1,0-16 23,0-1-14,-1 19 34,1-1 1,1 1 0,1-1-1,0 0 1,2 0 0,7 25 0,6 4 2,3-2 0,48 84 1,-68-129 329,8 9-3529,-5-20-5390,-3-13-452</inkml:trace>
  <inkml:trace contextRef="#ctx0" brushRef="#br0" timeOffset="7178.29">6598 538 5330,'0'0'10629,"130"-9"-10068,-89 9-561,1 0 0,-5 0-481,-12 0-2624,-12-10-6419</inkml:trace>
  <inkml:trace contextRef="#ctx0" brushRef="#br0" timeOffset="7379.46">5940 239 7972,'0'0'2753</inkml:trace>
  <inkml:trace contextRef="#ctx0" brushRef="#br0" timeOffset="8380.17">7657 500 5410,'0'0'13876,"1"5"-13638,34 118 483,-24-92-637,-1 0 0,-2 0 0,-1 1 0,4 49 0,-10-65-118,-1 21-1454,0-36 1229,-1 0 0,1 0 0,0 0 0,0 0 0,-1-1 0,1 1 0,-1 0 1,1 0-1,-1 0 0,1-1 0,-1 1 0,1 0 0,-1 0 0,0-1 0,1 1 1,-1-1-1,0 1 0,0 0 0,0-1 0,1 1 0,-1-1 0,0 0 0,0 1 0,0-1 1,0 0-1,0 0 0,0 1 0,1-1 0,-1 0 0,0 0 0,0 0 0,-2 0 1,-13 0-5908</inkml:trace>
  <inkml:trace contextRef="#ctx0" brushRef="#br0" timeOffset="8927.39">7533 734 4722,'0'0'8625,"4"-4"-7464,-3 3-1139,1 0 1,0 0-1,0 0 0,0 0 1,0 0-1,0 0 0,0 0 1,0 0-1,0 1 1,0-1-1,0 1 0,0 0 1,0 0-1,0 0 0,1 0 1,-1 0-1,3 0 0,48 11 257,-12-3-149,-29-7-110,1 1 10,-1 0 0,2-2 0,19 0 0,-30 0-35,0-1 0,0 1 0,0-1 0,0 0 1,0 0-1,0 0 0,0 0 0,0 0 0,0-1 0,0 1 0,-1-1 0,1 0 0,-1 0 1,1 0-1,-1 0 0,0 0 0,0 0 0,0 0 0,0-1 0,2-2 0,1-6 4,0 1 0,-1-1 0,0 1 0,-1-1 0,0 0 0,-1-1 0,2-20 0,-2-84 89,-3 69 16,1 6 535,0 28 135,0 27 415,-1 40-1146,3 0 0,3 0 1,20 97-1,-17-120-47,1-1 1,25 54-1,-34-84 9,0 0 0,0 0 0,0 1 0,0-1 0,0 0 0,0 1 0,1-1 0,-1 0 0,0 0 0,0 0 0,0 1 0,0-1 0,1 0 0,-1 0-1,0 1 1,0-1 0,0 0 0,1 0 0,-1 0 0,0 0 0,0 1 0,0-1 0,1 0 0,-1 0 0,0 0 0,1 0 0,-1 0 0,0 0 0,0 0 0,1 0-1,-1 0 1,0 0 0,0 0 0,1 0 0,-1 0 0,6-9 212,0-16 74,-3-31 137,-4 45-332,1-1-1,1 0 1,0 1-1,0-1 0,1 1 1,0 0-1,1 0 1,1 0-1,0 0 1,7-15-1,-10 24-101,-1 1 0,1 0 1,0-1-1,0 1 0,0-1 0,1 1 0,-1 0 0,0 0 1,0-1-1,1 1 0,-1 0 0,1 0 0,-1 1 0,1-1 0,-1 0 1,1 0-1,-1 1 0,1-1 0,0 1 0,-1-1 0,1 1 1,0 0-1,-1-1 0,1 1 0,0 0 0,0 0 0,-1 0 1,1 1-1,0-1 0,-1 0 0,1 1 0,0-1 0,-1 1 1,1-1-1,0 1 0,-1 0 0,1 0 0,-1 0 0,1-1 1,1 3-1,3 2-16,-1-1 1,0 1-1,0 1 1,0-1 0,0 0-1,-1 1 1,0 0-1,5 10 1,13 43-873,-19-47 226,1-1-1,0 1 0,1-1 0,0 0 0,10 14 1,-14-23 317,0 0 1,0-1-1,1 1 1,-1-1 0,1 1-1,-1-1 1,1 0 0,0 0-1,-1 0 1,1 0-1,0 0 1,0 0 0,0 0-1,0 0 1,0-1-1,0 1 1,4 0 0,17 0-3943</inkml:trace>
  <inkml:trace contextRef="#ctx0" brushRef="#br0" timeOffset="9564.07">8344 673 4162,'0'0'11440,"-14"-11"-10923,3 1-441,0 1 0,0 1 0,-16-9 1,26 17-73,0-1 1,0 1 0,0 0-1,0 0 1,0-1 0,0 1-1,0 0 1,0 0 0,0 0-1,0 0 1,0 0 0,0 0-1,0 0 1,0 0 0,0 1 0,0-1-1,0 0 1,0 0 0,0 1-1,1-1 1,-1 1 0,0-1-1,0 1 1,0-1 0,0 1-1,0 0 1,1-1 0,-1 1 0,-1 1-1,-13 26 104,11-20-79,-1 4-41,1 0 0,0 0 0,1 1-1,1-1 1,0 1 0,0 0 0,1 0 0,1 21 0,1-32-6,-1 0 1,0 1-1,1-1 1,-1 1 0,1-1-1,0 0 1,0 1-1,0-1 1,0 0 0,0 0-1,1 0 1,-1 0-1,1 0 1,-1 0-1,1 0 1,0 0 0,-1-1-1,1 1 1,0-1-1,0 1 1,0-1 0,1 0-1,-1 1 1,0-1-1,0 0 1,1-1 0,-1 1-1,0 0 1,1-1-1,4 1 1,-3 0 14,1 0-1,-1-1 1,0 1-1,1-1 1,-1 0 0,1-1-1,-1 1 1,1-1-1,-1 1 1,1-2-1,-1 1 1,0 0 0,0-1-1,0 0 1,0 1-1,8-6 1,-6 0 42,0 0-1,0 0 1,0-1 0,-1 0 0,0 0-1,0 0 1,-1 0 0,0-1-1,0 0 1,-1 1 0,-1-1 0,1-1-1,1-13 1,0-3 1322,-2-1 0,0-34 0,-2 57-586,-1 45-858,0 38 81,1-73-37,1 0 0,0 0 0,0 0 0,0 0 1,1-1-1,0 1 0,0 0 0,0-1 0,1 0 0,4 7 1,-6-9-14,1-1 1,-1 0 0,1 0 0,0 0 0,0 0 0,0-1 0,0 1 0,0-1 0,0 1 0,1-1 0,-1 0 0,1 1-1,-1-1 1,0 0 0,1-1 0,0 1 0,-1 0 0,1-1 0,-1 1 0,1-1 0,0 0 0,-1 0 0,1 0 0,0 0-1,-1-1 1,1 1 0,0-1 0,-1 1 0,1-1 0,3-2 0,0 1 58,-1-1-1,1 0 1,-1 0 0,0 0-1,0-1 1,-1 0 0,1 0-1,-1 0 1,0 0 0,0-1 0,0 1-1,5-9 1,-3 1 9,0-1 0,-1 0 1,0 0-1,-1-1 0,0 1 1,-1-1-1,2-23 0,-1-101 405,-4 94-150,0 23-38,-1 0 0,-1 0 0,0 0 1,-2 1-1,0-1 0,-1 1 1,-1-1-1,-14-28 0,18 84-289,5 2 83,1-1 0,2 1 0,1-1-1,24 67 1,-17-59-573,-2 1 0,11 69-1,-23-98-1999,0-12-51</inkml:trace>
  <inkml:trace contextRef="#ctx0" brushRef="#br0" timeOffset="9706.15">8574 538 1665,'0'0'2001,"114"47"-3298</inkml:trace>
  <inkml:trace contextRef="#ctx0" brushRef="#br0" timeOffset="10221.76">9349 532 7668,'0'0'14606,"-1"3"-14558,0-1-36,0 1-1,1 0 1,-1 0-1,1 0 1,0 0-1,-1-1 1,1 1-1,1 0 1,-1 0-1,0 0 1,1 0-1,-1 0 0,1 0 1,2 4-1,2 10 57,10 59 45,56 241 455,-68-304-585,-2-8-15,0 0-1,0 0 1,1 0-1,0 0 1,-1 0-1,2-1 1,-1 1-1,0-1 1,6 7-1,-8-10 26,0-1-1,0 0 0,1 0 1,-1 1-1,0-1 1,0 0-1,0 0 0,0 0 1,1 0-1,-1 1 1,0-1-1,0 0 0,1 0 1,-1 0-1,0 0 1,0 0-1,0 0 0,1 0 1,-1 1-1,0-1 1,0 0-1,1 0 0,-1 0 1,0 0-1,0 0 1,1 0-1,-1 0 0,0 0 1,0 0-1,1 0 1,-1-1-1,0 1 0,0 0 1,1 0-1,-1 0 1,1 0-1,3-11 34,-3-18 183,-1 25-251,0-25 69,-1-1-1,-2 0 1,0 1 0,-11-42 0,-7 2 21,8 28-4,1 0 0,3-1-1,1 0 1,-4-71-1,12 113-62,0 0 1,0 0-1,0-1 0,0 1 0,0 0 0,1 0 1,-1-1-1,0 1 0,0 0 0,0 0 0,0 0 1,1 0-1,-1-1 0,0 1 0,0 0 0,1 0 1,-1 0-1,0 0 0,0 0 0,1 0 0,-1 0 0,0-1 1,0 1-1,1 0 0,-1 0 0,0 0 0,0 0 1,1 0-1,-1 0 0,0 0 0,1 0 0,-1 0 1,0 1-1,0-1 0,1 0 0,-1 0 0,0 0 1,0 0-1,1 0 0,-1 1 0,13 3-7,-3 4 43,-1 0 1,0 0-1,0 1 1,0 0-1,-1 0 1,10 15-1,1 6-2,18 33 0,-31-51-146,-1 0 0,0 0 0,5 23 1,-8-28-129,-1-1 1,0 1 0,0-1 0,-1 1-1,0-1 1,0 1 0,0-1 0,-1 1-1,-3 11 1,4-17 75,-1 1 0,0 0 1,0-1-1,1 1 0,-1 0 0,-1-1 0,1 1 0,0-1 0,0 0 0,0 1 0,-1-1 0,1 0 0,-1 0 1,1 0-1,-3 2 0,-9 0-6466</inkml:trace>
  <inkml:trace contextRef="#ctx0" brushRef="#br0" timeOffset="11449.84">9736 626 2593,'0'0'14129,"-3"-6"-13662,1 4-452,-11-16 27,7 20-110,3 17-86,2-14 137,1-1 0,0 1 1,0-1-1,0 1 0,1 0 0,0-1 1,0 1-1,0-1 0,0 0 0,1 1 1,-1-1-1,1 0 0,3 5 0,-3-6-23,1-1-1,-1 0 1,0 1-1,1-1 1,0 0-1,-1 0 0,1-1 1,0 1-1,0 0 1,0-1-1,0 0 1,0 0-1,0 0 0,0 0 1,1 0-1,-1 0 1,0-1-1,0 0 1,5 0-1,-7 1 17,1-1 1,0 0-1,-1 0 1,1 0-1,0 0 0,-1 0 1,1 0-1,0 0 0,-1-1 1,1 1-1,-1-1 1,1 1-1,-1-1 0,1 0 1,-1 1-1,1-1 1,-1 0-1,1 0 0,-1 0 1,0 0-1,0 0 1,1 0-1,-1-1 0,0 1 1,0 0-1,0 0 0,0-1 1,0-1-1,1-3 56,0 1-1,-1-1 1,0 0-1,0 0 1,0 0-1,-1-11 1,0 3 7,1-8 342,-3-42 0,1 57-202,0 1-1,-1 0 1,1-1 0,-1 1 0,0 0 0,-1 0 0,1 0 0,-1 1 0,-1-1 0,1 1 0,-6-7 0,9 11-147,-1 0 0,0 0-1,1 0 1,-1 0 0,0 0 0,0 0 0,0 0 0,0 1 0,0-1 0,0 0 0,0 1 0,0-1-1,0 0 1,0 1 0,0-1 0,0 1 0,0 0 0,0-1 0,0 1 0,-1 0 0,1 0 0,0 0 0,0 0-1,0 0 1,-2 0 0,2 1-23,-1-1-1,1 1 1,0 0 0,0 0-1,0 0 1,-1 0-1,1 0 1,0 0-1,0 0 1,1 0 0,-1 1-1,0-1 1,0 0-1,0 0 1,1 1-1,-2 2 1,-1 5-54,1 0 0,-1 1 0,2-1 0,-2 18-1,2-10 39,1 0-1,1 0 1,0 0-1,1-1 1,1 1-1,7 24 1,-7-34-30,-1 0 1,1 0-1,1 0 1,-1 0-1,1-1 1,0 1-1,1-1 1,0 0-1,0-1 1,0 1-1,0-1 1,1 0-1,0 0 1,0-1-1,0 1 1,1-1-1,6 3 1,-8-5-76,-1 0 1,1 0 0,0 0-1,-1-1 1,1 0-1,0 0 1,0 0-1,0 0 1,0-1 0,0 0-1,0 0 1,0 0-1,0 0 1,0-1 0,0 0-1,-1 0 1,8-3-1,-8 2 109,0 0 1,0-1-1,0 1 0,0-1 0,-1 0 0,1 0 0,-1 0 1,0-1-1,1 1 0,-2-1 0,1 0 0,0 1 0,-1-1 0,0 0 1,0-1-1,0 1 0,0 0 0,1-7 0,1-7 423,-1 0 1,0-1-1,-2 1 0,0-1 1,-2-23-1,0 4 1770,1 37-1721,0 11-557,0 0-27,0 11 101,0 0-1,6 32 1,-5-47-158,0-1 1,1 1 0,-1-1-1,1 0 1,0 0 0,0 0-1,1 0 1,-1 0 0,1 0-1,0-1 1,1 1 0,-1-1-1,1 0 1,0 0 0,6 5-1,-9-8 118,1 0-1,-1 0 1,1 0-1,-1 0 1,1 0-1,0 0 1,-1 0 0,1 0-1,0-1 1,0 1-1,0-1 1,-1 1-1,1-1 1,0 0-1,0 0 1,0 0-1,0 0 1,0 0 0,0 0-1,-1 0 1,1-1-1,4 0 1,-4-1 54,0 1 1,1-1 0,-1 0-1,0 1 1,0-1-1,0 0 1,0 0-1,0-1 1,-1 1 0,1 0-1,-1 0 1,1-1-1,1-4 1,3-8 351,-1 0 1,-1-1-1,0 1 1,2-19-1,-5 31-254,6-53 2669,-8 88-2847,0-16 133,0 1-1,2 0 0,0-1 0,4 26 1,-4-38-128,0-1 0,0 0 0,0 1 1,0-1-1,0 0 0,1 0 0,-1 0 0,1 0 0,0 0 1,0 0-1,0 0 0,0-1 0,1 1 0,-1-1 1,1 1-1,-1-1 0,1 0 0,0 0 0,0 0 1,0-1-1,0 1 0,0-1 0,0 1 0,1-1 1,-1 0-1,0 0 0,7 0 0,-7 0-15,0-1-1,0 1 1,1-1-1,-1 0 1,0 0-1,1 0 1,-1-1-1,0 1 1,0-1-1,1 0 0,-1 0 1,0 0-1,0 0 1,0-1-1,0 1 1,0-1-1,0 1 1,3-4-1,-2 0 49,1 0-1,-1 0 1,0 0-1,-1-1 1,1 1-1,-1-1 1,0 0-1,2-8 1,4-8 15,-1-2 1,-1 1-1,-1-1 1,-2 0-1,3-25 0,-2-122 272,-5 160-181,-4-50 808,3 57-687,1 0 1,-1 0 0,0 1-1,0-1 1,-1 0 0,1 1-1,-1-1 1,0 1 0,1 0-1,-2 0 1,1-1 0,0 1 0,-4-3-1,6 5-169,-1 1 0,1 0 0,0 0-1,0 0 1,-1 0 0,1-1 0,0 1 0,0 0 0,-1 0-1,1 0 1,0 0 0,0 0 0,-1 0 0,1 0-1,0 0 1,0 0 0,-1 0 0,1 0 0,0 0-1,-1 0 1,1 0 0,0 0 0,0 0 0,-1 0 0,1 0-1,0 0 1,-1 0 0,1 0 0,0 0 0,0 0-1,-1 1 1,1-1 0,0 0 0,0 0 0,0 0-1,-1 1 1,1-1 0,0 0 0,0 0 0,0 0 0,-1 1-1,1-1 1,0 0 0,0 0 0,0 1 0,0-1-1,0 0 1,0 1 0,0-1 0,0 0 0,0 0-1,-1 1 1,-2 17-51,3-18 43,-5 71 190,3 0-1,4 0 1,11 79-1,-9-115-179,25 160 167,-24-170-211,1-1 1,2 0 0,0-1-1,1 1 1,22 36 0,-27-54-27,0 0 0,1 0 0,0-1 0,-1 1 0,2-1 0,-1-1 0,12 9 1,-16-12 49,0 0 0,0 0 0,0-1 0,0 1 0,1 0 0,-1-1 1,0 1-1,1-1 0,-1 1 0,0-1 0,1 0 0,-1 1 0,1-1 0,-1 0 1,1 0-1,-1 0 0,0 0 0,1 0 0,-1 0 0,1-1 0,-1 1 1,1 0-1,-1-1 0,0 1 0,1-1 0,-1 1 0,0-1 0,0 0 1,1 1-1,-1-1 0,0 0 0,0 0 0,0 0 0,0 0 0,0 0 1,0 0-1,0 0 0,0-1 0,-1 1 0,1 0 0,0 0 0,-1-1 0,1 1 1,0-2-1,5-13 45,-1 0 0,0-1 0,-2 1 0,1-1 0,0-29 0,-4-87-108,-1 129 64,1-5-13,0-1 0,-1 1 0,-1-1-1,0 1 1,0-1 0,-1 1 0,0 0 0,0 0 0,-1 1 0,0-1 0,-1 1 0,0-1 0,-6-7-1,10 15-53,0 0 0,0 0 0,1 0-1,-1 0 1,0 0 0,0 0 0,0 0 0,0 0-1,0 1 1,0-1 0,0 0 0,0 1-1,-1-1 1,1 1 0,0-1 0,0 1-1,0 0 1,-1-1 0,1 1 0,0 0-1,0 0 1,-1 0 0,1 0 0,0 0-1,-1 0 1,1 0 0,0 0 0,0 1-1,-1-1 1,1 0 0,0 1 0,0-1 0,0 1-1,0-1 1,-2 2 0,1 0-155,0-1 1,0 1-1,1 0 0,-1 0 1,0 0-1,1 0 0,-1 0 1,1 0-1,0 1 0,0-1 1,0 1-1,0-1 1,0 0-1,0 1 0,0 4 1,0 34-7160,1-26-531</inkml:trace>
  <inkml:trace contextRef="#ctx0" brushRef="#br0" timeOffset="13172.65">10664 610 3618,'0'0'12811,"-14"-7"-12456,2 1-324,-1 0 0,-20-6 0,33 12-32,-1 0 0,0 0 0,0 0-1,0 0 1,0 1 0,1-1 0,-1 0 0,0 0 0,0 1 0,0-1-1,1 0 1,-1 1 0,0-1 0,0 1 0,1-1 0,-1 1 0,0-1-1,1 1 1,-1-1 0,1 1 0,-1 0 0,1-1 0,-1 1 0,1 0-1,-1 0 1,1-1 0,0 1 0,-1 0 0,1 0 0,0 0 0,0-1 0,-1 1-1,1 0 1,0 0 0,0 0 0,0 0 0,0 1 0,-1 41-99,2-34 94,-2 2-41,2 0 1,-1 0 0,1 0 0,1 0 0,0 0-1,6 19 1,-6-27-13,-1 0 0,1 1 0,0-1 0,-1 0 0,2 0 0,-1-1 0,0 1 0,0 0 0,1-1 0,0 1 0,-1-1 0,1 0 0,0 0 0,0 0 0,0 0 0,0-1 0,1 1 0,-1-1 0,0 1 0,1-1 0,-1 0 0,1-1 0,-1 1 0,8 0 0,-8-1 65,0 1 0,0-1-1,0 0 1,0 0 0,-1 0-1,1-1 1,0 1 0,0-1-1,0 1 1,0-1-1,0 0 1,-1 0 0,1 0-1,0-1 1,-1 1 0,1 0-1,-1-1 1,1 0-1,-1 0 1,0 0 0,4-4-1,-3 1 41,0 0-1,0 0 1,0 0-1,-1 0 1,0-1-1,0 1 1,-1-1-1,1 0 1,-1 0-1,0-7 1,1-2 294,0-1 1,-2 1-1,1-1 1,-4-22-1,2 33-146,0 0-1,0 0 1,0-1-1,-1 1 1,0 0-1,0 0 0,0 1 1,-1-1-1,0 0 1,0 1-1,0 0 1,0-1-1,-1 1 1,1 1-1,-1-1 1,-5-4-1,9 8-185,0 0 0,-1-1 0,1 1 0,0 0-1,-1 0 1,1 0 0,0-1 0,0 1 0,-1 0-1,1 0 1,0 0 0,-1 0 0,1 0 0,0-1-1,-1 1 1,1 0 0,0 0 0,-1 0 0,1 0-1,0 0 1,-1 0 0,1 0 0,0 0 0,-1 0-1,1 0 1,-1 1 0,1-1 0,0 0 0,0 0-1,-1 0 1,1 0 0,0 0 0,-1 1 0,1-1-1,0 0 1,-1 0 0,1 0 0,0 1 0,0-1-1,-1 0 1,1 1 0,-5 19-94,5 30-222,0-46 348,1 3-90,0 1 1,1-1-1,0 0 0,0 0 1,0 0-1,1 0 0,0 0 1,0-1-1,1 1 1,0-1-1,0 0 0,1 0 1,4 6-1,-6-9-116,0 0-1,1 1 1,-1-1 0,0-1-1,1 1 1,0 0-1,-1-1 1,1 0 0,0 0-1,0 0 1,1 0-1,-1 0 1,0-1-1,1 0 1,-1 0 0,0 0-1,1-1 1,-1 1-1,1-1 1,-1 0-1,1 0 1,6-2 0,-9 1 163,0 1-1,-1-1 1,1-1 0,-1 1 0,1 0 0,-1 0 0,0 0 0,1-1-1,-1 1 1,0-1 0,0 1 0,0-1 0,0 1 0,0-1 0,0 0-1,-1 0 1,1 1 0,0-1 0,-1 0 0,0 0 0,1 0 0,-1-2-1,6-50 400,-5 45-151,1-117 4723,-4 160-5167,1-17 130,0 0 0,1 0 0,1 0 1,5 28-1,-6-42-9,1 0-1,0 0 1,0 0 0,0 0-1,0 0 1,0-1 0,1 1-1,-1 0 1,1-1 0,-1 1-1,1-1 1,0 1 0,0-1-1,1 0 1,-1 0 0,0 1-1,1-2 1,-1 1 0,1 0-1,-1-1 1,1 1 0,0-1-1,0 0 1,0 1-1,0-2 1,0 1 0,0 0-1,0 0 1,0-1 0,0 0-1,5 0 1,-5 0 86,-1 0 1,0-1-1,0 1 0,0-1 1,0 1-1,0-1 1,0 0-1,0 0 0,0 0 1,-1 0-1,1 0 0,0-1 1,0 1-1,-1 0 0,1-1 1,-1 1-1,1-1 0,-1 0 1,0 1-1,0-1 0,0 0 1,0 0-1,0 0 0,0 0 1,0 0-1,0 0 0,-1 0 1,1 0-1,-1 0 0,0 0 1,1-4-1,1-10 266,-1 0 1,0-1-1,-2-18 0,1 16 432,0 4-273,1 11-273,0 0 0,-1 1-1,0-1 1,0 0 0,0 0-1,0 0 1,-1 1 0,0-1-1,1 0 1,-1 1 0,-1-1-1,1 0 1,0 1 0,-4-6-1,5 11-155,-1-1-1,0 0 1,1 1-1,-1-1 1,1 1-1,-1-1 0,1 1 1,-1-1-1,1 0 1,0 1-1,0 0 1,0-1-1,0 2 0,-1 18-38,1-1 0,1 1 0,1-1 0,8 36-1,-8-47-98,1-1 0,0 0-1,0 1 1,1-1 0,0 0-1,0 0 1,1-1 0,0 0-1,0 1 1,1-2 0,0 1-1,0-1 1,12 10-1,-16-14 64,0-1 0,1 1 0,-1-1 0,0 1 0,0-1 0,1 0 0,-1 0 0,1 0 0,-1 0 0,1 0 0,-1 0 0,1-1 0,0 1 0,-1-1 0,1 0 0,0 0 0,0 0 0,-1 0 0,1 0 0,4-1 0,-5-1 85,1 1 0,-1 0-1,0-1 1,1 1 0,-1-1 0,0 0-1,0 1 1,0-1 0,0 0 0,-1 0-1,1-1 1,-1 1 0,1 0-1,-1 0 1,0-1 0,1 1 0,-1-1-1,0 1 1,0-5 0,14-48 502,-11 37-134,0 1 1,1 1 0,0-1-1,2 1 1,16-30 0,-23 45-374,0 1 0,0-1 1,1 1-1,-1-1 0,0 1 1,1-1-1,-1 1 0,0-1 0,1 1 1,-1-1-1,1 1 0,-1 0 1,1-1-1,-1 1 0,1 0 0,-1-1 1,1 1-1,-1 0 0,1 0 1,-1-1-1,1 1 0,0 0 0,-1 0 1,1 0-1,-1 0 0,1 0 1,0 0-1,-1 0 0,1 0 0,-1 0 1,1 0-1,0 0 0,-1 0 1,1 1-1,-1-1 0,1 0 0,-1 0 1,1 0-1,-1 1 0,1-1 1,-1 0-1,1 1 0,-1-1 0,1 1 1,-1-1-1,1 0 0,-1 1 1,0-1-1,1 1 0,-1-1 0,1 1 1,16 30-55,-16-29 71,8 23-44,-1-1 0,-1 1 0,-1 1 1,3 30-1,-1-8-723,-8-47 716,0-1 0,0 0 0,0 1-1,0-1 1,0 1 0,0-1 0,0 0-1,0 1 1,0-1 0,0 1 0,0-1-1,1 1 1,-1-1 0,0 0 0,0 1-1,0-1 1,1 0 0,-1 1 0,0-1-1,0 0 1,1 1 0,-1-1 0,0 0-1,1 1 1,-1-1 0,0 0 0,1 0-1,-1 0 1,0 1 0,1-1 0,8-9-97,4-20 253,9-56 202,-17 61-33,1 1-1,0 0 0,2 0 1,20-43-1,-27 64-284,1 0 0,-1 0 0,0 1 0,0-1 0,1 0 0,-1 0 0,1 1 0,0-1 0,-1 1 0,1-1 0,4-1 0,-5 2-14,0 1 1,0 0-1,0 0 1,0-1-1,0 1 1,0 0-1,0 0 1,0 0-1,0 0 1,0 0-1,0 0 1,0 0-1,0 0 1,0 0-1,0 1 1,0-1-1,0 0 1,0 1-1,1 0 1,0 0-7,1 1 1,-1 0-1,0 0 1,0 0-1,0 0 1,0 1 0,0-1-1,0 0 1,0 1-1,-1 0 1,1-1-1,-1 1 1,0 0-1,0 0 1,1 4 0,16 84 18,-14-62-441,11 39-1,-14-67 397,-1-1 0,0 1 1,0 0-1,0 0 0,0-1 0,1 1 0,-1 0 0,0-1 1,1 1-1,-1 0 0,0-1 0,1 1 0,-1-1 0,1 1 1,-1-1-1,1 1 0,-1-1 0,1 1 0,-1-1 0,1 1 1,0-1-1,-1 0 0,1 1 0,0-1 0,-1 0 0,1 1 1,0-1-1,-1 0 0,1 0 0,0 0 0,0 0 0,-1 0 1,1 0-1,0 0 0,0 0 0,-1 0 0,1 0 0,0 0 1,-1 0-1,1 0 0,0-1 0,0 1 0,1-1 35,0 0 0,0 0 1,0-1-1,0 1 0,0 0 0,-1-1 0,1 1 0,0-1 0,-1 0 0,1 1 0,-1-1 0,2-3 1,71-163 738,-48 103 192,-21 201-218,-4-127-753,1 0-1,-1 0 1,2 0-1,-1-1 1,1 1-1,7 15 1,-9-21-11,1-1 0,-1 0 0,0 0 0,1 1 0,-1-1 0,1 0 0,0 0 0,0-1 0,0 1 0,0 0 0,0 0 0,0-1 0,0 0 0,0 1 0,1-1 0,-1 0 0,1 0 0,-1 0 0,1 0 0,-1 0 0,1-1 0,-1 1 0,1-1 0,0 0 0,-1 0 0,1 0 0,3 0 0,-4-1 37,0 0 0,-1 1 0,1-1-1,0 0 1,0 0 0,0-1 0,0 1 0,-1 0 0,1 0 0,-1-1 0,1 1-1,-1-1 1,1 0 0,-1 1 0,0-1 0,0 0 0,0 0 0,0 0 0,0 0-1,0 0 1,1-4 0,1-3-24,0-1-1,0 0 1,1-14 0,-1-38 258,-4-73 0,0 98 1318,2 59-1519,2-1 0,1 0 1,0-1-1,2 1 0,15 38 0,-12-34-216,0 1-1,-2-1 1,5 31-1,-12-55 79,1 0 1,-1 0-1,0-1 0,0 1 1,0 0-1,0 0 0,0 0 1,0 0-1,0 0 0,0 0 0,0 0 1,0 0-1,0 0 0,0 0 1,-1 0-1,1 0 0,0-1 1,-1 1-1,1 0 0,-1 0 0,1 0 1,-1-1-1,1 1 0,-1 0 1,0 0-1,1-1 0,-1 1 1,0-1-1,0 1 0,1 0 0,-1-1 1,0 1-1,0-1 0,0 0 1,0 1-1,1-1 0,-1 0 1,0 0-1,0 1 0,0-1 0,0 0 1,0 0-1,0 0 0,0 0 1,0 0-1,0 0 0,0 0 1,0 0-1,0-1 0,-1 1 0,-5-2-779,1 0 0,-1 0-1,1 0 1,-1-1 0,-11-7-1,-17-13-5630</inkml:trace>
  <inkml:trace contextRef="#ctx0" brushRef="#br0" timeOffset="15932.73">12325 617 5891,'0'0'9257,"-1"15"-8467,1-12-799,1 0 0,-1 0 0,1-1 0,0 1 0,0-1 0,0 1 0,1-1 0,-1 1 0,1-1 0,-1 0 0,1 0 0,0 1 0,-1-1 1,1 0-1,0-1 0,1 1 0,-1 0 0,0 0 0,0-1 0,1 0 0,-1 1 0,1-1 0,-1 0 0,1 0 0,-1 0 0,1-1 0,0 1 0,0 0 0,-1-1 0,1 0 0,0 0 0,0 0 0,-1 0 0,1 0 0,0 0 0,0-1 0,-1 0 0,1 1 1,0-1-1,-1 0 0,1 0 0,-1 0 0,1 0 0,-1-1 0,0 1 0,1-1 0,-1 0 0,0 1 0,0-1 0,0 0 0,0 0 0,2-4 0,2-4 21,-1-1 0,0 0-1,-1-1 1,0 1 0,-1-1 0,0 0 0,1-19-1,0-86 452,-4 81-94,0 31-273,0-1 1,-1 1-1,1-1 1,-1 1 0,-3-11-1,4 15-77,-1 0-1,1 0 0,-1 0 1,1 0-1,-1 0 1,1 0-1,-1 0 0,0 0 1,1 0-1,-1 0 1,0 0-1,0 0 1,0 0-1,0 0 0,0 1 1,0-1-1,0 0 1,0 1-1,0-1 1,0 1-1,0-1 0,-1 1 1,1 0-1,0-1 1,0 1-1,0 0 1,0 0-1,-1 0 0,1 0 1,0 0-1,0 0 1,-2 0-1,2 1-17,1-1 0,-1 0 0,0 1 0,0-1 1,1 1-1,-1-1 0,0 1 0,1-1 0,-1 1 0,1 0 0,-1-1 0,1 1 0,-1 0 0,1-1 1,-1 1-1,1 0 0,-1-1 0,1 1 0,0 0 0,0 0 0,-1 0 0,1-1 0,0 1 0,0 0 1,0 0-1,0 0 0,0 1 0,-1 27 46,1-23-32,0 4-17,0 0 0,1 0 0,0-1 0,0 1 1,1 0-1,1-1 0,4 14 0,-4-17 3,0 0 0,1 0 0,-1 0 0,2 0 0,-1-1 0,0 0 0,1 1 0,0-2 0,0 1 1,1-1-1,8 6 0,-8-6-16,1 0 0,0 0 1,-1-1-1,1 0 0,1-1 0,-1 1 1,0-1-1,1-1 0,14 2 0,-19-2 25,0-1-1,1 0 0,-1 0 0,0-1 0,1 1 1,-1 0-1,0-1 0,1 0 0,-1 0 0,0 0 1,0 0-1,0-1 0,0 1 0,0-1 0,0 0 1,0 1-1,-1-1 0,1-1 0,0 1 0,-1 0 1,0-1-1,0 1 0,1-1 0,1-3 0,1-6 77,0 0-1,-1 1 0,-1-1 0,0 0 0,-1-1 0,2-23 1,-1-51 2091,-3 82-1560,-1 50-624,0-20 17,0 1 1,2 0-1,8 48 0,-8-68-108,0-1-1,1 1 1,0 0-1,0-1 1,0 1 0,1-1-1,-1 1 1,1-1-1,1 0 1,-1 0-1,1 0 1,0-1-1,0 1 1,0-1 0,0 0-1,1 0 1,0-1-1,0 1 1,0-1-1,0 0 1,0 0-1,7 2 1,-9-4 14,0 0 1,0 0-1,0 0 0,1 0 1,-1-1-1,0 1 0,0-1 1,1 0-1,-1 0 0,0 0 1,1 0-1,-1-1 1,0 1-1,4-2 0,-5 1 77,0 0 0,0 0-1,-1 0 1,1 0-1,0-1 1,-1 1 0,1-1-1,0 1 1,-1-1 0,0 1-1,1-1 1,-1 0 0,0 0-1,0 0 1,0 1-1,0-1 1,0 0 0,0-1-1,-1 1 1,1 0 0,0-3-1,3-22 231,-1 1 0,-2-1 0,0 0 0,-5-33 1,-6 25 238,0 25-347,10 10-116,-1 0 0,1 1 0,-1-1 0,0 0 0,1 0 1,-1 1-1,1-1 0,-1 0 0,1 1 0,-1-1 0,1 1 0,-1-1 0,1 1 0,-1-1 0,1 1 0,0-1 0,-1 1 0,1-1 0,0 1 0,-1-1 0,1 1 0,0 0 0,0-1 0,0 1 0,-1 1 0,-2 7 3,1 1 1,0 0-1,0 0 1,1 0-1,0 19 1,0-23-83,1 0-1,1 0 1,-1 0 0,1 0 0,0 0 0,0-1 0,1 1-1,-1 0 1,1-1 0,1 1 0,3 6 0,-4-9-15,0-1 0,1 1 0,-1-1 0,1 0 1,0 0-1,0 0 0,0 0 0,0-1 0,0 1 0,0-1 0,0 1 1,0-1-1,5 1 0,-6-2 82,-1 0-1,0 1 1,1-1 0,-1 0 0,0 0-1,1 0 1,-1 0 0,0 0-1,1 0 1,-1 0 0,1-1 0,-1 1-1,0-1 1,1 1 0,-1 0-1,0-1 1,0 0 0,0 1-1,1-1 1,-1 0 0,0 0 0,0 0-1,0 0 1,0 1 0,0-1-1,0-1 1,0 1 0,-1 0 0,1 0-1,0 0 1,0 0 0,-1-1-1,2-1 1,1-14 119,0 1 1,0-1-1,-2 1 0,0-1 1,-2-27-1,1 10 708,0 33-798,0 0 1,0 0-1,0 1 1,0-1-1,0 0 1,0 0 0,0 0-1,-1 1 1,1-1-1,0 0 1,0 0-1,-1 1 1,1-1-1,0 0 1,-1 1 0,1-1-1,0 0 1,-1 1-1,1-1 1,-1 0-1,1 1 1,-1-1 0,0 1-1,1-1 1,-1 1-1,1-1 1,-1 1-1,0 0 1,1-1 0,-1 1-1,0 0 1,0 0-1,1-1 1,-1 1-1,0 0 1,0 0 0,1 0-1,-1 0 1,0 0-1,0 0 1,-1 0-1,0 0-9,1 1-1,-1-1 1,0 1-1,0-1 0,1 1 1,-1 0-1,0-1 1,1 1-1,-1 0 0,0 0 1,1 0-1,-1 1 1,1-1-1,0 0 0,-1 0 1,1 1-1,-2 2 1,-1 5-1,-1-1 0,2 1 1,-1 0-1,1 0 0,0 1 0,1-1 1,0 0-1,0 13 0,-1 84 55,4-74-80,-1-24-13,0 0 1,0 0-1,1 0 0,1 0 0,-1 0 1,1 0-1,1 0 0,-1-1 0,1 1 0,6 9 1,-7-13-31,1-1 0,-1 1 0,1-1 0,0 0 0,0 0 1,0 0-1,0-1 0,0 1 0,0-1 0,1 1 0,0-1 1,-1 0-1,1-1 0,0 1 0,0-1 0,0 1 0,0-1 1,0 0-1,0-1 0,0 1 0,7-1 0,-7 1 42,1-1 0,-1-1 0,0 1 0,1-1 0,-1 1 0,0-1 0,0-1 0,1 1 0,-1 0 0,0-1 0,0 0 0,-1 0 0,1 0 0,0-1 0,-1 1 0,5-5 0,-2 2 19,-2 0-1,1-1 1,-1 0-1,0 0 1,0 0 0,0 0-1,-1-1 1,0 0 0,2-7-1,2-10 221,-1 0-1,-2 0 1,0-1 0,0-42-1,-3-22 1238,-1 52-489,0 29-337,0 11 130,0 43-744,4 140 99,-1-153-93,1 1 0,2-1 0,16 52-1,-11-50-2,-6-18-17,0-1-1,0 1 1,2-1 0,11 20-1,-16-45-57,-5-39 158,-2 0 1,-19-83-1,-3-16 39,17-27 198,18 176-624,0 3 286,-1 1 1,1 0 0,-1 0 0,-1 1 0,1 0 0,-1 0 0,0 0 0,-1 1-1,1 0 1,-2 0 0,6 10 0,-5-6-103,1 0 0,-2 1 0,0 0 1,0-1-1,-1 1 0,-1 1 0,2 19 0,-4-30 78,1 6-261,-1-1 0,0 0 0,-1 1 0,0-1 0,0 0 0,-3 10 0,3-16 209,1 0 0,-1 0 0,0 0 0,0 0 0,-1 0 0,1-1 0,0 1 0,-1-1 0,1 1 0,-1-1 0,1 1 0,-1-1 0,0 0 0,1 0 0,-1 1 0,0-1 0,0-1 0,0 1 0,0 0 0,0 0 0,0-1 0,0 1 0,0-1 0,0 0 0,0 1 0,0-1 0,-1 0 0,-3-1 0,5 1 95,1 0-1,-1 0 1,0-1-1,0 1 1,0-1-1,0 1 1,0-1-1,1 1 1,-1-1-1,0 1 1,0-1-1,1 0 1,-1 1-1,0-1 1,1 0-1,-1 0 1,1 0-1,-1 1 1,1-1-1,-1 0 1,1 0-1,0 0 1,-1 0 0,1 0-1,0 0 1,0 0-1,0 0 1,-1 0-1,1-1 1,-2-37 1175,2 39-1159,7 4 9,14 17 97,-19-17-185,1 0 0,1-1 0,-1 1 0,0-1-1,1 0 1,0 1 0,0-2 0,0 1 0,0 0 0,0-1 0,1 0-1,-1 0 1,1 0 0,-1 0 0,1-1 0,0 0 0,6 1 0,-7-1 12,-1-1 0,1 0 1,0 0-1,0-1 0,0 1 1,0-1-1,0 0 0,-1 0 1,1 0-1,0 0 1,-1-1-1,1 0 0,-1 1 1,1-1-1,-1-1 0,5-3 1,-3 1 57,0-1 1,0 0 0,-1 0 0,0 0-1,0 0 1,0-1 0,5-12 0,-1-4 358,-1 1 1,-1-2-1,-1 1 1,-1-1-1,-1 1 0,-1-40 1,-3 102-377,-1-17-11,2 0 1,3 35 0,-2-52-131,-1 0 0,1 0 0,1 0 0,-1 0 0,1 0 0,-1-1-1,1 1 1,0-1 0,1 1 0,-1-1 0,1 0 0,0 0 0,0 0 0,0 0 0,1-1 0,-1 1 0,6 3 0,-7-6 42,0 1 1,0-1 0,1 1 0,-1-1-1,1 0 1,-1 1 0,1-2 0,-1 1 0,1 0-1,0 0 1,-1-1 0,1 1 0,0-1-1,0 0 1,0 0 0,-1 0 0,1 0 0,0 0-1,0-1 1,-1 1 0,1-1 0,4-2-1,-4 2 72,1-2 0,-1 1 0,0 0 0,-1 0 0,1-1-1,0 0 1,-1 1 0,1-1 0,-1 0 0,0 0 0,0 0-1,0-1 1,0 1 0,0 0 0,-1-1 0,2-3-1,5-21 187,-1 0 0,-1 0 0,5-57 0,-7-89 1557,-4 126-1102,0 36-398,0 6-37,1-1 1,-1 1 0,0 0-1,-1 0 1,1 0 0,-1-1 0,-1 1-1,1 0 1,-1 0 0,0 0 0,-3-6-1,5 12-183,-1 0 0,1 0 0,0 0 0,0 0-1,0 0 1,0 0 0,-1 0 0,1 0 0,0 0 0,0 0-1,0 0 1,0 0 0,-1 1 0,1-1 0,0 0 0,0 0-1,0 0 1,0 0 0,0 0 0,-1 0 0,1 0 0,0 1-1,0-1 1,0 0 0,0 0 0,0 0 0,0 0-1,0 0 1,0 1 0,0-1 0,0 0 0,0 0 0,-1 0-1,1 0 1,0 1 0,0-1 0,0 0 0,0 0 0,0 0-1,0 1 1,0-1 0,1 0 0,-1 0 0,0 0 0,0 0-1,0 1 1,0-1 0,0 0 0,-3 59-147,2-1 0,3 1 0,3-1 0,2 0 0,22 89 0,-28-143 35,0 1 1,1 0-1,-1-1 0,1 0 1,0 1-1,0-1 0,1 0 0,0 0 1,-1 0-1,1 0 0,0-1 1,7 7-1,-6-8 62,-1 1 0,1-1 0,0-1-1,0 1 1,0 0 0,0-1 0,0 0 0,1 0 0,-1 0 0,0-1 0,0 1 0,1-1 0,-1 0 0,5-1-1,-6 1 74,0 0-1,0-1 0,0 1 0,0-1 0,0 0 0,-1 0 0,1 0 0,0 0 0,-1 0 0,1-1 0,-1 1 0,1-1 0,-1 1 0,1-1 0,3-4 0,-2 1-8,0 0 0,0 0 0,-1-1 0,1 1 0,-1-1 0,5-11 0,-3 1 154,0 1 0,-1-1-1,0-1 1,1-30-1,-3-62 1689,-2 109-1861,0 0 0,0 0 0,0 0-1,0 0 1,0 0 0,0 0-1,0 0 1,0 0 0,0 1 0,0-1-1,0 0 1,0 0 0,0 0 0,0 0-1,0 0 1,0 0 0,0 0 0,-1 0-1,1 0 1,0 0 0,0 1-1,0-1 1,0 0 0,0 0 0,0 0-1,0 0 1,0 0 0,0 0 0,-1 0-1,1 0 1,0 0 0,0 0 0,0 0-1,0 0 1,0 0 0,0 0-1,0 0 1,-1 0 0,1 0 0,0 0-1,0 0 1,0 0 0,0 0 0,0 0-1,0 0 1,0 0 0,0 0-1,-1 0 1,1-1 0,0 1 0,0 0-1,0 0 1,0 0 0,0 0 0,0 0-1,0 0 1,0 0 0,0 0 0,0 0-1,0 0 1,0-1 0,0 1-1,-1 0 1,1 0 0,0 0 0,0 0-1,0 0 1,0 0 0,-6 9 34,2 8-35,1 0 0,0 1 0,2 0 0,0-1 0,1 1 0,4 32 0,-4-45-27,1 0 0,-1 0 0,1 0 0,1 0 1,-1 0-1,1 0 0,0 0 0,0-1 0,0 1 0,0-1 1,1 1-1,0-1 0,5 6 0,-6-8-12,0 0 1,1 0-1,-1 0 1,1 0-1,0 0 1,-1-1-1,1 1 1,0-1-1,0 0 1,0 0-1,0 0 1,0 0-1,0 0 1,0-1-1,1 1 1,-1-1-1,0 0 0,0 0 1,0 0-1,0 0 1,1-1-1,3 0 1,-4-1 45,0 1 1,0-1-1,0 0 0,0 0 1,0 0-1,-1 0 1,1 0-1,-1 0 0,1-1 1,-1 1-1,0-1 1,0 0-1,0 0 0,0 0 1,-1 0-1,1 0 1,-1 0-1,0 0 0,2-6 1,3-10 35,7-36 1,-13 55-44,6-38 237,-3 0 1,-1-61-1,-2 64-10,-1 22-138,0-1 0,-1 1 1,0 0-1,-1 0 1,0 0-1,-1 0 0,-1 1 1,0 0-1,-7-13 0,10 34-65,2 0-63,-1 16 63,2 0 1,1 0-1,0 0 1,7 26-1,77 260-1809,-85-308 834,0 1 8</inkml:trace>
  <inkml:trace contextRef="#ctx0" brushRef="#br0" timeOffset="17116.3">13936 435 4626,'0'0'4322,"14"5"-4231,-6-3-96,2 3 27,1-1 0,-1-1 0,1 0 0,0-1-1,0 0 1,0 0 0,0-1 0,0-1-1,20-1 1,-28 0 52,0 0-1,0 0 1,0-1-1,0 0 1,0 1-1,-1-1 1,1 0-1,-1 0 1,1-1-1,-1 1 1,0 0-1,1-1 1,-1 0-1,-1 1 0,1-1 1,0 0-1,-1 0 1,1 0-1,-1 0 1,0 0-1,1-3 1,1-4 1260,0 0 1,-1 0-1,0-1 0,0 1 1,-1-16 896,-1 40-1874,0 6-371,0 1 0,1 0 0,1-1 0,1 1 0,1-1 0,1 0 0,1 0 0,0-1 0,1 1 0,12 20-1,-18-37-12,1-1 0,-1 1-1,1-1 1,-1 0 0,1 0-1,0 0 1,0 0 0,0 0-1,0 0 1,1 0 0,-1 0-1,0-1 1,1 1 0,-1-1-1,1 0 1,-1 0-1,1 0 1,0 0 0,0 0-1,-1 0 1,1-1 0,0 0-1,4 1 1,-4-1 27,0-1 0,-1 0 0,1 1 0,-1-1 0,1 0 0,-1 0 0,1 0 0,-1-1 0,1 1 0,-1 0 0,0-1 0,0 0 0,0 1 0,0-1 0,0 0 0,0 0 0,0 0 0,0 0 0,-1-1 0,1 1 0,-1 0 0,0-1 0,2-4 0,2-6 63,-1 0 0,0-1 1,-1 1-1,0-1 0,1-22 0,-3-74 1705,-1 64-190,0 45-1325,0 16-514,0-5 214,4 107 62,-2-104-143,0 0 1,1-1-1,0 0 1,0 1 0,2-1-1,-1-1 1,9 15-1,-12-24 53,0 0-1,0 0 1,0 0-1,0 0 1,1 0-1,-1 0 0,0 0 1,1 0-1,0-1 1,-1 1-1,1-1 1,0 1-1,0-1 0,0 0 1,0 1-1,0-1 1,0 0-1,0-1 1,0 1-1,0 0 0,1 0 1,-1-1-1,0 1 1,0-1-1,1 0 1,-1 0-1,0 0 1,1 0-1,-1 0 0,0 0 1,0-1-1,1 1 1,-1-1-1,0 0 1,3-1-1,0 0 57,-1-1 1,0 1-1,0-1 0,0 0 0,-1 0 1,1-1-1,-1 1 0,1-1 0,-1 0 1,-1 0-1,1 0 0,0 0 1,-1 0-1,0-1 0,3-6 0,3-16 248,-2 1-1,0-1 0,2-37 1,-7 48 1085,0-1 0,-4-32 0,5 64-1486,1-1-1,1 1 1,0-1 0,1 0-1,0 0 1,1-1-1,0 0 1,1 0 0,13 17-1,-19-28 106,0 0-1,0-1 0,1 1 0,-1-1 0,1 1 0,-1-1 0,1 0 0,-1 0 0,1 1 0,0-1 0,0 0 0,-1 0 0,1-1 0,0 1 1,0 0-1,0-1 0,0 1 0,0-1 0,0 0 0,0 1 0,0-1 0,0 0 0,0 0 0,0 0 0,0-1 0,0 1 0,0 0 0,0-1 1,0 1-1,0-1 0,0 0 0,-1 0 0,1 1 0,0-1 0,0 0 0,-1-1 0,1 1 0,0 0 0,1-2 0,4-4 72,0 1 0,-1-1-1,0-1 1,0 1-1,0-1 1,8-16 0,-5 2 818,-1-1 0,-1 1 1,8-47-1,-17 95-740,1-5-405,0 1 1,4 36 0,-3-53 97,1 0 1,0-1 0,0 1 0,0 0 0,0-1 0,1 1 0,0-1 0,0 0-1,0 0 1,0 1 0,1-1 0,0-1 0,0 1 0,0 0 0,0-1 0,0 1 0,8 5-1,-9-8 92,-1 0-1,1 0 1,-1 0-1,1 0 1,-1-1-1,1 1 0,0 0 1,-1-1-1,1 1 1,0-1-1,0 1 0,-1-1 1,1 0-1,0 0 1,0 0-1,-1 0 0,1 0 1,0 0-1,0-1 1,0 1-1,-1 0 0,3-2 1,-2 1 39,1 0 0,-1-1 0,0 0 0,0 1 0,-1-1 0,1 0 0,0 0 0,0 0 0,-1 0 0,1 0 0,-1 0 1,0-1-1,2-3 0,1-5 131,0-1 1,0 0 0,-2 0-1,1 0 1,0-15 0,-2 17 226,0-6 608,1-1 0,-2 1 0,0-1-1,-3-19 1,2 35-765,0-1 0,1 1 0,-1-1 0,0 1 0,0-1 0,0 1 0,0-1 0,0 1 0,0 0 0,0 0 0,0 0 0,-1-1 0,1 1 0,-1 0 0,1 1 0,0-1 0,-1 0 0,1 0-1,-3 0 1,3 0-79,0 1-1,0-1 1,0 1-1,-1 0 1,1-1-1,0 1 1,0 0-1,-1 0 0,1 0 1,0 0-1,0 0 1,-1 0-1,1 0 1,0 0-1,0 1 1,0-1-1,-1 0 1,1 1-1,0-1 0,0 1 1,0-1-1,0 1 1,0 0-1,0-1 1,0 1-1,0 0 1,-2 1-1,0 3-20,1-1-1,-1 1 1,1-1 0,0 1 0,0 0-1,0 0 1,1 0 0,0 0-1,0 0 1,0 7 0,-2 59 101,3-58-47,0 10 3,1 0-1,6 34 1,-5-47-65,0-1 0,1 1 0,0-1 0,1 0 0,0 0 0,1 0-1,-1 0 1,10 11 0,3-3-506,-16-16 233,-1-1 1,1 1 0,0-1 0,-1 0 0,1 0-1,0 1 1,-1-1 0,1 0 0,0 0-1,-1 1 1,1-1 0,0 0 0,-1 0 0,1 0-1,0 0 1,0 0 0,-1 0 0,2-1 0</inkml:trace>
  <inkml:trace contextRef="#ctx0" brushRef="#br0" timeOffset="19869.84">15725 474 4770,'0'0'11790,"0"-10"-10475,0-32-392,0 32-454,0 12-573,0 11 34,-1-5 27,1 0 0,0 0 0,1 1 0,0-1-1,0 0 1,3 9 0,-3-15 17,0-1-1,-1 1 1,1 0-1,0-1 0,0 1 1,0-1-1,0 1 1,1-1-1,-1 1 1,0-1-1,1 0 0,-1 1 1,0-1-1,1 0 1,0 0-1,-1 0 1,1 0-1,0 0 1,-1-1-1,1 1 0,0 0 1,0-1-1,-1 0 1,1 1-1,0-1 1,0 0-1,0 0 1,0 0-1,0 0 0,0 0 1,-1 0-1,1 0 1,3-2-1,-4 2 27,1-1 0,-1 1 0,0-1 0,0 0 0,1 0 1,-1 0-1,0 0 0,0 0 0,0 0 0,0 0 0,0 0 0,0 0 0,0 0 0,0 0 0,0-1 0,-1 1 0,1 0 0,0-1 0,-1 1 0,1-1 0,-1 1 0,0-1 1,1 1-1,-1-1 0,0-1 0,4-44 16,-4 40-15,1-1 7,-1-1 1,-1 1 0,1-1-1,-2 1 1,1 0-1,-1 0 1,0 0 0,-4-10-1,5 15-4,-1 0-1,1 1 1,-1-1-1,1 1 1,-1-1-1,0 1 0,0 0 1,0-1-1,0 1 1,-1 0-1,1 0 1,-1 1-1,1-1 1,-1 0-1,1 1 1,-1 0-1,0 0 0,0-1 1,0 1-1,1 1 1,-1-1-1,0 0 1,0 1-1,0 0 1,0-1-1,-4 2 1,5-1-4,0 0 1,1 0 0,-1 0 0,0 0-1,0 1 1,0-1 0,0 1 0,0 0-1,1-1 1,-1 1 0,0 0 0,1 0-1,-1 0 1,0 0 0,1 0 0,-1 1-1,1-1 1,0 0 0,-2 3-1,0 0-2,0 0-1,1 0 0,0 0 0,0 0 0,0 1 0,1-1 0,-3 9 0,1 6-7,1-1-1,0 1 0,1 19 0,1-37 12,0 17 5,1-1 0,0 1 0,1-1 1,1 0-1,0 0 0,9 27 0,-9-38-14,-1-1-1,1 1 1,0-1 0,0 0-1,0 1 1,1-1 0,0-1-1,0 1 1,0 0-1,1-1 1,-1 0 0,1 0-1,0-1 1,0 1 0,1-1-1,-1 0 1,0 0-1,1-1 1,0 0 0,0 0-1,0 0 1,9 1 0,-11-1 11,0-1-1,0-1 1,1 1 0,-1-1 0,0 1 0,1-1 0,-1 0 0,0-1 0,1 1 0,-1-1 0,0 0 0,0 0 0,1 0 0,-1 0 0,0-1 0,0 0 0,0 0 0,-1 0 0,1 0 0,0-1 0,-1 1 0,0-1 0,1 0 0,-1 0 0,0 0 0,0 0 0,-1-1 0,1 1 0,-1-1 0,1 1 0,-1-1 0,-1 0 0,4-7 0,5-15 337,0-2 0,-2 1 0,7-38-1,-8 32 734,20-60 1,-27 93-1066,0 0 0,0-1 0,0 1 0,1-1 0,-1 1 0,0 0 0,0-1 0,0 1 0,0 0 0,0 0 0,0-1 0,1 1 0,-1 0 0,0-1 0,0 1 0,0 0 0,1 0 0,-1-1 1,0 1-1,0 0 0,1 0 0,-1-1 0,0 1 0,1 0 0,-1 0 0,0 0 0,0 0 0,1 0 0,-1-1 0,0 1 0,1 0 0,-1 0 0,0 0 0,1 0 0,-1 0 0,1 0 0,-1 0 1,0 0-1,1 0 0,-1 0 0,0 0 0,1 0 0,-1 1 0,0-1 0,1 0 0,-1 0 0,0 0 0,0 0 0,1 0 0,-1 1 0,0-1 0,1 0 0,-1 0 0,0 1 0,0-1 0,1 0 1,-1 0-1,0 1 0,0-1 0,0 0 0,0 1 0,1-1 0,-1 0 0,0 1 0,0-1 0,0 0 0,0 1 0,0-1 0,11 25-205,-11-24 220,9 31-27,-2 0 1,4 37-1,1 6-1516,-12-75 1488,0 0-1,0 1 1,0-1 0,0 0 0,0 1 0,0-1 0,0 0 0,0 1 0,1-1 0,-1 0 0,0 0-1,0 1 1,0-1 0,0 0 0,0 1 0,1-1 0,-1 0 0,0 0 0,0 0 0,0 1 0,1-1-1,-1 0 1,0 0 0,0 0 0,1 1 0,-1-1 0,0 0 0,0 0 0,1 0 0,-1 0 0,0 0-1,1 0 1,-1 0 0,0 1 0,0-1 0,1 0 0,0 0 0,10-8-90,6-15 375,41-103 221,-41 84 658,24-43-1,-37 83-708,0 10-420,0 16-270,-4-20 330,4 24-99,12 58-141,-14-77-40,1 0 0,0-1 0,0 1 1,1-1-1,0 0 0,0 0 0,8 10 0,-11-16 166,1-1 0,-1 1 1,1 0-1,0-1 0,0 1 0,0-1 0,-1 0 0,1 0 0,0 0 0,1 0 0,-1 0 0,0 0 0,0 0 0,0 0 1,1-1-1,-1 1 0,0-1 0,0 0 0,1 0 0,-1 0 0,0 0 0,1 0 0,-1 0 0,0-1 0,1 1 0,-1-1 1,0 1-1,0-1 0,0 0 0,1 0 0,-1 0 0,0 0 0,0 0 0,0 0 0,-1-1 0,1 1 0,0-1 0,0 1 1,-1-1-1,1 0 0,-1 0 0,1 0 0,-1 0 0,0 0 0,0 0 0,1-2 0,9-23 313,-2 0 0,-1 0-1,-1 0 1,-2-1 0,0 0-1,0-35 1,0 15 926,-2 39-944,1 15-267,6 22-706,-6-15-171,-3-17 653,1-17 19,-2 20 229,-1 1-1,1-1 0,0 1 1,-1-1-1,1 1 1,-1-1-1,1 1 0,-1-1 1,1 1-1,-1-1 1,1 1-1,-1 0 0,0-1 1,1 1-1,-1 0 0,1-1 1,-1 1-1,0 0 1,1 0-1,-1 0 0,0 0 1,1 0-1,-1 0 1,0 0-1,1 0 0,-1 0 1,0 0-1,1 0 0,-1 0 1,0 0-1,1 0 1,-1 1-1,0-1 0,1 0 1,-1 0-1,0 1 1,1-1-1,-1 1 0,0-1 1,0 1 8,-1 0 1,1 0-1,0 0 0,-1 0 1,1 0-1,0 0 1,0 0-1,0 1 0,0-1 1,0 0-1,0 1 1,0-1-1,0 1 1,0-1-1,1 1 0,-1-1 1,0 1-1,0 2 1,-6 33-55,7-35 47,-3 16-18,2-1-1,0 1 1,1 0 0,0-1 0,2 1 0,6 32-1,-7-45-35,0 0 0,0-1 0,1 0 0,0 1 0,0-1 0,0 0 0,0 0 0,1 0 0,-1 0 0,1 0 0,0 0 0,0-1 0,1 0 0,-1 1 0,1-1 0,0 0 0,-1-1 0,1 1 0,0-1 0,1 0 0,-1 0 0,0 0 0,1 0 0,-1-1 0,1 0 0,-1 1 0,1-2 0,0 1 0,-1-1 0,9 1 0,-10-1 47,1 0 1,-1 0 0,1-1-1,-1 1 1,1-1 0,-1 0-1,0 0 1,1 0-1,-1 0 1,0 0 0,0-1-1,0 1 1,6-5 0,-5 3 16,-1-1 1,1 0 0,-1 0-1,0 0 1,0-1 0,0 1 0,0-1-1,3-7 1,4-12 587,-1 0 1,-1-1-1,-1 1 0,-1-2 0,5-50 1,-11 86-933,1 0 1,0 0-1,0-1 1,1 1 0,6 18-1,-8-26 229,1 0 0,-1 0 0,1 0 0,0 0 0,0 0-1,0-1 1,0 1 0,0 0 0,0 0 0,0-1 0,1 1-1,-1-1 1,0 1 0,1-1 0,0 0 0,-1 0 0,1 1-1,0-1 1,-1 0 0,1 0 0,0-1 0,0 1 0,0 0-1,0-1 1,0 1 0,0-1 0,0 1 0,0-1 0,0 0-1,0 0 1,0 0 0,0 0 0,0 0 0,0-1 0,0 1-1,3-1 1,-3 0 111,0 0 0,-1 0 0,1 0-1,-1-1 1,1 1 0,-1 0 0,1-1 0,-1 1-1,0 0 1,1-1 0,-1 0 0,0 1-1,0-1 1,0 0 0,0 1 0,-1-1 0,1 0-1,0 0 1,0-3 0,8-40 654,-9 39-471,3-10 489,-1 0-1,-1 0 1,-1-1 0,-3-25 0,3 41-669,0 0 1,-1 0 0,1 0-1,-1 1 1,0-1-1,1 0 1,-1 1 0,1-1-1,-1 0 1,0 1 0,0-1-1,1 1 1,-1-1-1,0 1 1,0 0 0,0-1-1,1 1 1,-1 0 0,0-1-1,0 1 1,0 0-1,0 0 1,0 0 0,0 0-1,0 0 1,-1 0 0,0 0 16,-1 0 1,1 0 0,0 0 0,-1 0 0,1 0 0,0 1 0,-1-1 0,1 1 0,-4 1 0,3 1-27,-1 0 0,1 0 0,0 0 0,0 1 0,0-1 0,0 1 1,1 0-1,-1 0 0,1 0 0,0 0 0,0 0 0,1 0 0,-1 1 1,0 4-1,-3 8-24,2 1 1,-3 22 0,6-34 19,-3 17-75,2-1 1,0 0-1,1 0 0,4 24 1,-3-40 49,0-1 1,1 1 0,-1-1 0,1 0 0,0 0 0,0 1 0,1-2 0,0 1 0,4 7 0,-4-10 17,-1 1 0,0-1 0,1 1 0,0-1 0,-1 0 0,1 0 0,0 0 0,0-1 0,0 1 0,0-1 0,1 1 1,-1-1-1,0 0 0,1 0 0,-1-1 0,6 1 0,-4 0 18,0 0 0,0-1 0,1 0 0,-1 0 0,0 0 0,0 0 0,0-1 0,0 0 0,0 0 0,0-1 0,0 1 0,0-1 0,0 0 0,-1 0 0,1-1 0,-1 1 0,1-1 0,-1 0 0,0 0 0,0-1 0,0 1 0,-1-1-1,1 0 1,-1 0 0,0 0 0,0 0 0,0 0 0,-1-1 0,4-8 0,5-10 107,-2-1-1,0-1 1,-1 1 0,-2-1-1,-1 0 1,3-31-1,-4 7 286,-2-1 0,-6-61 0,4 110-379,0-5 67,0 1 0,0 0 1,-1-1-1,0 1 0,0-1 1,-1 1-1,1 0 0,-1 0 1,-5-9-1,7 14-90,-1-1-1,1 1 1,0 0-1,-1 0 1,1 0-1,-1 0 1,1 0-1,-1 0 1,1 0-1,0 0 1,-1 0-1,1 0 1,-1 0-1,1 0 1,-1 0 0,1 0-1,0 0 1,-1 0-1,1 0 1,-1 1-1,1-1 1,0 0-1,-1 0 1,1 0-1,0 1 1,-1-1-1,1 0 1,0 0-1,-1 1 1,1-1-1,0 0 1,0 1 0,-1-1-1,1 0 1,0 1-1,0-1 1,0 1-1,-1-1 1,1 0-1,0 1 1,0-1-1,0 1 1,0-1-1,0 1 1,0-1-1,0 0 1,0 1-1,0 0 1,-6 28 31,2 0 0,0 0 0,2 0-1,2 0 1,3 38 0,-2-41 7,-1-5-112,2 0 0,0 0 0,2 0 0,0 0 0,1-1 0,1 0 0,1 0 0,1 0 0,12 21 0,-18-37-226,1 0-1,-1-1 1,1 0-1,0 1 0,0-1 1,0 0-1,0 0 1,1-1-1,5 4 0,23 5-4915,2-8-4595</inkml:trace>
  <inkml:trace contextRef="#ctx0" brushRef="#br0" timeOffset="20369.3">17715 453 9732,'0'0'6668,"2"4"-6484,0 0-117,1 0 1,-1 0 0,1-1-1,0 1 1,0-1 0,0 1 0,0-1-1,7 4 1,-9-6-57,0 0-1,0 0 1,0-1 0,0 1 0,1 0-1,-1-1 1,0 1 0,1-1-1,-1 1 1,0-1 0,1 0 0,-1 0-1,0 0 1,1 0 0,-1 0-1,1 0 1,-1 0 0,0 0 0,1 0-1,-1 0 1,1-1 0,-1 1-1,0-1 1,0 1 0,1-1 0,-1 1-1,0-1 1,0 0 0,1 0-1,-1 0 1,0 1 0,0-1-1,0 0 1,0 0 0,0-1 0,-1 1-1,2-2 1,3-4 22,0-1 1,-1 0-1,0 0 0,0 0 1,-1 0-1,0-1 0,-1 0 1,1 1-1,-2-1 1,2-11-1,-1-15 377,-2-46-1,-1 35 169,1 20-72,-2-1 1,0 0 0,-2 0 0,-1 1 0,-1 0 0,-12-34 0,18 60-500,0 1 0,-1-1 1,1 0-1,0 0 0,0 0 1,0 0-1,0 0 0,0 1 0,0-1 1,0 0-1,0 0 0,-1 0 1,1 0-1,0 0 0,0 0 1,0 1-1,0-1 0,0 0 0,-1 0 1,1 0-1,0 0 0,0 0 1,0 0-1,0 0 0,-1 0 0,1 0 1,0 0-1,0 0 0,0 0 1,0 0-1,-1 0 0,1 0 0,0 0 1,0 0-1,0 0 0,-1 0 1,1 0-1,0 0 0,0 0 1,0 0-1,0 0 0,0 0 0,-1-1 1,1 1-1,0 0 0,0 0 1,0 0-1,0 0 0,0 0 0,0 0 1,-1-1-1,1 1 0,0 0 1,0 0-1,0 0 0,0 0 1,0-1-1,0 1 0,0 0 0,-4 22-21,2 1 0,0-1 1,3 46-1,0-22 13,0-15-17,1 0-1,1-1 0,2 1 1,1-1-1,1 0 0,1-1 1,2 0-1,19 40 0,-23-61-1184,-2-23-7777,-4-7 1112</inkml:trace>
  <inkml:trace contextRef="#ctx0" brushRef="#br0" timeOffset="21537.65">17764 316 3105,'4'0'7636,"12"7"-7332,-11-4-120,15 9-518,1 0 0,37 14 0,-52-23 95,0-1 0,1 0 1,-1-1-1,0 0 0,1 0 0,0 0 1,-1-1-1,1 1 0,-1-2 0,1 1 1,0-1-1,-1 0 0,1 0 0,11-5 1,-14 5 359,-1-1 0,1 0 0,-1-1 0,1 1 1,-1-1-1,0 1 0,0-1 0,0 0 0,0 0 1,0 0-1,-1-1 0,1 1 0,-1-1 0,0 1 1,0-1-1,-1 0 0,3-6 0,-1 2 924,-1 0-1,-1 0 1,1-1-1,-1 1 1,-1 0 0,1 0-1,-2-16 1,0 23-1003,1 1 0,-1-1 1,1 0-1,-1 1 0,0-1 0,1 0 1,-1 1-1,0-1 0,1 1 0,-1-1 1,0 1-1,1-1 0,-1 1 0,0 0 1,0-1-1,0 1 0,1 0 1,-1 0-1,0 0 0,0-1 0,0 1 1,0 0-1,0 0 0,1 0 0,-1 0 1,-2 1-1,-24 1 100,24-1-135,1 0-1,-1 0 1,1 0 0,0 1-1,-1-1 1,1 1-1,0-1 1,0 1 0,0 0-1,0 0 1,0 0-1,0 0 1,1 0 0,-1 0-1,1 1 1,-1-1-1,1 1 1,0-1 0,0 1-1,0-1 1,0 1-1,0-1 1,0 5 0,-2 6-4,1 1 0,0-1 0,0 18 0,2-20-5,-1-1-19,1 0 0,0 0-1,1 0 1,0 0 0,3 13 0,-3-20-4,0-1 1,0 1 0,0-1 0,0 0-1,0 1 1,0-1 0,1 0 0,-1 0-1,1 0 1,-1 0 0,1 0-1,0-1 1,0 1 0,0 0 0,0-1-1,0 1 1,0-1 0,0 0 0,1 0-1,-1 0 1,0 0 0,1 0 0,-1 0-1,1-1 1,-1 1 0,4 0 0,-3-1-23,-1 1 0,1-1 0,0 0 0,-1 0 0,1 0 1,0 0-1,-1-1 0,1 1 0,0-1 0,-1 1 0,1-1 1,0 0-1,-1 0 0,1 0 0,-1 0 0,0-1 1,1 1-1,-1-1 0,0 1 0,0-1 0,0 0 0,0 0 1,0 0-1,2-3 0,-1 0-10,0 0 0,0-1 0,0 1 0,-1-1 0,0 0 0,0 0 0,-1 0 0,0 0-1,0 0 1,0-7 0,0-52 763,-1 37 3233,0 47-3990,0 0 91,1-1-1,1 1 0,8 32 1,-9-44-160,1 0 0,0-1 0,1 1 0,0-1 0,0 1 1,0-1-1,1 0 0,-1 0 0,2 0 0,-1-1 0,0 0 0,1 1 1,8 5-1,-12-9 78,1-1 0,-1 0 0,1 0 0,0 0 1,0 0-1,-1 0 0,1 0 0,0 0 0,0 0 0,0-1 1,0 1-1,0-1 0,0 1 0,0-1 0,0 0 0,0 0 1,0 0-1,0 0 0,0 0 0,0 0 0,0-1 0,0 1 1,3-1-1,-3-1 33,0 1 0,0-1 0,1 0 1,-1 0-1,0 0 0,0 0 0,-1 0 1,1 0-1,0 0 0,-1-1 0,1 1 1,-1-1-1,0 1 0,2-5 0,1-7 46,0 0 0,-1 0-1,0 0 1,-1 0 0,0-18 0,-2-121 3778,1 159-3863,0 1 0,0 0 1,1 0-1,0-1 1,0 1-1,6 10 0,2 5 51,2 11 46,1 2-453,10 39 0,-20-59-788,0-1 0,-1 0-1,0 20 1,-2-34 1061,0 1 0,0-1 0,0 0 1,0 0-1,-1 1 0,1-1 0,0 0 0,0 1 0,0-1 0,0 0 0,0 0 1,0 1-1,0-1 0,-1 0 0,1 0 0,0 1 0,0-1 0,0 0 0,0 0 1,-1 0-1,1 1 0,0-1 0,0 0 0,-1 0 0,1 0 0,0 0 0,0 1 0,-1-1 1,1 0-1,0 0 0,-1 0 0,1 0 0,-13-1-910,-11-11 1284,20 4 510,0-1 0,1 1 0,0-1 0,0 0 0,1 0 0,0-1-1,0-9 722,2 25-1508,1-1-1,-1 1 0,1-1 0,1 1 0,-1-1 1,1 1-1,0-1 0,0 0 0,0 1 0,1-1 0,0-1 1,0 1-1,0 0 0,1-1 0,7 8 0,-8-9-58,0 0 1,0 0-1,1 0 0,-1-1 0,1 0 0,0 1 1,-1-1-1,1-1 0,0 1 0,0 0 0,1-1 1,-1 0-1,0 0 0,0 0 0,0-1 0,1 0 0,-1 1 1,0-1-1,1-1 0,-1 1 0,0-1 0,5 0 1,-5-1 80,0 0 1,-1 1 0,1-1 0,0-1 0,-1 1 0,1 0-1,-1-1 1,0 0 0,0 0 0,0 0 0,0 0 0,-1 0-1,3-4 1,31-53 81,-28 45-50,3-7 166,-2-1-1,0 1 1,-2-2 0,0 1 0,-2-1 0,0 0-1,-2 0 1,-1 0 0,0-1 0,-4-35-1,3 54 109,-1 0-1,-1 0 1,1 0-1,-1 0 1,0 0-1,-1 0 1,1 0-1,-1 0 1,0 0-1,-1 0 1,1 1-1,-1 0 1,0-1-1,-6-6 1,9 11-198,0 2-80,0-1 0,0 0 1,0 0-1,0 0 0,0 0 0,0 1 1,0-1-1,0 0 0,0 0 0,0 0 1,0 1-1,0-1 0,0 0 0,0 0 1,0 0-1,0 0 0,0 1 0,-1-1 1,1 0-1,0 0 0,0 0 0,0 0 1,0 1-1,0-1 0,0 0 0,0 0 1,-1 0-1,1 0 0,0 0 0,0 0 1,0 0-1,0 1 0,-1-1 0,1 0 1,0 0-1,0 0 0,0 0 0,0 0 1,-1 0-1,1 0 0,0 0 0,0 0 1,0 0-1,-1 0 0,1 0 0,0 0 1,0 0-1,0 0 0,-1 0 0,1 0 1,0 0-1,0 0 0,0 0 0,0-1 1,-1 1-1,1 0 0,0 0 0,0 0 1,0 0-1,0 0 0,0 0 0,-1-1 1,1 1-1,0 0 0,-3 34-128,2 0 0,1 0-1,2 0 1,1 0 0,2 0-1,1-1 1,1 1 0,2-2 0,2 1-1,0-1 1,3-1 0,27 49 0,-38-75-337,19 24-2429,-21-27 2325,0-1 0,0 0 0,1 0 0,-1-1 0,1 1 1,-1 0-1,1 0 0,-1-1 0,1 1 0,-1-1 0,4 2 0,7-2-8166</inkml:trace>
  <inkml:trace contextRef="#ctx0" brushRef="#br0" timeOffset="22032.97">18767 284 6099,'0'0'15081,"-14"-1"-14918,5 0-154,4 0-3,0 0 1,0 1-1,-1 0 1,1 0-1,-10 1 0,13 0-3,0-1-1,-1 1 0,2 0 1,-1-1-1,0 1 0,0 0 1,0 0-1,0 1 0,0-1 1,1 0-1,-1 0 0,0 1 1,1-1-1,0 1 0,-1-1 1,1 1-1,0 0 0,0 0 1,-1 0-1,1-1 0,-1 5 1,-3 8-3,1 1 1,0 0 0,1 0-1,0 0 1,1 1-1,1-1 1,1 0 0,2 29-1,-1-40-8,-1 0 0,1 0 0,0 0 0,1 1 0,-1-1 0,1-1 0,-1 1 0,1 0 0,0 0-1,1-1 1,-1 1 0,1-1 0,-1 0 0,1 1 0,0-1 0,0-1 0,1 1 0,-1 0 0,0-1 0,1 0 0,0 1 0,-1-1 0,5 1 0,0 0-200,-1 0 1,1-1 0,-1 0 0,1-1 0,0 1 0,-1-1 0,1-1 0,0 0 0,0 0 0,0 0 0,14-3 0,-17 1 153,0 0 1,0 0 0,0-1-1,0 0 1,0 0 0,-1 0-1,1 0 1,-1-1 0,0 1-1,0-1 1,0 0 0,0-1-1,-1 1 1,1 0 0,-1-1 0,0 0-1,-1 0 1,1 0 0,-1 0-1,2-8 1,2-3 369,-1 0-1,-1 0 1,0 0-1,-1-1 1,1-27-1,-3 24 263,-2-43 1191,1 59-1613,-1 1 1,0-1-1,0 0 1,0 0-1,0 0 1,-1 0 0,1 1-1,-1-1 1,0 1-1,0-1 1,0 1-1,0 0 1,-4-4-1,6 7-146,0 0 0,0 0 0,0 0 0,0 0-1,0-1 1,0 1 0,-1 0 0,1 0 0,0 0 0,0 0-1,0 0 1,0 0 0,0 0 0,0 0 0,-1 0 0,1 0-1,0-1 1,0 1 0,0 0 0,0 0 0,0 0-1,0 0 1,-1 0 0,1 0 0,0 0 0,0 0 0,0 0-1,0 0 1,-1 0 0,1 0 0,0 0 0,0 0-1,0 1 1,0-1 0,0 0 0,0 0 0,-1 0 0,1 0-1,0 0 1,0 0 0,0 0 0,0 0 0,0 0 0,0 0-1,0 1 1,-1-1 0,-2 10 1,2 14-245,1-22 270,1 12-24,1 1 0,0-1 1,1 0-1,1 0 0,0 0 0,0 0 0,2-1 0,0 1 0,13 21 0,-15-27 3,2 3-7,2 2-187,-1 2-1,0-1 0,0 1 1,-2 0-1,0 0 0,0 1 1,-2-1-1,4 32 0,-7-46 123,0 0-1,-1 0 1,1 0-1,-1-1 0,1 1 1,0 0-1,-1-1 0,1 1 1,-1 0-1,0-1 0,1 1 1,-1-1-1,1 1 1,-1-1-1,0 1 0,0-1 1,1 1-1,-1-1 0,0 0 1,0 1-1,1-1 0,-1 0 1,0 0-1,0 0 1,0 1-1,1-1 0,-1 0 1,0 0-1,0 0 0,0 0 1,0-1-1,1 1 0,-1 0 1,0 0-1,0 0 1,0-1-1,0 1 0,-6-1-201,-6 0-280,1 0 0,-1-1-1,1-1 1,0 0-1,0-1 1,0 0 0,1-1-1,0 0 1,-1-1-1,-12-9 1,-17-9-3844</inkml:trace>
  <inkml:trace contextRef="#ctx0" brushRef="#br0" timeOffset="23091.57">19546 574 1601,'0'0'12248,"2"-8"-11496,4-23-311,-5 31-441,0 0 1,0 0 0,0 1 0,1-1 0,-1 0 0,0 1 0,0-1 0,-1 1 0,1-1 0,0 1-1,0-1 1,0 1 0,0 0 0,0 0 0,0-1 0,-1 1 0,1 0 0,0 0 0,0 1 0,14 11-51,-13-12 30,1 0 0,-1 0 0,0 0 0,1-1 0,-1 1 0,1-1 0,-1 1 0,1-1 0,-1 0 0,1 0 0,-1 0 0,1 0 0,-1 0 0,0-1 1,1 1-1,-1-1 0,1 1 0,-1-1 0,0 0 0,5-2 0,-4 0 14,1 1 0,-1-1 0,0 0 0,0 0 0,0-1 0,0 1 0,0 0 0,-1-1-1,1 0 1,-1 1 0,2-6 0,2-6-14,-1 0 0,0-1 0,-1 0 0,0 0 1,1-23-1,-1-2-34,-2 0 1,-5-59 0,1 80 507,-1 0 0,-1 0 1,0 0-1,-2 0 0,0 1 0,-16-35 1,8 37 1067,14 17-1488,0 0 1,0 0-1,-1-1 1,1 1-1,0 0 1,-1 0-1,1 0 1,0 0-1,-1 0 1,1 0-1,0 0 1,-1 0-1,1 0 1,0 0-1,-1 0 1,1 0-1,0 0 1,-1 0-1,1 0 1,0 0-1,-1 0 1,1 0-1,0 1 0,-1-1 1,1 0-1,0 0 1,-1 0-1,1 0 1,0 1-1,-1-1 1,-1 3-16,1 0 1,-1 0-1,1-1 0,-1 1 1,1 0-1,0 0 1,0 0-1,1 1 1,-2 3-1,-5 46 21,3-1 1,3 88-1,2-72 82,0 14 34,17 123 1,-10-160-152,1 0 0,3 0 0,1-1 0,24 53 1,-35-93-74,1 1 0,-1-1 0,1 0 0,-1 1 0,1-1 0,6 6 0,-8-10 66,-1 1-1,1 0 1,0 0-1,0-1 1,0 1-1,0 0 1,0-1 0,0 1-1,0-1 1,0 1-1,0-1 1,0 0-1,0 0 1,0 1 0,0-1-1,1 0 1,-1 0-1,0 0 1,0 0-1,0 0 1,0 0-1,0 0 1,0 0 0,0-1-1,1 1 1,-1 0-1,0-1 1,0 1-1,0-1 1,0 1 0,0-1-1,0 1 1,0-1-1,-1 0 1,1 1-1,1-2 1,3-3 78,-1-1 0,0 1 1,0-1-1,0 0 0,-1 0 0,0 0 1,0 0-1,0 0 0,2-12 0,2-5 29,5-36-1,-7 23-80,-2 0 0,-1-1 0,-2 1 0,-6-56 0,3 78-25,0 0 0,-1 0 0,-7-18 1,9 27-18,0-1 1,-1 1-1,1 0 1,-1 1-1,0-1 1,-1 0-1,1 1 1,-1-1-1,0 1 1,0 0-1,-6-4 1,9 7-14,0 0 0,0 0 1,0 1-1,0-1 1,0 0-1,0 1 0,0-1 1,0 1-1,0 0 1,0-1-1,0 1 0,-1 0 1,1-1-1,0 1 1,0 0-1,0 0 0,0 0 1,-1 0-1,1 0 1,0 0-1,0 1 0,0-1 1,0 0-1,0 0 1,-1 1-1,1-1 0,0 1 1,0-1-1,0 1 1,0 0-1,0-1 0,0 1 1,0 0-1,1-1 1,-1 1-1,0 0 0,0 0 1,0 0-1,1 0 1,-1 0-1,1 0 0,-1 0 1,1 0-1,-1 0 1,1 0-1,-1 0 0,1 0 1,-1 2-1,0 1-216,0 0 0,1 1-1,-1-1 1,1 0 0,-1 0-1,1 1 1,1-1 0,-1 0 0,0 0-1,1 1 1,0-1 0,2 6-1,0-5-258,1 0-1,-1-1 0,1 0 0,0 0 0,0 0 0,0 0 0,1-1 0,-1 0 0,1 0 1,0 0-1,0 0 0,0-1 0,0 0 0,9 3 0,18 4-5184</inkml:trace>
  <inkml:trace contextRef="#ctx0" brushRef="#br0" timeOffset="23901.78">19951 425 5202,'0'0'6185,"-1"-17"-3838,-1-52-719,2 67-1489,0 0 0,0-1 0,-1 1 0,1 0 0,-1 0 0,1 0 0,-1 0-1,0 0 1,0 0 0,-1-3 0,1 4-99,1 1 1,-1-1-1,1 1 0,-1-1 0,1 1 0,-1-1 0,1 1 0,-1-1 0,0 1 0,1-1 0,-1 1 0,0 0 0,1-1 0,-1 1 0,0 0 0,1 0 1,-1 0-1,0-1 0,-1 1 0,1 0-26,-1 1 0,1-1 0,-1 0 0,1 0 0,-1 1 0,1-1 0,0 1 0,-1-1 0,1 1 0,0 0 0,-1 0 0,1-1 0,0 1 0,0 0 0,0 0 0,0 0 0,-2 2 0,-1 4-22,0-1-1,1 1 0,-1 0 1,2 0-1,-1 1 0,1-1 1,0 0-1,0 1 0,1-1 1,-1 14-1,1 10-188,3 37 1,-2-62 148,0-3-92,0 0 1,0 1-1,1-1 1,-1 1-1,1-1 1,0 0-1,0 0 1,0 1-1,1-1 1,-1 0-1,1 0 1,-1 0-1,1 0 0,0 0 1,0-1-1,0 1 1,1 0-1,-1-1 1,1 0-1,-1 0 1,1 1-1,0-1 1,-1-1-1,1 1 1,0 0-1,1-1 0,-1 0 1,0 1-1,0-1 1,1 0-1,-1-1 1,0 1-1,1-1 1,-1 1-1,0-1 1,1 0-1,-1 0 1,1-1-1,-1 1 0,0-1 1,1 1-1,3-3 1,-3 2 107,-1-1 1,1 0-1,-1 0 1,0-1-1,0 1 1,0 0-1,0-1 0,-1 0 1,1 0-1,-1 0 1,1 0-1,-1 0 1,0 0-1,0-1 0,0 1 1,-1-1-1,1 1 1,-1-1-1,0 0 1,0 0-1,0-5 1,3-8 352,-1 0 0,-2-1 0,1-23-1,-2 28 83,-2-40 1309,2 51-1608,-1 0-1,1 0 1,0 0-1,-1 0 0,0 0 1,1 0-1,-1 0 1,0 0-1,0 0 1,0 0-1,0 1 1,0-1-1,-1 0 1,1 1-1,0-1 1,-1 1-1,1 0 1,-1-1-1,0 1 1,1 0-1,-4-2 1,4 3-101,0 0 0,1 0 0,-1 0-1,0 0 1,0 0 0,0 0 0,1 0 0,-1 0 0,0 0 0,0 0 0,1 0 0,-1 0 0,0 0 0,0 1-1,0-1 1,1 0 0,-1 1 0,0-1 0,1 0 0,-1 1 0,0-1 0,1 1 0,-1-1 0,1 1 0,-1 0-1,0-1 1,1 1 0,-1-1 0,1 1 0,0 0 0,-1 0 0,1-1 0,0 1 0,-1 0 0,1 0 0,0-1 0,0 1-1,-1 0 1,1 0 0,0-1 0,0 1 0,0 0 0,0 1 0,-3 40-100,3-38 90,0 5 5,0-1 0,1 1-1,0 0 1,0 0 0,1-1 0,0 1 0,1-1 0,3 10 0,-4-15-50,0 0 1,-1 0-1,1 0 1,0 0-1,1 0 1,-1 0-1,1-1 1,-1 1-1,1-1 1,0 0-1,-1 0 1,1 0-1,0 0 1,1 0-1,-1 0 1,0-1 0,0 0-1,1 1 1,-1-1-1,1-1 1,-1 1-1,8 0 1,-9 0 42,1-1 0,-1 0 1,0 0-1,1 0 1,-1 0-1,1 0 1,-1-1-1,1 1 0,-1-1 1,1 1-1,-1-1 1,0 0-1,1 0 0,-1 0 1,0 0-1,0-1 1,0 1-1,0-1 0,0 1 1,3-4-1,-1 0 23,-1 0-1,1-1 0,-1 1 0,-1-1 0,1 1 1,-1-1-1,2-8 0,0-2 222,0-1-1,-2 1 1,0-1-1,-1 0 1,-1-24 0,-1 17 272,-4 5 150,5 19-644,0 0 0,-1-1-1,1 1 1,0-1 0,-1 1-1,1 0 1,0-1 0,-1 1-1,1 0 1,0-1-1,-1 1 1,1 0 0,-1 0-1,1-1 1,-1 1 0,1 0-1,-1 0 1,1 0 0,-1 0-1,1 0 1,-1 0-1,1 0 1,-1 0 0,1 0-1,0 0 1,-1 0 0,1 0-1,-1 0 1,1 0 0,-1 0-1,1 0 1,-1 0 0,1 1-1,-1-1 1,1 0-1,-1 0 1,1 0 0,-1 1-1,0 0-15,0 0 0,1 0 0,-1 0 0,0 1 0,1-1 0,-1 0 0,1 0 0,-1 0-1,1 1 1,0-1 0,-1 0 0,1 0 0,0 1 0,0-1 0,0 0 0,0 3 0,1 27-162,-1-23 81,1-4-74,0 0 1,0 0-1,1 0 0,-1 0 1,1 0-1,0 0 0,-1-1 1,2 1-1,-1 0 0,0-1 1,1 0-1,0 0 0,0 1 1,0-1-1,0-1 1,6 5-1,-6-4-101,0-1-1,0 0 1,0 0-1,0 0 1,0 0 0,0-1-1,1 0 1,-1 1 0,0-1-1,1 0 1,-1 0 0,1-1-1,0 1 1,-1-1 0,1 0-1,-1 0 1,1 0 0,0 0-1,-1-1 1,6-1-1,-7 1 277,0 0-1,0-1 0,-1 1 0,1-1 0,0 1 0,-1-1 0,1 0 0,-1 1 1,0-1-1,0 0 0,0 0 0,0 0 0,0 0 0,0 0 0,0 0 0,0-1 1,-1 1-1,1-3 0,7-46 2419,-7 42-1468,10-62 7098,-11 98-8072,2 0 0,8 46 0,-8-63-406,0-1 0,1 1 1,0 0-1,0-1 0,1 0 0,1 0 0,-1 0 0,1 0 0,1 0 1,11 13-1,3-9-3066,3-6-2631</inkml:trace>
  <inkml:trace contextRef="#ctx0" brushRef="#br0" timeOffset="25468.38">20807 207 10709,'0'0'9073,"0"4"-8835,-2 43 96,0-27-235,1 1-1,2 0 1,0 0-1,4 21 1,-4-39-146,0 1-1,0-1 1,1 0 0,-1 1 0,1-1-1,0 0 1,0 0 0,0 0 0,0 0-1,1-1 1,-1 1 0,1 0 0,-1-1-1,1 0 1,0 0 0,0 0-1,0 0 1,0 0 0,0 0 0,5 1-1,-2-1-124,0 0-1,0-1 1,0 1-1,0-1 1,0-1-1,0 1 1,0-1-1,0 0 1,0 0-1,0-1 1,8-1-1,-10 0 163,0 0-1,0 1 1,0-2 0,-1 1-1,1 0 1,-1-1 0,0 1-1,0-1 1,0 0 0,0 0-1,0-1 1,-1 1 0,1 0-1,-1-1 1,0 0 0,0 1-1,0-1 1,0 0 0,1-8-1,2-1 304,-1 0 0,-1 0 0,-1 0 0,0 0-1,1-14 1,-2 8 477,0 14-517,0-1 0,-1 0 1,1 0-1,-1 1 0,-1-1 0,1 0 0,-1 0 0,0 1 0,0-1 0,0 1 0,-1-1 1,-2-5-1,4 11-245,-1 0 1,1-1 0,0 1-1,0 0 1,0 0 0,0 0-1,0-1 1,-1 1 0,1 0-1,0 0 1,0 0 0,0 0-1,-1-1 1,1 1 0,0 0-1,0 0 1,0 0 0,-1 0-1,1 0 1,0 0-1,0 0 1,-1-1 0,1 1-1,0 0 1,0 0 0,-1 0-1,1 0 1,0 0 0,0 0-1,-1 0 1,1 0 0,0 1-1,0-1 1,-1 0 0,1 0-1,0 0 1,0 0 0,0 0-1,-1 0 1,1 0 0,0 0-1,0 1 1,0-1 0,-1 0-1,1 0 1,0 0 0,0 0-1,0 1 1,0-1 0,-1 0-1,1 0 1,0 1-1,0-1 1,0 0 0,0 0-1,0 0 1,0 1 0,0-1-1,0 0 1,0 0 0,0 1-1,0-1 1,-4 19-164,4-18 173,-3 27-3,2 1 1,2-1 0,0 1-1,2-1 1,1 0-1,1 0 1,15 48-1,11 10 35,43 87 0,-60-144-156,-6-14-192,-1 0 1,0 0 0,-1 1-1,-1 0 1,0 0-1,-1 0 1,-1 1 0,2 24-1,-5-40 204,0 0 0,0 1-1,0-1 1,-1 1-1,1-1 1,0 0-1,-1 1 1,1-1 0,-1 0-1,1 0 1,-1 1-1,0-1 1,1 0 0,-1 0-1,0 0 1,0 0-1,0 0 1,0 0-1,0 0 1,0 0 0,0 0-1,0 0 1,0-1-1,0 1 1,-1 0 0,1-1-1,0 1 1,0-1-1,-1 1 1,1-1-1,0 1 1,-1-1 0,1 0-1,0 0 1,-1 0-1,1 0 1,-1 0 0,1 0-1,0 0 1,-1 0-1,-1-1 1,0 0 83,-1 1-1,1-1 1,0 0 0,0 0-1,0 0 1,0 0 0,0 0-1,0-1 1,0 1 0,1-1-1,-1 0 1,0 0 0,1 0-1,0 0 1,-1 0 0,1 0-1,0-1 1,-2-2 0,0-5 107,0 0 1,1 0-1,0-1 0,1 1 1,0-1-1,0 0 1,1-20-1,1 3 391,1 1 1,6-29-1,12-37 369,61-175 1,-68 233-706,-3 6 178,1 1 0,26-50 1,-35 77-315,-1 1 1,0-1-1,1 1 0,-1-1 1,0 1-1,1-1 1,-1 1-1,1 0 1,-1-1-1,1 1 0,-1 0 1,1 0-1,-1-1 1,1 1-1,-1 0 0,1 0 1,-1-1-1,1 1 1,-1 0-1,1 0 0,-1 0 1,1 0-1,0 0 1,-1 0-1,1 0 1,-1 0-1,1 0 0,-1 0 1,1 1-1,-1-1 1,1 0-1,-1 0 0,1 0 1,-1 1-1,1-1 1,-1 0-1,1 0 0,-1 1 1,1-1-1,-1 0 1,1 1-1,-1-1 1,0 1-1,1-1 0,-1 1 1,0-1-1,1 1 1,-1-1-1,0 1 0,0-1 1,1 1-1,-1 0 1,22 36-94,-18-27 182,18 39-8,-17-37-142,0 0 0,0-1 0,13 21 0,-14-69-394,-4 31 414,-1 1 0,1 0 0,-1 0 0,-1 0 0,1 0 1,-1 0-1,0 0 0,0 0 0,0 0 0,-1 1 1,0-1-1,0 1 0,0 0 0,0 0 0,0 0 0,-6-4 1,7 5 30,-1 1 0,0-1 0,0 1 0,0 0 0,0 0 0,0 0 0,-1 0 0,1 1 0,0-1 0,-1 1 0,1 0 1,-1 0-1,0 0 0,1 1 0,-1-1 0,0 1 0,1 0 0,-1 0 0,0 0 0,1 0 0,-1 1 0,0 0 0,1-1 0,-5 3 0,6-2-9,-1 1 0,1 0 0,-1-1 0,1 1 0,0 1 0,0-1 0,0 0 0,0 0 0,0 1 0,0-1 0,1 1 0,-1-1 0,1 1 0,0 0 0,-1 0 0,1 0 0,1-1 0,-2 7 0,-1 4-40,0 1 0,0 23 0,2-22 45,1 0 0,0-1 0,1 1 0,1-1 0,0 1 0,7 23 0,-8-34-29,1 1 1,0 0 0,1-1 0,-1 1 0,1-1 0,0 1 0,0-1 0,0 0 0,0-1 0,1 1 0,-1 0 0,1-1 0,0 0 0,0 0 0,1 0 0,-1 0-1,1-1 1,-1 0 0,1 0 0,0 0 0,-1 0 0,10 1 0,-11-2 14,0 0 1,0-1-1,0 1 1,0-1-1,0 0 0,0 0 1,0 0-1,0 0 0,1-1 1,-1 1-1,0-1 0,0 0 1,0 1-1,0-2 1,0 1-1,0 0 0,-1 0 1,6-4-1,-5 2 16,0 0 0,0 0 0,0-1 1,0 1-1,0-1 0,-1 0 0,0 1 0,0-1 0,0 0 1,0 0-1,2-9 0,0-8 117,0 1 0,-1-1 0,-1 0 0,-2-32 0,0 45-56,1-22 264,0 20-85,0 1 0,-1-1-1,0 0 1,-3-15 0,0 22-110,0 8-160,0 8-77,0 12 53,2-1-1,1 1 0,4 36 0,-4-54-75,1-1-1,1 1 0,-1 0 0,1-1 0,0 1 1,0-1-1,1 0 0,0 0 0,0 0 0,1 0 0,-1 0 1,1-1-1,0 1 0,1-1 0,-1 0 0,1 0 0,8 6 1,-11-10 103,1 1 1,-1-1-1,0 0 1,0 0-1,0 0 1,1 0-1,-1-1 1,0 1-1,1-1 1,-1 1-1,0-1 1,1 0-1,-1 0 1,1 0 0,-1 0-1,1 0 1,-1 0-1,0-1 1,1 1-1,-1-1 1,0 0-1,1 0 1,-1 0-1,0 0 1,0 0-1,0 0 1,0 0-1,0-1 1,0 1 0,0-1-1,0 1 1,0-1-1,-1 0 1,1 0-1,-1 0 1,1 0-1,-1 0 1,1-2-1,6-9 175,-1-1-1,0 1 1,-1-1-1,7-22 0,-12 34-139,31-120 3175,-32 121-2861,0 24-330,-1 17-10,0-15 50,1 0 0,6 44 0,-5-62-99,0-1-1,1 1 1,0 0-1,0-1 0,1 1 1,-1-1-1,1 0 1,1 0-1,-1 0 1,1 0-1,0-1 1,1 1-1,-1-1 1,10 8-1,-12-11 10,-1-1-1,1 1 0,0-1 0,0 0 0,0 0 0,0 1 0,0-1 1,0-1-1,0 1 0,0 0 0,0 0 0,0-1 0,0 1 1,1-1-1,-1 0 0,0 0 0,0 0 0,0 0 0,4 0 1,-4-1 36,0 0 0,0 0 0,0 0 0,0 0 0,0 0 1,-1 0-1,1 0 0,0-1 0,0 1 0,-1-1 1,1 1-1,-1-1 0,0 0 0,1 0 0,-1 1 0,1-3 1,4-8 32,-1 0 1,-1-1-1,0 1 0,0-1 1,1-14-1,4-27 1215,2-97 0,-21 336-1267,9-139-133,-1 19-1042,7-25-2384,3-22-1899</inkml:trace>
  <inkml:trace contextRef="#ctx0" brushRef="#br0" timeOffset="26557.31">22850 310 5234,'0'0'10136,"-18"-7"-9184,-58-22-477,73 28-438,0 0 0,0 0 0,0 1 0,0-1 0,0 0 1,0 1-1,0 0 0,-1 0 0,1 0 0,0 0 0,0 0 0,0 1 0,0 0 0,0-1 0,0 1 0,0 0 0,0 0 1,0 1-1,0-1 0,0 1 0,0-1 0,1 1 0,-1 0 0,1 0 0,-1 0 0,1 0 0,0 0 0,0 1 0,0-1 1,-3 5-1,1 0-41,0 0 0,0 1 1,1-1-1,0 1 0,1 0 0,0 0 1,0 0-1,0 0 0,0 9 1,1-7-41,0 0 0,1 1 0,0-1 0,1 0 1,0 0-1,5 19 0,-5-25 38,1-1 0,-1 0 0,1 0 0,-1 0 0,1 1 0,0-1 0,0-1 0,0 1 0,1 0 0,-1-1 0,1 1 0,-1-1 0,1 1 0,0-1 0,0 0 0,0 0 0,0-1 0,0 1 0,0-1 0,1 1 0,-1-1 0,0 0 0,6 1 0,-3-1 3,0 0 0,-1 0 0,1 0 0,0-1 0,0 0 1,0 0-1,-1 0 0,1-1 0,6-1 0,-8 1 7,-1-1 1,0 1-1,0 0 0,0-1 0,0 0 0,0 0 1,0 1-1,-1-2 0,1 1 0,-1 0 0,1 0 0,-1-1 1,0 0-1,0 1 0,0-1 0,3-5 0,0-2 33,-1 1 0,0-1-1,-1 0 1,0 0 0,0-1-1,-1 1 1,1-13 0,-1-75 1269,-2 58-22,-7 64-1476,5-12 111,1 0-1,0 0 0,1-1 1,1 1-1,0 0 1,0 0-1,1-1 0,5 15 1,-6-22 42,1 0-1,-1-1 1,1 1-1,0-1 1,0 0 0,1 1-1,-1-1 1,0 0 0,1 0-1,0 0 1,0-1 0,0 1-1,0-1 1,0 0 0,0 0-1,1 0 1,-1 0 0,1 0-1,0-1 1,-1 1 0,1-1-1,0 0 1,0 0-1,0-1 1,-1 1 0,1-1-1,0 0 1,6 0 0,-6-1 66,1 1 0,-1-1 0,1-1 0,-1 1 0,0-1 0,0 0 0,0 0 0,0 0 0,0 0 0,0-1 0,0 0 0,-1 1 0,1-1 0,-1-1 0,0 1 0,0 0 0,0-1 0,0 0 0,-1 1 0,0-1 0,1 0 0,1-5 0,5-9 400,-1 0 0,-1 0 0,9-34 0,-14 45-232,4-19 406,-6 25-573,0 1 1,0-1-1,0 1 1,0-1-1,0 1 0,0-1 1,1 1-1,-1-1 1,0 1-1,0-1 0,0 1 1,0 0-1,1-1 1,-1 1-1,0-1 0,0 1 1,1 0-1,-1-1 1,0 1-1,1-1 0,-1 1 1,0 0-1,1 0 1,-1-1-1,1 1 0,-1 0 1,0 0-1,1-1 1,-1 1-1,1 0 0,-1 0 1,1 0-1,-1 0 1,1-1-1,1 4-54,0 0 1,0 0-1,-1-1 1,1 1-1,-1 0 0,1 0 1,-1 0-1,0 1 1,0-1-1,-1 0 0,1 6 1,2 2 41,7 29 48,-2-9-331,1 0-1,20 48 0,-29-79 254,0 0-1,1 1 0,-1-1 1,0 0-1,0 1 0,0-1 1,1 0-1,-1 0 1,0 1-1,0-1 0,1 0 1,-1 0-1,0 1 0,1-1 1,-1 0-1,0 0 1,0 0-1,1 0 0,-1 0 1,0 1-1,1-1 0,-1 0 1,0 0-1,1 0 1,-1 0-1,1 0 0,-1 0 1,0 0-1,1 0 1,-1 0-1,0 0 0,1 0 1,-1 0-1,0-1 0,1 1 1,-1 0-1,0 0 1,1 0-1,-1 0 0,0 0 1,0-1-1,1 1 0,-1 0 1,0 0-1,1-1 1,-1 1-1,0 0 0,0 0 1,0-1-1,1 1 0,-1 0 1,0-1-1,0 1 1,0 0-1,0-1 0,0 1 1,1 0-1,-1-1 1,0 0-1,10-20 188,-9 21-195,17-56 113,10-23 279,-25 72-288,0 1 0,0 0 0,1 0 0,-1 1 0,1-1 0,1 1 0,-1 0 0,1 0 0,8-7 0,-11 11-85,-1 0-1,1-1 1,-1 1 0,1 0-1,0 0 1,-1 0 0,1 1-1,0-1 1,0 0 0,-1 1 0,1-1-1,0 1 1,0-1 0,0 1-1,0 0 1,0 0 0,0 0-1,0 0 1,-1 0 0,1 0-1,0 1 1,0-1 0,4 2-1,-4 0 15,1-1 0,-1 1 1,1 0-1,-1 0 0,0 0 0,0 1 0,0-1 0,0 0 0,0 1 0,0-1 0,-1 1 0,1 0 0,1 4 0,2 5-227,-1 1 1,0 0-1,-1 1 0,0-1 1,1 22-1,-2 18-4280,-2-34-834</inkml:trace>
  <inkml:trace contextRef="#ctx0" brushRef="#br0" timeOffset="28561.81">23824 167 8388,'0'0'9458,"-1"12"-9240,-4 59 126,5 75 1,0-143-375,0 0 1,0 0 0,1 1 0,0-1-1,0 0 1,-1 0 0,2 0-1,-1 0 1,0 0 0,1 0 0,-1 0-1,1 0 1,0-1 0,0 1 0,0 0-1,0-1 1,0 0 0,1 1 0,-1-1-1,1 0 1,-1 0 0,1-1 0,0 1-1,0-1 1,0 1 0,0-1 0,0 0-1,3 1 1,-2-1 15,0 0-1,0-1 1,-1 0 0,1 0 0,0 0-1,0 0 1,-1-1 0,1 0-1,0 1 1,-1-1 0,1 0 0,-1-1-1,1 1 1,-1-1 0,0 1-1,1-1 1,-1 0 0,0 0-1,0-1 1,0 1 0,0 0 0,-1-1-1,1 0 1,2-3 0,2-5 102,0 1 0,0-1 0,-1 0 0,-1-1 1,0 1-1,0-1 0,-1 0 0,3-17 0,-2 3 1738,-2-1 1,1-50-1,-4 76-1583,0 3-137,1 41-113,2-1-1,2 0 1,2 0-1,1 0 0,3-1 1,21 57-1,35 55 41,-1-3-469,-63-143 290,0 1 1,-1-1-1,0 0 0,0 1 0,0-1 1,-1 1-1,0-1 0,-1 1 0,1 0 1,-3 13-1,1-20 63,1-1 0,-1 1 1,0 0-1,0-1 0,0 0 0,0 1 1,0-1-1,0 0 0,0 1 0,0-1 1,0 0-1,0 0 0,0 0 0,0 0 1,0 0-1,0 0 0,0 0 0,-1 0 1,0-1-1,-2 1-188,-1 0 242,0-1 0,0 1 0,0-1 1,1 0-1,-1 0 0,0-1 1,0 1-1,1-1 0,-1 0 0,0 0 1,1-1-1,0 1 0,0-1 1,0 0-1,0 0 0,0 0 0,0-1 1,1 1-1,0-1 0,0 0 1,0 0-1,0 0 0,0 0 1,1-1-1,0 1 0,0-1 0,-2-4 1,0-3 25,1 0 0,0 0 0,0 0 0,1 0 1,1 0-1,0-1 0,1 1 0,0 0 0,1-1 0,3-14 1,5-11 237,3 0 0,1 0 1,23-44-1,-10 20 72,-11 27-238,1-7 54,2 1-1,1 0 1,46-68 0,-65 108-116,1 0-1,0-1 1,-1 1-1,1 0 1,0 0-1,0 0 1,0 0-1,0 0 0,0 0 1,0 0-1,0 0 1,0 1-1,0-1 1,0 0-1,1 1 1,-1-1-1,0 1 0,0-1 1,1 1-1,-1-1 1,0 1-1,1 0 1,-1 0-1,1 0 1,-1 0-1,0 0 1,1 0-1,-1 0 0,0 0 1,1 0-1,-1 0 1,0 1-1,1-1 1,-1 1-1,0-1 1,0 1-1,1-1 0,-1 1 1,0 0-1,0 0 1,0 0-1,0-1 1,0 1-1,0 0 1,0 0-1,0 0 1,0 0-1,-1 1 0,1-1 1,1 2-1,5 8-67,0 0-1,-1 1 0,-1 0 0,6 15 0,-7-17-144,-2-3-158,-2-5 193,1 0 1,0 0-1,-1 0 0,1 0 1,0 0-1,0 0 0,0 0 1,0 0-1,3 3 0,-2-22 369,-2 11-122,-1 0 0,1 0-1,-1-1 1,-1 1 0,1 0 0,-1 1 0,0-1 0,0 0 0,0 0 0,-5-7-1,6 11-50,-1 1-1,1-1 0,0 0 0,-1 0 1,1 1-1,-1-1 0,1 1 1,-1-1-1,0 1 0,1 0 0,-1 0 1,0 0-1,0 0 0,0 0 0,0 0 1,0 0-1,0 0 0,0 1 0,0-1 1,-1 1-1,1 0 0,0-1 0,0 1 1,0 0-1,0 0 0,-1 1 0,1-1 1,0 0-1,0 1 0,0-1 0,0 1 1,0 0-1,-2 1 0,0-1-21,1 2-1,1-1 1,-1 0-1,0 0 1,0 1-1,1 0 1,0-1 0,-1 1-1,1 0 1,0 0-1,0 1 1,1-1-1,-1 0 1,1 0-1,-3 8 1,0 4-32,0 0 1,-3 20-1,4-16-11,1 0 0,1 0 0,0 1 0,2-1 0,0 0 0,5 20 0,-5-34-37,0 0 0,0 0 1,1 0-1,0 0 0,0 0 1,0-1-1,1 1 0,0-1 1,-1 1-1,2-1 1,6 7-1,-7-8-5,-1-1 0,1 0 0,0 0 1,1-1-1,-1 1 0,0-1 0,0 0 0,1 1 1,-1-1-1,1-1 0,-1 1 0,1 0 0,-1-1 1,1 0-1,-1 0 0,1 0 0,-1 0 0,1-1 1,5 0-1,-6 0 65,0-1 0,0 1 0,0-1-1,0 1 1,-1-1 0,1 0 0,0 0 0,-1 0 0,1 0 0,-1-1 0,0 1 0,1-1-1,-1 1 1,0-1 0,-1 0 0,1 0 0,0 0 0,-1 0 0,0 0 0,2-4 0,3-11 87,0 0 1,3-22-1,-8 37-66,4-31 1290,-1-1 0,-1-54 0,-3 262-2770,0-171 1410,0 1 0,0-1 0,0 0 0,1 1 0,-1-1 0,1 1 0,-1-1 0,1 0 0,0 0-1,0 1 1,0-1 0,1 0 0,-1 0 0,0 0 0,1 0 0,-1 0 0,1 0 0,0-1 0,-1 1 0,1 0 0,0-1 0,0 0 0,0 1-1,0-1 1,0 0 0,0 0 0,1 0 0,-1 0 0,0 0 0,1-1 0,-1 1 0,0-1 0,1 1 0,-1-1 0,1 0 0,-1 0 0,0 0-1,1 0 1,-1-1 0,1 1 0,-1 0 0,0-1 0,1 0 0,-1 0 0,0 0 0,3-1 0,0-1 66,0 0 0,0-1 1,-1 1-1,1-1 0,-1 0 1,0 0-1,0 0 0,-1-1 0,7-8 1,25-50 392,-33 59-322,3-8 541,-1 0 0,0 0 0,-1-1 0,0 1 0,-1-1 0,1-15 0,-5 83-800,0-18 295,4 41 0,-2-69-238,1 0 1,1 0 0,-1 0 0,2 0 0,-1 0 0,1 0 0,1-1 0,-1 1 0,10 13 0,-12-20 102,0 0 0,0 0-1,0-1 1,1 1 0,-1-1-1,1 1 1,-1-1 0,1 0 0,0 1-1,-1-1 1,1 0 0,0 0 0,0 0-1,0 0 1,0-1 0,0 1 0,0 0-1,0-1 1,0 1 0,0-1 0,0 0-1,0 0 1,0 0 0,0 0-1,0 0 1,0 0 0,0 0 0,0-1-1,0 1 1,3-2 0,-1 1 36,0-1 0,-1 0 1,1 0-1,-1-1 0,1 1 1,-1-1-1,0 1 0,0-1 0,0 0 1,0 0-1,0-1 0,-1 1 0,5-7 1,2-9 198,-1-1 0,-1-1 1,0 1-1,-2-1 0,0-1 1,2-39-1,5-16 2213,-12 95-2395,1 1 0,0 0 0,1 0 0,6 24 0,-7-36-1,2 9-148,0 0-1,1 0 1,1 0-1,9 18 1,-13-30 74,1-1 0,-1 0 0,1 0 0,0 0 0,0 0 0,1 0 0,-1 0 0,0-1 0,1 1 0,0-1 0,0 1 0,0-1 0,0 0 1,0 0-1,0 0 0,0-1 0,0 1 0,1-1 0,-1 0 0,1 0 0,-1 0 0,1 0 0,-1-1 0,1 1 0,4-1 0,-5 0 54,1 0 0,-1 0 1,1-1-1,0 0 0,-1 1 0,1-1 0,-1 0 0,0-1 0,1 1 0,-1-1 0,0 1 0,0-1 0,0 0 0,0 0 0,0 0 0,5-6 0,-3 3-2,-1-1 0,0 0 0,0 1 0,0-2 0,-1 1 0,0 0 0,0-1 0,2-8 0,1-5 21,-1-1-1,-2 0 1,0-1 0,0-40-1,-2 38 64,0 18-41,0 0 1,-1 0 0,0-1 0,0 1 0,0 0-1,-1 0 1,0 0 0,0 0 0,-1 0 0,0 0 0,-3-9-1,5 15-41,0 0 0,0-1 0,0 1 0,0 0 0,-1 0 0,1 0 0,0-1 0,0 1 0,0 0 0,0 0 0,0 0 0,-1-1-1,1 1 1,0 0 0,0 0 0,0 0 0,0 0 0,-1 0 0,1 0 0,0-1 0,0 1 0,0 0 0,-1 0 0,1 0 0,0 0 0,0 0-1,-1 0 1,1 0 0,0 0 0,0 0 0,-1 0 0,1 0 0,0 0 0,0 0 0,0 0 0,-1 0 0,1 0 0,0 0 0,0 0 0,-1 0 0,1 1-1,0-1 1,0 0 0,0 0 0,0 0 0,-1 0 0,1 0 0,0 0 0,0 1 0,0-1 0,0 0 0,-1 0 0,1 0 0,0 1 0,0-1-1,-5 13-97,3 0 99,1 0 1,0 1 0,1-1-1,0 0 1,1 0-1,3 16 1,-3-25-35,-1-1-1,1 0 1,0 1-1,0-1 1,0 0 0,0 0-1,1 0 1,-1 0-1,1 0 1,0 0 0,0 0-1,0-1 1,0 1-1,0-1 1,1 1-1,-1-1 1,1 0 0,0 0-1,-1 0 1,1 0-1,0-1 1,0 1 0,0-1-1,0 1 1,0-1-1,1 0 1,-1 0 0,0-1-1,0 1 1,5 0-1,-4-1 41,0 0 0,0 0-1,0 0 1,0 0 0,0-1-1,0 1 1,0-1 0,-1 0-1,1 0 1,0-1 0,0 1-1,-1-1 1,1 0 0,-1 0-1,1 0 1,-1 0 0,0-1-1,0 1 1,0-1 0,0 0-1,0 0 1,-1 0 0,1 0-1,-1 0 1,0 0 0,0-1 0,3-4-1,2-5 336,0 1 1,-1-2-1,0 1 0,-1-1 1,-1 0-1,0 0 0,0 0 1,-2 0-1,2-22 0,-6 93-488,0-32 161,2 0 0,0 0 0,6 40-1,-5-62-15,0 1-1,0 0 1,1-1-1,-1 1 0,1-1 1,0 0-1,-1 0 1,2 1-1,-1-1 0,0 0 1,0-1-1,1 1 0,0 0 1,0-1-1,-1 1 1,1-1-1,1 0 0,-1 0 1,0 0-1,0-1 1,5 2-1,-3-1-12,1 0-1,0 0 1,0-1-1,0 0 1,0 0 0,0-1-1,0 1 1,0-1-1,0-1 1,1 1 0,-1-1-1,8-2 1,-13 3-59,0-1 0,0 1-1,1-1 1,-1 1 0,0-1 0,0 1 0,0-1 0,0 0 0,0 1 0,0-1 0,0 0 0,0 0 0,0 0 0,0 0-1,0 0 1,0 0 0,-1 0 0,1 0 0,0 0 0,-1 0 0,1-2 0,3-19-5407,-4 2-6257</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5:47.964"/>
    </inkml:context>
    <inkml:brush xml:id="br0">
      <inkml:brushProperty name="width" value="0.05" units="cm"/>
      <inkml:brushProperty name="height" value="0.05" units="cm"/>
      <inkml:brushProperty name="color" value="#E71224"/>
    </inkml:brush>
  </inkml:definitions>
  <inkml:trace contextRef="#ctx0" brushRef="#br0">11 465 4402,'0'0'11923,"-1"-7"-10819,0 0-895,-3-11 80,1 36-314,3-13 29,-1 24 58,2 33 0,0-61-67,-1 1 0,0-1 0,1 0 0,-1 1 0,0-1 0,1 0 1,0 0-1,-1 1 0,1-1 0,0 0 0,-1 0 0,1 0 1,0 0-1,0 0 0,0 0 0,0 0 0,0 0 0,0 0 0,0 0 1,0-1-1,1 1 0,-1 0 0,0-1 0,0 1 0,1-1 0,-1 1 1,0-1-1,1 0 0,-1 1 0,0-1 0,1 0 0,-1 0 0,3 0 1,-1 0 2,0 0 1,1-1 0,-1 1-1,0-1 1,1 1-1,-1-1 1,0 0 0,0 0-1,0-1 1,1 1 0,-1-1-1,-1 1 1,5-3 0,1-4-16,0-1 1,-1 1 0,1-1-1,-2 0 1,1-1 0,-1 0 0,-1 0-1,0 0 1,0-1 0,4-15 0,0-3 6,-2 0 0,7-55 0,-9 19 173,-6-98 0,1 157 0,0 0-1,-1-1 1,0 1 0,0 0 0,0 0-1,-1 0 1,0 0 0,-6-11 0,8 17-139,0 0 1,0-1 0,0 1 0,0 0-1,0 0 1,0 0 0,0 0 0,0-1-1,0 1 1,0 0 0,-1 0 0,1 0-1,0 0 1,0 0 0,0-1 0,0 1-1,0 0 1,-1 0 0,1 0 0,0 0-1,0 0 1,0 0 0,0 0 0,-1 0-1,1 0 1,0 0 0,0 0 0,0 0-1,-1 0 1,1 0 0,0 0 0,0 0-1,0 0 1,0 0 0,-1 0 0,1 0-1,0 0 1,0 0 0,0 0 0,-1 0-1,1 0 1,0 0 0,0 0 0,-6 9-18,1 7-40,1-1 1,1 1-1,0 0 0,-1 27 0,4 71 0,1-59 46,-1-21 12,1 0 0,2 0 1,2 0-1,1-1 0,1 0 0,2 0 0,1 0 1,29 60-1,-39-93-21,0 0 0,0 1 0,0-1 0,0 0 0,0 0 1,0 0-1,0 1 0,0-1 0,0 0 0,0 0 0,0 0 0,0 1 1,0-1-1,0 0 0,0 0 0,0 0 0,0 0 0,1 0 0,-1 1 1,0-1-1,0 0 0,0 0 0,0 0 0,0 0 0,1 0 1,-1 0-1,0 1 0,0-1 0,0 0 0,0 0 0,1 0 0,-1 0 1,0 0-1,0 0 0,0 0 0,0 0 0,1 0 0,-1 0 0,0 0 1,0 0-1,0 0 0,1 0 0,-1 0 0,0 0 0,0 0 0,0 0 1,0 0-1,1 0 0,-1 0 0,0 0 0,0-1 0,4-13 138,-4-30 5,0 35-120,-2-201 335,3 207-360,-1 1 0,1 0 0,-1-1 0,1 1 0,0 0 0,0 0-1,0 0 1,0 0 0,0 0 0,0 0 0,1 0 0,-1 0 0,1 0-1,-1 0 1,1 1 0,0-1 0,0 0 0,-1 1 0,1 0 0,0-1-1,0 1 1,1 0 0,-1 0 0,0 0 0,0 1 0,0-1 0,1 0-1,-1 1 1,0-1 0,1 1 0,-1 0 0,0 0 0,1 0 0,-1 0-1,0 0 1,1 0 0,-1 1 0,0-1 0,1 1 0,-1 0 0,0 0-1,0-1 1,0 1 0,0 1 0,4 1 0,0 2-8,-1 0 1,0 0-1,0 0 1,-1 0-1,0 1 0,0 0 1,0-1-1,0 2 1,-1-1-1,0 0 0,-1 1 1,1-1-1,1 11 1,1 1-38,-2 0 1,0 0-1,-1 0 1,-1 20-1,-1-34 15,0 1 0,0-1 0,-1 0 0,0 1 0,0-1 0,0 0 0,0 0 0,-1 0 0,0 0 0,0 0 0,0 0 0,0-1 0,0 1 0,-1 0 0,1-1 0,-1 0-1,0 0 1,0 0 0,-1 0 0,1 0 0,0 0 0,-1-1 0,0 0 0,-4 2 0,1 0-339,-1 0-1,0-1 1,-1 0 0,-13 3-1,-35-1-5090,64-16-3015</inkml:trace>
  <inkml:trace contextRef="#ctx0" brushRef="#br0" timeOffset="898.05">502 473 3057,'0'0'14650,"0"-8"-13559,-2-23-328,2 31-764,0 0 1,0 0-1,0 0 0,0 0 1,0 0-1,0 0 0,0 0 1,-1 0-1,1 0 0,0 0 1,0 0-1,0 0 0,0 0 0,0 0 1,0 0-1,-1 0 0,1 0 1,0 0-1,0 0 0,0 0 1,0 0-1,0 0 0,0 0 1,-1 0-1,1 0 0,0 0 1,0-1-1,0 1 0,0 0 1,0 0-1,0 0 0,0 0 1,0 0-1,0 0 0,-1 0 1,-2 12-16,3-9-1,-1 1 0,1 0 0,0-1 0,0 1 0,0 0 0,1-1 0,-1 1 0,1 0 0,0-1 0,0 1 0,2 4 0,-2-7-17,0 1 1,1-1-1,-1 0 1,1 1-1,-1-1 0,1 0 1,0 0-1,0 0 1,-1 0-1,1 0 1,0-1-1,0 1 1,0 0-1,0-1 1,0 0-1,0 1 1,0-1-1,0 0 1,0 0-1,0 0 1,4-1-1,-5 1 31,0 0 1,1 0-1,-1 0 0,0 0 0,1-1 1,-1 1-1,0-1 0,1 1 0,-1-1 1,0 1-1,0-1 0,0 0 0,0 0 0,1 1 1,-1-1-1,0 0 0,0 0 0,0 0 1,-1 0-1,2-2 0,1 0 4,-1-1 1,0 0-1,0 0 0,-1 0 1,1 0-1,1-7 0,1-5 59,-2-2-1,2-22 1,-4 38-46,2-24 15,1 8 147,-2 0-1,0 0 1,-1 0-1,-1 0 1,-1 0-1,0 0 0,-6-18 1,7 33-132,0 0 1,0 1-1,0-1 0,-1 1 1,0-1-1,1 1 0,-1 0 1,0-1-1,0 1 0,0 0 1,0 0-1,0 1 0,-1-1 1,1 0-1,-4-1 0,5 3-42,0-1 0,0 1-1,0-1 1,-1 1 0,1 0 0,0 0-1,0 0 1,-1 0 0,1 0 0,0 0-1,0 0 1,-1 0 0,1 0 0,0 1-1,0-1 1,-1 1 0,1-1 0,0 1-1,0-1 1,0 1 0,0-1-1,0 1 1,0 0 0,0 0 0,0-1-1,0 1 1,0 0 0,0 0 0,0 0-1,1 0 1,-1 0 0,0 0 0,1 0-1,-1 1 1,0-1 0,0 2 0,-3 7-4,0 1 1,0 0 0,0 1 0,2-1 0,-1 0 0,2 1 0,-2 13-1,4 88-43,0-89 57,-1-13-36,2 1 0,-1-1 1,2 1-1,-1-1 0,2 0 0,-1 0 1,2 0-1,-1 0 0,1-1 0,8 12 1,-10-18-2,-1 0-1,0-1 1,1 1 0,0-1 0,0 0 0,0 0 0,0 0 0,1 0 0,-1-1 0,1 1 0,0-1 0,-1 0 0,1 0 0,0 0 0,0 0 0,0-1 0,1 0 0,-1 1 0,0-2 0,0 1 0,1 0 0,-1-1-1,0 0 1,1 0 0,-1 0 0,1-1 0,-1 1 0,0-1 0,0 0 0,6-2 0,-6 1 35,-1 0-1,1 0 1,-1 0-1,0 0 0,0-1 1,1 1-1,-2-1 1,1 0-1,0 0 1,0 0-1,-1 0 1,0 0-1,0-1 1,0 1-1,3-7 1,2-7 49,0 0 1,4-19 0,-10 32-57,11-48 385,-2 0 0,-2-1 1,-2 1-1,-3-84 1,-3 137-380,0-1-1,0 0 1,0 0 0,0 0 0,0 0 0,0 0-1,-1 0 1,1 0 0,0 1 0,0-1-1,0 0 1,0 0 0,0 0 0,-1 0 0,1 0-1,0 0 1,0 0 0,0 0 0,0 0-1,-1 0 1,1 0 0,0 0 0,0 0 0,0 0-1,0 0 1,-1 0 0,1 0 0,0 0 0,0 0-1,0 0 1,0 0 0,-1-1 0,1 1-1,0 0 1,0 0 0,0 0 0,0 0 0,0 0-1,0 0 1,-1 0 0,1-1 0,0 1 0,0 0-1,0 0 1,0 0 0,0 0 0,0 0-1,0-1 1,0 1 0,0 0 0,0 0 0,0 0-1,0 0 1,0-1 0,0 1 0,0 0 0,0 0-1,-3 25-38,2 1-1,1-1 0,5 48 1,5-22 76,2 0 0,20 52-1,-4-13-759,-26-239 1189,-3 118-312,1-28 261,0 55-403,1-1 1,-1 1-1,1 0 0,0 0 1,0-1-1,1 1 0,-1 0 1,1 0-1,0 0 1,4-6-1,-5 9-32,0 0 0,1 0 1,-1 0-1,1 0 0,-1 0 0,1 0 0,-1 1 1,1-1-1,0 0 0,-1 1 0,1-1 0,0 1 1,-1 0-1,1-1 0,0 1 0,0 0 0,-1 0 1,1 0-1,0 0 0,2 1 0,-1-1-9,0 1-1,0-1 0,0 1 1,0 0-1,0 0 0,0 0 1,0 0-1,0 0 1,0 1-1,4 2 0,2 6-51,0 1 1,-1 0-1,0 0 0,-1 0 0,0 1 0,-1 0 0,0 0 0,6 20 0,-4-12-1228,1 0 1,13 22-1,-20-40 740,0 1-1,0 0 1,0-1-1,0 0 1,0 1-1,1-1 1,-1 0-1,1 0 1,0 0-1,5 3 1,12 0-4672</inkml:trace>
  <inkml:trace contextRef="#ctx0" brushRef="#br0" timeOffset="2085.41">1229 296 6915,'0'0'12144,"-15"-12"-11799,-45-33-148,60 45-197,-1-1 0,0 1 0,0-1 1,1 1-1,-1-1 0,0 1 0,0-1 0,0 1 0,0 0 0,1-1 0,-1 1 1,0 0-1,0 0 0,0-1 0,0 1 0,0 0 0,0 0 0,0 0 1,0 0-1,0 0 0,0 1 0,0-1 0,1 0 0,-1 0 0,0 1 1,0-1-1,0 0 0,0 1 0,0-1 0,1 1 0,-1-1 0,0 1 1,0-1-1,1 1 0,-1 0 0,0-1 0,1 1 0,-1 0 0,1 0 1,-1-1-1,1 1 0,-1 0 0,1 0 0,-1 0 0,1 0 0,0-1 0,0 1 1,-1 0-1,1 0 0,0 1 0,-2 2-10,-3 10 3,1 1 0,0-1 0,1 1 1,1-1-1,0 1 0,1 0 0,0 0 0,2 0 0,2 21 0,-3-32-37,1 0-1,-1 1 1,1-1 0,0 0-1,0 0 1,1 0 0,-1 0-1,1 0 1,0 0 0,0-1 0,0 1-1,1-1 1,-1 1 0,1-1-1,0 0 1,0 0 0,0 0-1,0 0 1,0-1 0,5 4 0,-2-3-46,0 0 0,0 0 0,1-1 0,-1 0 0,1 0 0,-1 0 0,1-1 1,0 0-1,0 0 0,-1-1 0,13 0 0,-17 0 80,0-1 0,0 1 0,1-1 0,-1 0 1,0 0-1,0 0 0,0 0 0,0 0 0,0-1 0,0 1 0,0 0 0,-1-1 0,1 1 0,0-1 0,-1 0 1,1 0-1,-1 0 0,0 1 0,1-1 0,-1 0 0,0-1 0,0 1 0,0 0 0,-1 0 0,1 0 1,0-1-1,-1 1 0,0 0 0,1-4 0,1-11 209,0 0 0,-1-32 0,-1 37 24,0-6 95,1 8 16,-1 0 1,0 0-1,0 0 1,-1 0-1,-1 0 1,1 1-1,-2-1 1,1 0-1,-7-13 1,9 22-317,0 1 0,0 0 0,0-1 0,0 1 1,0 0-1,0-1 0,0 1 0,-1 0 0,1-1 0,0 1 0,0 0 0,0-1 0,0 1 1,-1 0-1,1 0 0,0-1 0,0 1 0,-1 0 0,1 0 0,0 0 0,0-1 0,-1 1 1,1 0-1,0 0 0,-1 0 0,1 0 0,0-1 0,-1 1 0,1 0 0,0 0 0,-1 0 1,1 0-1,0 0 0,-1 0 0,1 0 0,0 0 0,-1 0 0,1 0 0,0 0 0,-1 0 1,1 0-1,-1 1 0,-6 15 31,1 25-197,5-22 156,1-1 0,0 1 0,5 30 0,-5-45-105,1 1 1,0 0 0,1 0-1,-1 0 1,1-1-1,0 1 1,0 0-1,0-1 1,1 0 0,-1 0-1,1 0 1,0 0-1,1 0 1,-1 0 0,0-1-1,1 1 1,0-1-1,0 0 1,4 3-1,-5-5 37,0 1-1,0-1 1,0 0-1,0 0 0,0 0 1,0 0-1,0 0 1,0-1-1,0 0 0,0 1 1,0-1-1,0 0 1,1 0-1,-1-1 0,0 1 1,0-1-1,0 1 1,4-2-1,-2 0 38,-1-1-1,0 1 1,0-1 0,0 1-1,0-1 1,-1-1 0,1 1 0,-1 0-1,0-1 1,6-7 0,2-6 34,-1-1 0,-1 0 0,-1-1 0,9-29 0,-10 25 264,-1-2 1,0 1-1,-2-1 1,-1 0-1,-2 0 1,0 0-1,-4-40 0,2 59-52,0-1 0,0 1-1,-1 0 1,1 0-1,-2 0 1,-4-10-1,7 16-209,0 0 0,0 0-1,0 1 1,0-1 0,0 0-1,0 0 1,0 0-1,0 0 1,0 0 0,0 0-1,0 0 1,0 0-1,0 1 1,0-1 0,0 0-1,0 0 1,0 0-1,0 0 1,0 0 0,-1 0-1,1 0 1,0 0-1,0 0 1,0 0 0,0 0-1,0 0 1,0 0-1,0 0 1,0 0 0,-1 1-1,1-1 1,0 0 0,0 0-1,0 0 1,0 0-1,0 0 1,0 0 0,0 0-1,0 0 1,-1 0-1,1-1 1,0 1 0,0 0-1,0 0 1,0 0-1,0 0 1,0 0 0,0 0-1,0 0 1,-1 0-1,1 0 1,0 0 0,0 0-1,0 0 1,0 0-1,0 0 1,0 0 0,0-1-1,0 1 1,-2 10-161,2-1 100,0 25 49,1 0 1,10 61 0,6 0 46,-10-47-255,25 84 1,-31-128 78,0 0 0,0-1 0,1 1 0,0-1 0,-1 1 0,1-1 0,1 1 0,-1-1 0,0 0 0,1 0 0,-1 0 0,1 0 0,0 0 0,5 3 0,-4-4 6,1 0 0,-1-1 1,0 0-1,0 0 1,1 0-1,-1 0 1,1-1-1,-1 1 1,1-1-1,-1 0 0,1 0 1,6-2-1,-7 1 80,1 0-1,-1-1 0,1 0 1,-1 0-1,0 0 1,0 0-1,0-1 0,0 1 1,0-1-1,0 0 1,-1 0-1,1 0 0,-1-1 1,0 1-1,0-1 1,0 0-1,-1 0 0,4-7 1,4-7 49,-1-1 1,13-35-1,-13 19 341,-2 1 1,0-1-1,-3 0 0,-1 0 0,-2-60 0,-1 88-95,1 0 0,-2 0 1,1 0-1,-1 0 0,0 0 0,0 0 0,-1 0 0,1 1 0,-2-1 0,1 1 0,-1-1 0,0 1 0,0 0 1,-7-10-1,8 29 190,1 30-507,3 1 1,12 77 0,2-42 200,-3-12-62,2-1-1,31 84 0,-27-112-130,-4-23-78,-14-15 126,-1 0 0,1 0 0,-1 1 0,1-1 0,-1 0 0,1 0 1,-1 0-1,1 0 0,-1 0 0,1 0 0,-1 0 0,1 0 0,0 0 0,-1 0 1,1 0-1,-1 0 0,1 0 0,-1 0 0,1 0 0,-1 0 0,1-1 0,-1 1 0,1 0 1,-1 0-1,1-1 0,-1 1 0,0 0 0,1-1 0,-1 1 0,1-1 0,1-3 4,0 0-1,-1 0 0,0 0 0,1-1 0,-1 1 0,-1 0 0,1-1 0,-1 1 0,0-1 1,0 1-1,0 0 0,-1-7 0,0-3-52,1 5 12,-1-1-1,0 0 0,-1 1 0,0-1 1,-1 1-1,0 0 0,0 0 0,-1 0 1,-6-11-1,-8-10 5,-28-36-1,-4-6 62,50 72-13,0-1 0,0 1 0,-1 0 0,1 0 0,0 0 0,0 0 0,0-1 0,0 1 0,0 0 0,0 0 0,0 0 0,0-1 0,0 1 0,0 0 0,0 0 0,0 0 0,0-1 0,0 1 0,0 0 0,0 0 0,0-1 0,0 1 0,0 0 0,0 0 0,0 0 0,0 0 0,0-1 0,1 1 0,-1 0 0,0 0 0,0 0 0,0 0 0,0-1 0,0 1 0,1 0 0,-1 0 0,0 0 0,0 0 0,0 0 0,1-1 0,12-2 44,25 3-136,-28 0 158,5 0-67,0 0 0,0 2 0,1-1 0,-1 2 0,0 0 0,24 9 0,-33-3-2926,-8 2-5111</inkml:trace>
  <inkml:trace contextRef="#ctx0" brushRef="#br0" timeOffset="2395.75">2482 367 11429,'0'0'13310,"-1"8"-13152,-2 51 216,-2 24-243,4-30-6759</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5:59.383"/>
    </inkml:context>
    <inkml:brush xml:id="br0">
      <inkml:brushProperty name="width" value="0.05" units="cm"/>
      <inkml:brushProperty name="height" value="0.05" units="cm"/>
      <inkml:brushProperty name="color" value="#E71224"/>
    </inkml:brush>
  </inkml:definitions>
  <inkml:trace contextRef="#ctx0" brushRef="#br0">1 0 4034,'0'0'3986</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6:04.580"/>
    </inkml:context>
    <inkml:brush xml:id="br0">
      <inkml:brushProperty name="width" value="0.05" units="cm"/>
      <inkml:brushProperty name="height" value="0.05" units="cm"/>
      <inkml:brushProperty name="color" value="#E71224"/>
    </inkml:brush>
  </inkml:definitions>
  <inkml:trace contextRef="#ctx0" brushRef="#br0">40 47 12278,'0'0'15014,"-32"-43"-14645,32 41-305,0 0 64,2 2-128,-11 19-12998</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6:06.419"/>
    </inkml:context>
    <inkml:brush xml:id="br0">
      <inkml:brushProperty name="width" value="0.05" units="cm"/>
      <inkml:brushProperty name="height" value="0.05" units="cm"/>
      <inkml:brushProperty name="color" value="#E71224"/>
    </inkml:brush>
  </inkml:definitions>
  <inkml:trace contextRef="#ctx0" brushRef="#br0">1 410 17064,'0'0'3665,"21"-115"-2896,-12 82 367,0 6 177,3 7-481,-5 1-624,4-2-192,4-5-16,2-10-1984,2-9-3667,11-23-8596</inkml:trace>
</inkml:ink>
</file>

<file path=xl/ink/ink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36:10.847"/>
    </inkml:context>
    <inkml:brush xml:id="br0">
      <inkml:brushProperty name="width" value="0.035" units="cm"/>
      <inkml:brushProperty name="height" value="0.035" units="cm"/>
    </inkml:brush>
  </inkml:definitions>
  <inkml:trace contextRef="#ctx0" brushRef="#br0">264 994 4034,'0'0'15028,"-2"-11"-13838,-2-1-933,2 7-177,1 0 1,0 1 0,0-1 0,0 0 0,0-10 0,4 90 121,16 88-1,-8-87-567,1 92 0,-12-136-4086</inkml:trace>
  <inkml:trace contextRef="#ctx0" brushRef="#br0" timeOffset="216.38">260 902 3185,'0'0'7316,"40"126"-6948,-8-92-208,5-4-32,3-9-48,1-8-160,-1-13-2321,-5 0-2433</inkml:trace>
  <inkml:trace contextRef="#ctx0" brushRef="#br0" timeOffset="652">478 853 8612,'0'0'7051,"-3"19"-6776,-17 130 74,-15 66-87,64-250-1831,-16 13 1510,0 0-1,-2-1 1,0 0 0,-2 0-1,10-38 1,16-127 1109,-29 160 657,-5 27-554,-1 3-769,23 183 258,-11-58-214,0-41-375,2 0-1,5-2 1,30 86 0,-45-160-588,12 28-1981,-14-36 2078,-1-1 1,0 1-1,0-1 0,0 1 1,1-1-1,-1 1 0,1-1 1,-1 0-1,1 0 0,2 2 1,11-1-5110</inkml:trace>
  <inkml:trace contextRef="#ctx0" brushRef="#br0" timeOffset="2782.9">898 1243 5282,'0'0'12342,"-14"-17"-11229,-42-48-366,54 64-732,1-1 1,0 0 0,-1 1-1,0 0 1,1-1-1,-1 1 1,0 0 0,1 0-1,-1 0 1,0 0 0,0 0-1,0 0 1,0 1 0,0-1-1,0 1 1,0-1 0,0 1-1,0 0 1,0 0 0,0 0-1,0 0 1,0 0 0,0 0-1,0 0 1,0 1 0,0-1-1,-3 2 1,2-1-11,0 1 0,0 0 0,0 0 0,0 0 0,0 0 0,1 1 0,-1-1 0,1 1 0,-1 0 0,-2 3 0,1 2 0,-1 0 1,1 1-1,0-1 0,1 1 1,0 0-1,0 0 0,1 0 1,0 0-1,1 0 0,0 0 0,0 0 1,1 1-1,0-1 0,1 0 1,0 0-1,0 0 0,5 14 1,-5-17-56,1 0 1,0-1 0,0 1 0,0 0 0,1-1 0,0 1 0,0-1 0,1 0 0,-1 0 0,1 0 0,0 0-1,0-1 1,1 0 0,-1 0 0,1 0 0,0 0 0,0-1 0,0 1 0,1-1 0,-1-1 0,1 1 0,0-1 0,-1 0-1,1 0 1,0-1 0,11 2 0,-12-2-7,0-1 0,-1 1 0,1-1 0,0 0 0,0-1-1,0 1 1,-1-1 0,1 0 0,0 0 0,-1 0 0,1-1 0,8-4 0,-11 4 68,1 0 0,0-1 1,0 0-1,-1 1 0,0-1 1,1 0-1,-1 0 1,0-1-1,0 1 0,-1 0 1,1-1-1,-1 1 0,0-1 1,0 1-1,0-1 1,0 0-1,0-3 0,3-22 539,-2 1 1,-2-58-1,-1 34 479,-3 115-150,4-48-980,0 0 0,1 0 0,0 0 0,1 0 0,5 16 0,-4-22-226,1 0 0,0 0 0,0 0 0,1-1 0,0 0 0,1 1 0,10 10 1,-13-16 75,0 0 0,0 0 0,1 0 0,-1 0 0,1-1 0,-1 1 0,1-1 0,0 0 0,0 0 0,0 0 0,0-1 1,0 0-1,1 1 0,-1-1 0,0-1 0,0 1 0,1-1 0,-1 1 0,5-2 0,-6 1 265,0-1-1,-1 0 1,1 0 0,-1-1-1,1 1 1,-1 0-1,1-1 1,-1 1-1,0-1 1,0 0 0,0 0-1,0 0 1,0 0-1,0 0 1,-1 0 0,1 0-1,0-1 1,-1 1-1,0-1 1,0 1-1,0-1 1,0 1 0,0-1-1,1-3 1,2-12 490,1 1 1,1-27 0,-5 36-285,7-70 2709,-4-86 1,-3 167-3054,-1 0 0,1 0 1,0 0-1,0 0 0,0 0 1,1 0-1,-1 0 0,0 0 0,1 0 1,0-1-1,0 1 0,0-1 0,0 1 1,0-1-1,0 0 0,1 1 1,-1-1-1,1-1 0,-1 1 0,1 0 1,0-1-1,0 1 0,0-1 1,0 0-1,5 2 0,-7-3 135,0-1 1,0 1-1,-1-1 1,1 0-1,-1 1 0,1-1 1,0 0-1,-1 1 1,1-1-1,-1 0 0,1 1 1,-1-1-1,0 0 1,1 0-1,-1 0 0,0 1 1,0-1-1,1 0 1,-1 0-1,0 0 0,0 0 1,0 1-1,0-1 0,0 0 1,0 0-1,0 0 1,-1-1-1,0-27 47,0 27-33,0 0-1,1 0 1,-1 0 0,0 0 0,0 0 0,0 1 0,0-1 0,-1 0 0,1 0 0,0 1 0,-1-1 0,1 1 0,-1-1 0,0 1 0,1 0 0,-1 0 0,0 0 0,0-1 0,0 2 0,0-1-1,0 0 1,0 0 0,0 1 0,0-1 0,0 1 0,0-1 0,0 1 0,0 0 0,0 0 0,-1 0 0,1 0 0,0 0 0,0 1 0,0-1 0,0 1 0,0-1 0,0 1 0,0 0 0,0 0-1,0-1 1,0 1 0,0 1 0,1-1 0,-1 0 0,0 0 0,1 1 0,-1-1 0,1 1 0,-1-1 0,-1 3 0,-2 6-15,1-1 0,-1 1 1,2 0-1,-1 1 0,2-1 1,-1 1-1,1-1 0,1 1 1,0 0-1,0-1 0,1 1 0,1 0 1,2 16-1,-2-18 1,1 0-1,0-1 1,1 1 0,0 0 0,0-1-1,1 0 1,0 1 0,1-2 0,-1 1-1,1 0 1,1-1 0,0 0-1,0 0 1,0-1 0,1 0 0,8 7-1,-7-8-20,1 0 0,0 0 0,0-1-1,0-1 1,0 1 0,1-1 0,-1-1-1,1 0 1,0 0 0,-1-1 0,1 0 0,17-1-1,-24 0 16,1-1 0,-1 1-1,0-1 1,0 0-1,1 0 1,-1 0 0,0 0-1,0 0 1,0-1-1,0 0 1,0 1 0,-1-1-1,1 0 1,0 0 0,-1 0-1,1-1 1,-1 1-1,0-1 1,0 1 0,0-1-1,0 0 1,0 0-1,-1 0 1,1 0 0,-1 0-1,0 0 1,1-3 0,4-12 161,-1 0 0,-1 0 0,3-31 0,-6 41-48,4-28 435,-2-1 0,-1 1 1,-5-57-1,3 93-554,0-1-1,0 1 1,0 0 0,0 0 0,0-1 0,0 1 0,0 0 0,0 0 0,0-1-1,0 1 1,0 0 0,0 0 0,-1-1 0,1 1 0,0 0 0,0 0-1,0-1 1,0 1 0,0 0 0,-1 0 0,1 0 0,0-1 0,0 1 0,0 0-1,-1 0 1,1 0 0,0 0 0,0 0 0,-1 0 0,1-1 0,0 1-1,0 0 1,-1 0 0,1 0 0,0 0 0,0 0 0,-1 0 0,1 0 0,0 0-1,0 0 1,-1 0 0,1 0 0,0 0 0,-1 0 0,1 0 0,0 0-1,0 1 1,-1-1 0,1 0 0,-11 11-7,8 2-2,0-1-1,1 1 0,0 0 0,1 0 0,1 0 0,0 0 0,0-1 0,1 1 1,5 22-1,-4-30-152,1 0 1,-1 0-1,1 0 1,0 0-1,0 0 1,0 0-1,1-1 1,-1 1-1,1-1 1,0 0-1,1 0 1,-1-1-1,1 1 1,-1-1-1,1 0 1,0 0-1,0-1 1,0 1-1,1-1 1,-1 0-1,1-1 1,-1 1-1,1-1 1,-1 0-1,1 0 1,0-1-1,11 0 1,-16 0 150,1 0 0,-1 0 0,0 0 0,1-1 1,-1 1-1,1 0 0,-1-1 0,1 1 0,-1-1 1,0 0-1,1 1 0,-1-1 0,0 0 1,0 0-1,1 0 0,-1 0 0,0 0 0,0 0 1,2-2-1,-1 0 26,0 0-1,-1-1 1,1 1 0,0 0 0,-1-1 0,0 1-1,0-1 1,1-3 0,0-10 432,0 1-1,-1-32 1,-1 37 0,0-42 2131,0 52-2226,0 23-427,0-17 30,-1 24 60,2-1 0,8 49 1,-8-70-165,1 1 1,0 0-1,1-1 1,-1 1-1,1-1 1,1 0 0,-1 0-1,1 0 1,1-1-1,-1 1 1,1-1-1,0 0 1,1 0 0,-1-1-1,7 6 1,-10-10 95,-1 0 0,1 1 0,0-1 0,0 0 0,0 0 0,0 0 0,0 0 0,0 0 0,0 0 0,0-1 0,0 1 0,0-1 1,0 1-1,0-1 0,0 0 0,1 0 0,-1 0 0,0 0 0,0 0 0,0 0 0,0-1 0,1 1 0,-1-1 0,0 0 0,3-1 0,-2 0 69,0 0-1,-1 0 0,0 0 0,1 0 0,-1-1 1,0 1-1,0-1 0,0 1 0,-1-1 0,1 0 1,-1 0-1,1 1 0,-1-1 0,0 0 0,0-1 1,1-2-1,17-96 902,-13 63 40,18-61-1,-21 98-935,1 8-125,1 10-34,-5-14 178,3 7-74,-2-1-36,1-1 0,1 1 0,-1-1-1,1 0 1,0 0 0,1 0-1,0 0 1,0 0 0,5 6 0,-9-13 70,1 0 0,-1 0 0,0 0 0,0 0 0,0 1 0,0-1 0,1 0 0,-1 0 0,0 0 0,0 0 1,0 0-1,0 0 0,1 0 0,-1 0 0,0 0 0,0 0 0,0 0 0,0 0 0,1 0 0,-1 0 0,0 0 0,0-1 0,0 1 0,0 0 1,0 0-1,1 0 0,-1 0 0,0 0 0,0 0 0,0 0 0,0 0 0,0-1 0,0 1 0,1 0 0,-1 0 0,0 0 0,0 0 1,0 0-1,0 0 0,0-1 0,0 1 0,0 0 0,0 0 0,0 0 0,0 0 0,0-1 0,0 1 0,0 0 0,0 0 0,0 0 1,0 0-1,0-1 0,0 1 0,0 0 0,0 0 0,0 0 0,0 0 0,0-1 0,0 1 0,1-11 98,-1 10-102,0-3 37,0-1-1,0 0 0,0 0 0,-1 0 0,0 0 1,0 1-1,0-1 0,0 0 0,-5-8 0,5 11-17,0 0 0,-1 0-1,1 1 1,-1-1 0,0 1-1,1 0 1,-1-1 0,0 1-1,0 0 1,0 0 0,0 0-1,0 0 1,0 0 0,0 1-1,0-1 1,-1 1-1,1-1 1,0 1 0,0 0-1,0 0 1,-1 0 0,1 0-1,0 0 1,-4 1 0,4-1-17,0 1 1,1 0 0,-1 0 0,0-1-1,0 1 1,0 0 0,1 1 0,-1-1-1,1 0 1,-1 0 0,1 1-1,-1-1 1,1 0 0,0 1 0,-1 0-1,1-1 1,0 1 0,0 0 0,0-1-1,1 1 1,-1 0 0,0 0-1,0 3 1,-12 49-46,10-30 28,1 1 0,2 46 0,0-65-88,1 0-1,-1 0 0,1 0 1,1-1-1,-1 1 0,1 0 1,0-1-1,0 1 0,0-1 1,1 0-1,0 0 1,0 0-1,0 0 0,0 0 1,1-1-1,0 1 0,0-1 1,5 4-1,-7-6 93,0-1 0,0 1 0,0-1 0,1 0 0,-1 0 0,0 0 0,0 0 1,1 0-1,-1 0 0,1-1 0,-1 1 0,0-1 0,1 0 0,-1 0 0,1 1 0,-1-2 0,1 1 0,-1 0 0,1 0 0,-1-1 0,1 1 0,-1-1 0,0 0 0,1 0 1,-1 0-1,0 0 0,0 0 0,0 0 0,0-1 0,0 1 0,0-1 0,0 1 0,0-1 0,0 0 0,-1 0 0,1 0 0,-1 0 0,1 0 0,-1 0 0,0 0 0,0 0 1,0 0-1,0-1 0,1-2 0,4-24 554,-1 0 0,-1 0-1,-1 0 1,-2-1 0,-1 1 0,-4-33 0,-5 28 10,1 21-216,8 14-332,-1-1 1,1 0-1,0 0 0,-1 0 0,1 0 0,-1 0 0,1 0 0,0 1 0,-1-1 0,1 0 0,0 0 0,-1 0 0,1 1 0,0-1 0,-1 0 0,1 1 0,0-1 0,0 0 0,-1 0 0,1 1 0,0-1 0,0 1 0,0-1 0,-1 0 0,1 1 0,0-1 0,0 0 0,0 1 0,0-1 0,0 1 0,0-1 0,0 0 0,0 1 0,0 0 0,-4 20-10,1 0 0,1 0 0,1 1 1,3 36-1,-2-35-30,1-18-66,-1 1 1,1-1-1,0 1 0,0-1 0,1 1 1,-1-1-1,1 0 0,1 0 0,-1 0 1,1 0-1,-1 0 0,6 7 0,-6-10 38,0 0-1,0 0 1,0 0-1,0 0 0,0-1 1,0 1-1,0 0 0,1-1 1,-1 0-1,0 1 1,1-1-1,-1 0 0,1 0 1,0 0-1,-1-1 1,1 1-1,0-1 0,-1 1 1,1-1-1,0 0 1,-1 0-1,1 0 0,0 0 1,0-1-1,-1 1 1,1-1-1,3-1 0,-3 1 75,-1-1 0,0 1 1,1-1-1,-1 0 0,0 0 0,0 0 0,0 0 0,0 0 0,0 0 0,0-1 0,-1 1 0,1-1 0,-1 1 0,0-1 0,0 0 0,1 1 0,0-6 0,12-52 156,-13 55-149,8-72 1723,-2-100 0,-7 186-1735,1 1-1,0-1 1,1 0-1,0-1 1,0 1-1,1 0 1,0 0-1,1-1 1,6 11 0,7 10 70,27 33 0,-25-36-172,18 32 0,-35-55 29,0 1 1,0-1-1,-1 0 0,0 0 1,0 1-1,0-1 0,0 1 1,0-1-1,-1 1 0,1 5 1,-1-8 36,0 0 1,-1 0-1,1 0 0,0 0 1,-1 0-1,1 0 0,-1 0 1,1 0-1,-1 0 1,1 0-1,-1 0 0,0 0 1,1-1-1,-1 1 0,0 0 1,0 0-1,1-1 1,-1 1-1,0 0 0,0-1 1,0 1-1,0-1 1,0 1-1,0-1 0,0 1 1,0-1-1,0 0 0,0 1 1,0-1-1,0 0 1,-1 0-1,1 0 0,0 0 1,0 0-1,-1 0 0,-13 1-179,-39-1-1122,53 0 1051,-1 0 0,1 0 0,-1 0 0,0 0 0,1-1 0,-1 1 0,1 0 0,-1-1 0,1 0 0,-1 1 0,1-1-1,0 0 1,-1 0 0,1 0 0,0 0 0,-1 0 0,1 0 0,0 0 0,0 0 0,0 0 0,0-1 0,0 1 0,0 0 0,0-1 0,1 1 0,-2-3 0,1-7-4865</inkml:trace>
  <inkml:trace contextRef="#ctx0" brushRef="#br0" timeOffset="3063.62">2672 1083 9492,'0'0'11926,"62"-28"-11878,-36 28-96,1 0-288,-1 0-2065,-3 0-1009,-1 0-2769</inkml:trace>
  <inkml:trace contextRef="#ctx0" brushRef="#br0" timeOffset="3247.5">2606 1269 8228,'0'0'8548,"126"-11"-7860,-86-2-688,3-4-384,10-6-5491</inkml:trace>
  <inkml:trace contextRef="#ctx0" brushRef="#br0" timeOffset="4009.61">3440 812 3169,'0'0'14631,"1"-4"-13537,0 2-1051,0 0 1,1 0-1,-1 0 0,1 0 0,0 0 1,-1 1-1,1-1 0,0 0 1,0 1-1,0-1 0,1 1 1,-1 0-1,0 0 0,0 0 1,1 0-1,-1 0 0,0 0 0,1 1 1,3-1-1,64-12 133,-48 9-63,84-12 260,82-17-154,-195 29-5580,-25 1 3735,24 2 1890,-1 1 1,1 0-1,0 0 0,0 1 0,0 0 0,-16 4 0,22-4-160,1 0 0,-1 0 0,0 0 0,1 1 0,0-1 0,-1 1 0,1-1 0,0 1-1,0-1 1,-1 1 0,1 0 0,1-1 0,-1 1 0,0 0 0,0 0 0,1 0 0,-1 0 0,1 0 0,-1 0 0,1 0 0,0 3-1,1 49 982,0-43-822,4 25 297,1 0 0,20 62 0,0 1-298,-18-56-237,-5-24-177,0 0 0,1-1-1,2 0 1,10 27 0,-16-44-232,1 0 0,0 0 0,0 0 0,0 0 0,0 0 0,0 0 0,0 0 1,0 0-1,0 0 0,0 0 0,1 0 0,-1-1 0,0 1 0,0 0 0,1-1 0,-1 1 1,0-1-1,1 0 0,-1 1 0,1-1 0,-1 0 0,1 0 0,-1 0 0,0 0 0,1 0 1,-1 0-1,3-1 0,16 1-6745</inkml:trace>
  <inkml:trace contextRef="#ctx0" brushRef="#br0" timeOffset="4430.35">4042 944 7251,'0'0'11099,"-18"-5"-10045,-56-7-572,73 12-467,-1 0-1,1 0 0,-1 0 0,1 0 0,-1 0 0,1 0 0,0 1 0,-1-1 0,1 1 1,0-1-1,-1 1 0,1 0 0,0-1 0,0 1 0,-1 0 0,1 0 0,0 0 0,0 0 1,0 0-1,0 0 0,0 0 0,0 0 0,0 0 0,1 0 0,-1 1 0,0-1 0,1 0 1,-2 3-1,1 1-3,-1 1-1,1-1 1,0 1 0,0-1 0,0 8 0,1-7-11,-1 5 9,0-1-1,1 0 0,0 1 0,0-1 0,1 1 1,1-1-1,0 0 0,4 13 0,-5-20-20,0 1 0,1-1 1,0 0-1,-1 0 0,1 0 0,0 0 0,1-1 0,-1 1 1,0-1-1,1 1 0,0-1 0,-1 0 0,1 0 0,0 0 1,0 0-1,0 0 0,0-1 0,1 1 0,-1-1 0,0 0 1,0 0-1,1 0 0,-1-1 0,1 1 0,-1-1 0,1 1 1,-1-1-1,4-1 0,-5 1 9,-1 0 0,1 0 0,-1 0 0,1-1 1,-1 1-1,1 0 0,-1-1 0,1 1 0,-1-1 0,0 0 1,1 0-1,-1 1 0,0-1 0,1 0 0,-1 0 0,0 0 1,0 0-1,0 0 0,0 0 0,1-2 0,0-1 12,1 1 1,-1-1-1,0 0 0,-1 0 1,1 0-1,-1-1 0,2-4 1,0-8 64,-1-1 0,1-28 0,-3 41-66,1-34 441,0 22 103,-1 45-539,-1 1-209,0-14-12,1 0 0,0 0-1,1 0 1,5 28 0,-5-40-80,0 0 1,0 0-1,0 0 0,0-1 1,0 1-1,0 0 0,1-1 1,-1 1-1,1-1 0,0 1 1,0-1-1,0 0 0,0 0 1,0 0-1,0 0 1,0 0-1,1-1 0,-1 1 1,1 0-1,-1-1 0,1 0 1,0 0-1,0 0 0,-1 0 1,1 0-1,0 0 0,0-1 1,0 1-1,0-1 0,0 0 1,3 0-1,19-1-4082,2-4-856</inkml:trace>
  <inkml:trace contextRef="#ctx0" brushRef="#br0" timeOffset="4910.96">4258 1034 560,'0'0'3730,"2"-21"-64,5-72-256,-5 11 3752,-2 111-4167,-1 3-2679,1 1 1,2-1 0,8 44-1,46 130 219,16 73-310,-68-265-193,0-21 73,-2-24 60,-4-35-172,-2-1 0,-15-72 0,1 42 72,5-2 1,-3-112 0,18 211-89,0-1-1,-1 0 1,1 1 0,0 0-1,0-1 1,-1 1 0,1 0 0,0 0-1,0 0 1,-1 0 0,1 0-1,0 1 1,0-1 0,2 1 0,1 1 21,-1 0 0,0 0 0,0 1 0,0 0 0,0-1 0,-1 1 0,1 0 0,-1 1 0,0-1 0,0 0 0,0 1 0,0 0 0,0 0 0,2 5 0,4 8 5,-1 0 1,8 21 0,-9-17-74,0 1 1,-2 0 0,0 1-1,-2-1 1,0 1 0,-1-1-1,-2 29 1,0-49-31,0 0-1,-1 0 1,1 1-1,-1-1 1,1 0 0,-1 0-1,0 0 1,1 0 0,-1 0-1,0 1 1,-1-2 0,1 1-1,0 0 1,0 0 0,-1 0-1,1 0 1,-1-1 0,-2 3-1,2-3-299,0 0 1,0 0-1,1 0 0,-1 0 0,0 0 0,0 0 0,0-1 0,0 1 1,0-1-1,0 1 0,0-1 0,-4 0 0,4-18-15599</inkml:trace>
  <inkml:trace contextRef="#ctx0" brushRef="#br0" timeOffset="7580.56">4649 945 2369,'0'0'16314,"-2"-3"-16100,-9-6-142,6 14-12,3 29 44,2-30-95,-1-1-16,1 1-1,0-1 1,0 1-1,1-1 1,-1 0 0,1 1-1,0-1 1,0 0-1,0 1 1,0-1 0,0 0-1,1 0 1,-1 0-1,1 0 1,0 0 0,0 0-1,0-1 1,0 1-1,0 0 1,1-1 0,-1 0-1,1 0 1,0 0-1,0 0 1,-1 0 0,1 0-1,0 0 1,1-1-1,-1 0 1,0 0 0,0 0-1,1 0 1,-1 0-1,0 0 1,1-1 0,-1 0-1,1 0 1,-1 0-1,5 0 1,-6-1 8,-1 1 1,1-1-1,0 0 1,-1 0-1,1 0 1,-1 0-1,1 0 1,-1 0-1,1 0 1,-1 0-1,0 0 1,1-1-1,-1 1 0,0-1 1,0 1-1,0-1 1,0 1-1,0-1 1,0 1-1,-1-1 1,1 0-1,0 0 1,-1 1-1,0-1 1,1 0-1,-1 0 0,0 0 1,0-2-1,4-62 73,-4 57-75,0-7-53,1 9 183,-1-1 1,0 1-1,-1-1 1,1 0-1,-2 1 0,-1-9 1,2 14-98,1 0 0,-1 1 1,0-1-1,0 0 0,0 1 0,0-1 1,0 1-1,-1 0 0,1-1 0,0 1 1,0 0-1,-1 0 0,1-1 0,-1 1 0,1 0 1,-1 1-1,0-1 0,1 0 0,-1 0 1,0 1-1,0-1 0,1 1 0,-1-1 1,0 1-1,0 0 0,0 0 0,0 0 1,1 0-1,-1 0 0,-3 0 0,3 1-31,0 0-1,0-1 1,0 1-1,0 0 1,0 0 0,0 0-1,0 0 1,1 1-1,-1-1 1,0 0-1,1 1 1,-1-1 0,1 1-1,0-1 1,-1 1-1,1 0 1,0 0-1,0-1 1,0 1 0,0 0-1,0 0 1,1 0-1,-1 0 1,1 0 0,-1 3-1,-3 7 4,2 0 1,-1 1-1,1 12 0,0-7 4,1-1 0,1 1 0,0 0 0,1 0 0,1-1 0,6 22-1,-7-34-38,1 0-1,-1 0 0,1 0 0,1 0 0,-1 0 0,1-1 0,0 1 0,0-1 0,0 1 0,0-1 0,1 0 0,0 0 0,0-1 0,0 1 0,0-1 0,0 0 0,1 0 0,0 0 0,-1-1 0,1 1 0,0-1 0,0 0 0,0-1 0,10 3 0,-7-2-31,1-1 0,-1 0 1,0 0-1,0-1 0,0 0 1,0 0-1,0-1 0,11-2 0,-14 2 64,-1-1-1,1 0 1,-1 0-1,0 0 1,0 0-1,0-1 0,0 1 1,0-1-1,-1 0 1,1 0-1,-1 0 1,0-1-1,0 1 0,0-1 1,4-7-1,0-1 36,0-1 1,-1 1-1,-1-1 0,-1 0 0,1-1 0,-2 1 0,4-26 1,-3-5 551,-2-49 1,-2 87-522,0 3-26,0 0 0,-1-1-1,1 1 1,-1 0 0,0-1 0,0 1-1,-2-5 1,3 8-36,0-1 1,-1 0-1,1 1 0,0-1 0,-1 1 1,1-1-1,0 0 0,-1 1 0,1-1 1,-1 1-1,1-1 0,-1 1 1,1-1-1,-1 1 0,1-1 0,-1 1 1,0 0-1,1-1 0,-1 1 0,0 0 1,1-1-1,-1 1 0,0 0 0,1 0 1,-1 0-1,0-1 0,1 1 1,-1 0-1,0 0 0,0 0 0,1 0 1,-1 0-1,0 1 0,1-1 0,-1 0 1,0 0-1,1 0 0,-1 1 1,0-1-1,1 0 0,-1 1 0,0-1 1,0 2-10,-1-1 0,1 1 1,0 0-1,0 0 1,0-1-1,1 1 0,-1 0 1,0 0-1,1 0 1,-1 0-1,1 0 0,0 0 1,0 0-1,-1 0 1,2 3-1,2 33-74,-2-35 82,1 0 1,0 1-1,0-1 1,0 0-1,0 0 1,1 0 0,-1 0-1,1-1 1,-1 1-1,1-1 1,0 1 0,0-1-1,1 0 1,-1 0-1,0 0 1,1-1-1,-1 1 1,1-1 0,-1 0-1,6 1 1,0 1-84,1-1 1,-1-1-1,1 1 1,-1-2-1,1 1 1,18-2-1,-27 0 73,0 1 0,0-1 1,0 1-1,1-1 0,-1 1 0,0-1 0,0 0 0,0 1 1,0-1-1,0 0 0,0 0 0,0 0 0,0 0 0,0 0 1,0 0-1,-1 0 0,1 0 0,0 0 0,-1 0 1,1 0-1,0-2 0,7-28 817,-9 17 112,-6 46-718,4-7-158,1 45 0,2-64-49,0 1 0,0-1 0,1 0 0,0 1 0,1-1 1,-1 0-1,1 0 0,0 1 0,1-1 0,0-1 0,0 1 1,5 7-1,-7-11-10,1 0 0,0 0 0,0 0 0,0 0 0,0-1 0,0 1 0,0-1 0,0 1 0,0-1 0,1 0 0,-1 0 0,0 0 0,1 0 0,-1 0 0,1-1 0,-1 1 0,1-1 0,-1 0 1,1 1-1,-1-1 0,1 0 0,0-1 0,-1 1 0,1 0 0,-1-1 0,1 1 0,2-2 0,-1 1 13,0-1 0,-1 0-1,1 0 1,-1 0 0,0 0 0,1 0 0,-1-1 0,0 0 0,0 1 0,-1-1-1,1 0 1,0 0 0,-1-1 0,0 1 0,0 0 0,3-6 0,0-6 20,0 0 1,0 0-1,-2 0 0,0-1 1,1-20-1,-1-80 534,-3 84-206,0 32-350,0 1 0,0-1 0,0 0 0,0 0 1,0 0-1,0 0 0,0 0 0,0 0 0,0 0 0,0 1 0,0-1 0,-1 0 0,1 0 0,0 0 0,0 0 1,0 0-1,0 0 0,0 0 0,0 0 0,0 0 0,0 0 0,-1 0 0,1 0 0,0 0 0,0 1 0,0-1 0,0 0 1,0 0-1,0 0 0,0 0 0,-1 0 0,1 0 0,0 0 0,0 0 0,0 0 0,0 0 0,0-1 0,0 1 0,-1 0 1,1 0-1,0 0 0,0 0 0,0 0 0,0 0 0,0 0 0,0 0 0,0 0 0,0 0 0,-1 0 0,1 0 0,0 0 1,0-1-1,0 1 0,0 0 0,0 0 0,0 0 0,-6 10-14,3 1 0,1 1 0,0-1-1,1 0 1,0 1 0,0-1-1,2 1 1,1 18 0,-1-28-24,0-1 0,-1 1 1,1 0-1,0 0 0,0-1 1,0 1-1,0 0 1,0-1-1,1 1 0,-1-1 1,0 0-1,1 1 0,-1-1 1,1 0-1,0 0 0,-1 0 1,1 0-1,0 0 0,-1 0 1,1 0-1,0-1 0,0 1 1,0-1-1,0 1 0,0-1 1,0 0-1,2 1 0,-2-1 2,1 0 0,0 1 0,0-1 0,0 0 0,0 0 0,0-1 0,0 1 0,-1 0-1,1-1 1,0 0 0,0 0 0,-1 0 0,1 0 0,0 0 0,-1 0 0,1-1-1,-1 1 1,3-3 0,0-2 39,0-1 0,-1 1-1,0-1 1,0 0 0,-1 0-1,1 0 1,-2-1 0,1 1-1,-1-1 1,0 0 0,0 1-1,-1-1 1,0 0 0,-1 0 0,0 0-1,0 0 1,0 0 0,-3-11-1,2 17 24,1 1 1,-1-1-1,0 1 0,0-1 0,0 1 0,0-1 0,0 1 0,0 0 0,0 0 1,0-1-1,0 1 0,-1 0 0,1 0 0,0 0 0,-1 0 0,1 0 1,-1 1-1,1-1 0,-1 0 0,1 1 0,-1-1 0,1 1 0,-1-1 1,0 1-1,-2-1 0,1 1-16,0 0 1,1-1 0,-1 1 0,0 0-1,0 0 1,1 0 0,-1 0-1,0 1 1,0-1 0,1 1-1,-1 0 1,0 0 0,1 0-1,-1 0 1,-3 2 0,2 1-10,0 0 1,0 0 0,0 0 0,1 1 0,0 0-1,-1 0 1,2-1 0,-1 2 0,0-1-1,1 0 1,0 0 0,1 1 0,-1-1-1,1 1 1,-1 6 0,-1 13 8,1-1 0,2 31 0,0-33-8,0-14-9,0 1 0,1-1 1,0 0-1,0 0 1,1 0-1,0 0 0,0-1 1,1 1-1,0 0 0,8 12 1,-9-16-53,1 0 0,0 0 0,0-1 0,0 1 0,1-1 0,-1 0 0,1 0 1,0 0-1,0 0 0,0-1 0,0 0 0,0 0 0,0 0 0,0 0 0,1-1 0,-1 1 0,1-1 0,0 0 1,-1 0-1,8 0 0,-4-1-10,0 1 0,0-1 0,0-1 0,1 1 0,-1-1 0,0-1 0,8-1 0,-12 1 70,-1 0 0,1 1 0,0-1 1,-1 0-1,1-1 0,-1 1 0,0-1 0,0 1 0,0-1 0,0 0 0,0 0 1,-1-1-1,1 1 0,-1 0 0,4-8 0,2-6 209,-1-1 1,0 1-1,-1-1 0,6-37 1,3-76 1835,-15 131-2039,0 0 0,0 0 0,0 0 0,0 0 0,1 1 0,-1-1 0,0 0 0,0 0 0,0 0 0,0 0 0,0 0 0,0 0 0,1 0 0,-1 0 0,0 0 0,0 0 0,0 0 0,0 0 0,0 1 0,1-1 0,-1 0 0,0 0 0,0 0 0,0 0 0,0 0 0,0 0 0,1 0 0,-1-1 0,0 1 0,0 0 0,0 0 0,0 0 0,0 0 0,1 0 0,-1 0 0,0 0 0,0 0 0,0 0 0,0 0 0,0 0 0,0 0 0,1-1 0,-1 1 0,0 0 0,0 0 0,0 0 0,0 0 0,0 0 0,0 0 0,0 0 0,0-1 0,0 1 0,0 0 0,0 0 0,0 0 0,0 0 0,0 0 0,0-1 0,0 1 0,0 0 0,0 0 0,0 0 0,0 0 0,0-1 0,0 1 0,0 0 0,0 0 1,14 17 188,-12-14-310,-1 1 0,2-1 0,-1 0 1,0 0-1,0 0 0,1 0 0,0-1 1,-1 1-1,1-1 0,0 0 0,0 0 1,1 0-1,-1 0 0,5 2 0,-6-46 107,-2 41 18,0-1-1,0 1 0,0 0 0,-1 0 1,1 0-1,-1 0 0,1 0 1,-1-1-1,1 1 0,-1 0 0,1 0 1,-1 0-1,0 0 0,1 1 0,-1-1 1,0 0-1,0 0 0,0 0 1,0 1-1,0-1 0,0 0 0,0 1 1,0-1-1,0 1 0,0-1 0,0 1 1,0-1-1,0 1 0,-1 0 1,1 0-1,0-1 0,0 1 0,-2 0 1,1 0-7,0 0 0,0 0 0,1 0 0,-1 0 0,0 0 0,0 0 0,0 1 1,1-1-1,-1 1 0,0-1 0,0 1 0,1 0 0,-1-1 0,0 1 0,1 0 0,-1 0 1,1 0-1,-1 0 0,1 1 0,0-1 0,-1 0 0,0 2 0,-2 4-14,1-1 0,0 1 0,0 0 0,1 0 0,0 1 0,0-1 0,1 0 0,-1 11 0,0 63-26,3-47-14,-1-28-45,0 0-1,0 0 0,1 0 0,0 0 1,0 0-1,0 0 0,1-1 0,-1 1 1,2 0-1,-1-1 0,0 0 0,1 1 0,0-1 1,7 8-1,-6-9 11,-1-1 0,1 1 0,0-1 1,0 0-1,1-1 0,-1 1 0,1-1 0,-1 0 1,1 0-1,0 0 0,0-1 0,0 1 0,0-1 1,0 0-1,0-1 0,0 1 0,9-1 0,-9 0 96,-1 0 0,1 1 0,-1-2 0,1 1-1,0 0 1,-1-1 0,1 0 0,-1 0 0,0 0 0,1-1-1,-1 1 1,0-1 0,0 0 0,1 0 0,-2-1-1,1 1 1,0-1 0,0 0 0,-1 0 0,0 0 0,1-1-1,-1 1 1,0-1 0,3-6 0,7-10 370,-2 0 1,0-1 0,-2 0-1,0-1 1,6-23 0,-4 1 818,10-74 0,-19 115-827,2 8-380,2 7-116,-3-2-8,0 0-1,0 0 1,2 0-1,-1-1 1,1 0-1,0 0 1,1 0-1,9 10 1,-14-56-279,-1 35 404,0 0 1,-1 0-1,1 0 1,-1 0 0,0 0-1,0 0 1,0 0-1,0 0 1,0 1-1,0-1 1,0 0 0,0 1-1,-1-1 1,1 1-1,-1-1 1,1 1-1,-1 0 1,0 0 0,1-1-1,-1 1 1,0 0-1,0 1 1,0-1-1,1 0 1,-1 0 0,0 1-1,0-1 1,-3 1-1,2-1 13,1 0-1,-1 1 1,1 0-1,0-1 1,-1 1 0,1 0-1,-1 0 1,1 0-1,-1 1 1,1-1-1,-1 0 1,1 1-1,0 0 1,-1-1-1,1 1 1,0 0-1,-1 0 1,1 1-1,0-1 1,0 0 0,0 1-1,0-1 1,0 1-1,-2 2 1,-1 4-11,1 0 1,0 1-1,0-1 1,1 1-1,0 0 1,1 0 0,-1 0-1,0 14 1,0 9-16,1 35 0,2-61-24,0 0 0,1 0 0,-1 0 1,1 0-1,0 0 0,1 0 0,0 0 1,0 0-1,0-1 0,0 1 0,7 9 1,-7-12 18,0 0-1,1 0 1,-1-1 0,1 1 0,0-1 0,0 0-1,-1 1 1,2-1 0,-1-1 0,0 1 0,0 0-1,1-1 1,-1 0 0,0 1 0,1-1 0,-1-1 0,1 1-1,0 0 1,-1-1 0,8 0 0,-8 0 34,1 0 0,-1 0 0,0 0 0,0-1 0,1 1 1,-1-1-1,0 0 0,0 0 0,0 0 0,0 0 0,0-1 0,0 1 1,0-1-1,-1 0 0,1 1 0,0-1 0,-1 0 0,4-4 0,-2 1 10,-1-1 0,1 1 0,-1-1 0,0 0 0,-1 0 0,1 0 0,-1 0 0,2-9 0,2-10 318,-1-1 1,-1 0-1,-2-1 1,0 1-1,-4-49 1,-11 47 20,13 28-359,0 0 0,0-1 1,0 1-1,0-1 0,0 1 0,-1 0 1,1-1-1,0 1 0,0 0 0,0-1 1,-1 1-1,1 0 0,0-1 0,-1 1 1,1 0-1,0 0 0,-1-1 1,1 1-1,0 0 0,-1 0 0,1 0 1,0 0-1,-1-1 0,1 1 0,-1 0 1,1 0-1,0 0 0,-1 0 0,1 0 1,-1 0-1,1 0 0,0 0 0,-1 0 1,1 0-1,-1 0 0,1 0 0,0 0 1,-1 0-1,1 1 0,-1-1 1,1 0-1,0 0 0,-1 0 0,1 1 1,0-1-1,-1 0 0,1 0 0,0 1 1,-1-1-1,1 0 0,0 1 0,0-1 1,-1 0-1,1 1 0,0-1 0,0 0 1,0 1-1,-1-1 0,1 0 0,0 1 1,0-1-1,0 1 0,0-1 0,0 0 1,0 1-1,0-1 0,0 1 1,0 0-1,-4 23-46,1 1-1,1-1 1,1 1 0,1 0 0,5 32 0,-4-51-34,0 0 0,0 1 0,0-1 1,1 0-1,-1 0 0,2 0 0,-1-1 0,1 1 0,4 7 1,-5-10 45,-1-1 1,1 1-1,0-1 0,1 0 1,-1 0-1,0 0 1,0 0-1,1 0 1,-1-1-1,1 1 0,0-1 1,-1 0-1,1 1 1,0-1-1,0-1 1,0 1-1,0 0 0,0-1 1,0 1-1,0-1 1,3 0-1,-3 0 45,-1-1-1,0 1 0,0-1 1,0 0-1,0 0 1,0 0-1,0 0 0,0 0 1,-1 0-1,1 0 1,0-1-1,0 1 1,-1-1-1,1 1 0,-1-1 1,0 0-1,1 1 1,-1-1-1,0 0 0,0 0 1,0 0-1,0 0 1,1-4-1,18-56 144,-18 50-105,0 4 36,5-14 240,-1-2 1,-2 1-1,0-1 0,0-23 0,-4 46-255,0 13-216,-1 22 130,0-10-82,1 1 1,5 34 0,-4-53 17,0 0-1,0-1 1,0 1-1,1 0 1,0-1-1,1 1 0,-1-1 1,1 1-1,0-1 1,0 0-1,0 0 1,1-1-1,0 1 1,0-1-1,6 6 1,-8-8 64,1 0-1,0 0 1,0-1 0,0 1 0,0-1 0,1 0 0,-1 0-1,0 0 1,0 0 0,1 0 0,-1-1 0,0 1 0,1-1-1,-1 0 1,1 0 0,-1 0 0,0-1 0,1 1 0,-1-1 0,0 0-1,1 0 1,-1 0 0,0 0 0,0-1 0,0 1 0,0-1-1,0 0 1,0 1 0,-1-1 0,1-1 0,0 1 0,-1 0-1,0-1 1,1 1 0,-1-1 0,3-4 0,2-5 221,-1-1 0,0 0 0,0 0 0,-1-1 0,-1 1 0,0-1 0,-1 0 0,0 0 0,-1-1 0,-1 1 0,0 0 0,-2-18 0,-3 105-444,1-42 151,2 37 0,1-59-139,1 0 1,0 0-1,1-1 1,0 1-1,0 0 1,1-1-1,0 0 1,8 15 0,-10-21-56,0 1 1,1-1-1,-1 0 1,1 0 0,0 0-1,0 0 1,0 0 0,0-1-1,0 1 1,3 2 0,-2-3-395,-1 0 1,1 0 0,0 0 0,0 0-1,0 0 1,0-1 0,0 1 0,0-1-1,3 0 1,21 0-6359</inkml:trace>
  <inkml:trace contextRef="#ctx0" brushRef="#br0" timeOffset="8855.9">6559 910 8660,'0'0'13934,"-17"-9"-13208,-55-25-401,70 33-316,1 1-1,-1-1 1,1 0-1,-1 0 0,1 1 1,-1-1-1,0 1 1,1-1-1,-1 1 0,0 0 1,1 0-1,-1 0 0,0 0 1,0 0-1,1 0 1,-1 0-1,0 0 0,1 1 1,-1-1-1,0 1 0,1-1 1,-1 1-1,1 0 1,-1-1-1,1 1 0,-1 0 1,1 0-1,-1 0 1,1 0-1,0 0 0,-1 1 1,1-1-1,0 0 0,0 1 1,0-1-1,-1 2 1,0 3-24,0 0 1,0-1 0,0 1 0,0 0 0,1 0 0,0 0 0,0 6 0,1-9 6,-1 5 6,1 1 0,-1-1 1,2 1-1,-1-1 0,1 1 1,1-1-1,-1 0 0,1 0 0,1 1 1,5 12-1,-6-17-35,1 0 1,-1 0-1,1 0 0,0 0 0,0-1 1,0 1-1,0-1 0,0 0 0,1 0 1,0 0-1,-1-1 0,1 1 0,0-1 1,0 0-1,0 0 0,1 0 1,-1-1-1,0 1 0,1-1 0,-1 0 1,9 1-1,-11-2 9,1 1 0,0-1 1,0 0-1,0 0 0,0 0 1,0 0-1,0-1 0,0 1 1,0-1-1,0 0 0,0 0 0,0 0 1,0 0-1,-1 0 0,1-1 1,-1 1-1,1-1 0,-1 1 1,1-1-1,3-3 0,-3 0 32,1 0 1,-1-1-1,1 1 0,-1-1 1,-1 1-1,1-1 0,-1 0 0,0 0 1,1-6-1,3-22 213,0 1 1,-3-1-1,-1 1 1,-1-1-1,-7-62 1,4 77-23,0 1 0,-2 0 0,0 0 1,-10-25-1,14 44-186,0-1 0,0 0 0,0 0 1,0 0-1,0 0 0,0 1 0,0-1 0,0 0 0,0 0 1,-1 0-1,1 0 0,0 0 0,0 1 0,0-1 0,0 0 0,0 0 1,0 0-1,-1 0 0,1 0 0,0 0 0,0 0 0,0 1 1,0-1-1,-1 0 0,1 0 0,0 0 0,0 0 0,0 0 1,-1 0-1,1 0 0,0 0 0,0 0 0,0 0 0,0 0 0,-1 0 1,1 0-1,0 0 0,0 0 0,0 0 0,-1 0 0,1-1 1,0 1-1,0 0 0,0 0 0,0 0 0,0 0 0,-1 0 0,1 0 1,0 0-1,0-1 0,0 1 0,0 0 0,0 0 0,0 0 1,-1 0-1,1 0 0,0-1 0,0 1 0,0 0 0,-4 17-146,4-16 152,-5 53-46,3-1 0,5 70-1,-2-105 43,1 0-1,1 0 0,9 27 0,-10-36-101,1 0 0,1-1-1,-1 0 1,1 0 0,1 0-1,0 0 1,0-1 0,0 0-1,8 8 1,-12-13 68,1-1 0,0 1 0,-1-1 0,1 1 0,0-1 0,0 0 0,0 0 0,0 0 0,0 0 0,0 0 0,0-1 0,0 1 0,1 0 0,-1-1 0,0 0 0,0 1 0,0-1 0,1 0 0,-1 0 0,0 0 0,0-1 0,1 1 0,-1 0 0,0-1 0,0 0 0,0 1 0,0-1 0,0 0 0,0 0 0,2-1 0,1-1 44,-1 0 1,0-1-1,1 1 0,-1-1 1,-1 0-1,1 0 1,-1 0-1,1-1 1,-1 1-1,4-10 1,0-3 47,-1-1 1,0 1 0,-2-1 0,0 0 0,-1 0 0,-1-1 0,0 1 0,-3-31 0,1 49-71,0 0 0,0-1 0,0 1 0,-1 0 0,1 0 0,0-1 0,0 1-1,-1 0 1,1 0 0,0 0 0,-1-1 0,1 1 0,0 0 0,-1 0 0,1 0 0,0 0 0,-1-1 0,1 1 0,0 0-1,-1 0 1,1 0 0,0 0 0,-1 0 0,1 0 0,0 0 0,-1 0 0,1 0 0,0 0 0,-1 0 0,1 0-1,0 1 1,-1-1 0,1 0 0,0 0 0,-1 0 0,1 0 0,0 1 0,-1-1 0,1 0 0,0 0 0,-1 0 0,1 1-1,0-1 1,-16 11-15,14-7-15,0 0 0,0 0 0,1 1 0,0-1 0,0 0 0,0 1 0,0-1 0,1 1 0,-1-1 0,1 1 0,0-1 0,2 9 0,-2-11-28,0 0 1,0 0 0,1-1 0,-1 1 0,1 0-1,0 0 1,-1-1 0,1 1 0,0 0 0,0-1-1,0 1 1,0-1 0,0 1 0,0-1 0,0 1 0,1-1-1,-1 0 1,0 0 0,1 1 0,-1-1 0,1 0-1,0 0 1,-1-1 0,1 1 0,0 0 0,-1 0 0,1-1-1,0 1 1,0-1 0,-1 0 0,1 1 0,3-1-1,-3 0 45,1 0-1,-1-1 0,1 1 0,-1 0 0,1-1 0,-1 0 0,0 1 0,1-1 0,-1 0 0,0 0 1,1-1-1,-1 1 0,0 0 0,0-1 0,0 1 0,0-1 0,0 0 0,-1 1 0,1-1 0,0 0 1,-1 0-1,1 0 0,-1-1 0,0 1 0,0 0 0,0 0 0,0-1 0,0 1 0,0 0 0,0-5 1,2-6 46,-1-1 1,0 0 0,-1 0-1,-1-19 1,0 24-31,0 7 17,0 0-1,0 1 1,0-1-1,0 0 1,-1 1 0,1-1-1,-1 1 1,1-1-1,-1 1 1,1-1-1,-1 1 1,0-1-1,0 1 1,0-1 0,0 1-1,0 0 1,0-1-1,0 1 1,0 0-1,0 0 1,0 0-1,-1 0 1,-1-1 0,0 0 18,0 1 1,-1 0 0,1 0 0,0 0 0,-1 0 0,1 0 0,-1 0 0,1 1 0,-8 0 0,9 0-38,1 1 1,-1-1-1,0 1 1,1 0-1,-1-1 1,1 1-1,-1 0 1,1 0-1,-1 0 1,1 0-1,-1 0 1,1 1-1,0-1 1,0 0-1,-1 0 1,1 1-1,0-1 1,0 1-1,1-1 1,-1 1-1,0 0 1,0-1-1,1 1 1,-1 0-1,0 2 1,-2 5-4,1 0 0,0 0 1,-1 16-1,1-4 13,1 1-1,1-1 1,6 40 0,-6-55-5,2 1 0,-1-1 0,1 0-1,0 0 1,0-1 0,0 1 0,1 0 0,0-1 0,0 1 0,1-1 0,-1 0 0,1 0 0,0-1 0,0 1 0,1-1 0,0 0 0,9 7 0,-11-9-3,1 0 0,-1-1-1,0 1 1,1-1 0,-1 0 0,0 0-1,1 0 1,-1 0 0,1-1-1,0 1 1,-1-1 0,1 0-1,-1 0 1,1-1 0,0 1-1,-1-1 1,1 1 0,-1-1 0,1 0-1,-1-1 1,0 1 0,1 0-1,-1-1 1,0 0 0,0 0-1,0 0 1,0 0 0,0 0 0,-1-1-1,1 1 1,3-6 0,8-7 38,-2-2 0,0 0 1,-1-1-1,13-25 1,-10 17 47,-14 26-83,7-11 181,0 0 1,-1-1-1,0 1 1,-1-1-1,0 0 1,-1 0-1,-1-1 1,0 1-1,0-1 1,1-18-1,-4 31-180,-1 0-1,1-1 1,0 1 0,0 0-1,0 0 1,-1-1-1,1 1 1,0 0-1,0 0 1,-1 0-1,1-1 1,0 1-1,0 0 1,-1 0-1,1 0 1,0 0-1,-1 0 1,1 0-1,0 0 1,0-1-1,-1 1 1,1 0-1,0 0 1,-1 0-1,1 0 1,0 0 0,-1 0-1,1 0 1,0 1-1,-1-1 1,1 0-1,0 0 1,0 0-1,-1 0 1,1 0-1,0 0 1,0 1-1,-1-1 1,-12 7 37,10-3-43,1 0 0,0 0 0,0 1 0,0-1 0,1 0 0,0 1 0,0-1 0,0 1 0,0-1 0,1 1 0,-1-1 0,1 1 0,0-1 0,1 1 0,-1-1 0,1 1 0,2 8 0,-1-7-7,0 0-1,0 0 1,0-1-1,1 1 1,0 0 0,0-1-1,1 1 1,0-1 0,-1 0-1,2 0 1,-1-1 0,6 6-1,-8-8-12,1 0-1,0 0 0,0 0 0,0 0 1,0-1-1,0 1 0,0-1 1,0 1-1,0-1 0,0 0 1,1 0-1,-1-1 0,0 1 1,1-1-1,-1 1 0,1-1 1,-1 0-1,5-1 0,-5 0 25,0 0 0,-1 0 0,1 0-1,-1 0 1,1-1 0,-1 1-1,1-1 1,-1 0 0,0 1 0,0-1-1,0 0 1,0 0 0,0 0 0,-1-1-1,1 1 1,0 0 0,-1-1 0,0 1-1,0-1 1,1 1 0,-2-1 0,2-3-1,4-20 348,-2 0 1,-1 0-1,-1-1 0,-2-43 0,0 58 665,-2 81-1286,0-28 288,2 0 0,6 43 0,3-49 0,-9-33-141,1-1 0,-1 0 0,1 1-1,-1-1 1,1 0 0,-1 1 0,1-1 0,0 0 0,-1 1-1,1-1 1,0 0 0,0 0 0,0 0 0,0 0 0,0 0-1,0 0 1,1 0 0,-1 0 0,0 0 0,0-1 0,2 2-1,-2-7-3101,-1-19-2874</inkml:trace>
  <inkml:trace contextRef="#ctx0" brushRef="#br0" timeOffset="13514.55">7304 108 4402,'0'0'6392,"-18"1"-4946,-137 2 2129,43-5-1517,30 0-1451,-82 8-1,-98 35-190,39-20 1432,-90 11-1231,10-10-222,0-23-196,277 0-200,-173-17 45,32 1 178,-343 10 99,451 11-269,-84 3 253,-144-17-16,-3 1-87,62 6 122,-201 5 534,355 4-756,-87 21 1,-36 3-36,-129-11 54,138-10 72,-215 37 0,288-31 286,-229 1 0,51-7-247,-49 27-56,74-31 28,166-6-3,24-5-83,-20-1-100,97 7-38,-1 0 0,1 0-1,0 0 1,-1 0 0,1 0-1,0 0 1,-1 1 0,1-1-1,0 0 1,-1 1 0,1-1 0,0 1-1,0-1 1,0 1 0,-1 0-1,1 0 1,0-1 0,0 1-1,0 0 1,0 0 0,0 0-1,-1 2 1,1 0-9,-1 0 0,1 0 1,1-1-1,-1 1 0,0 0 0,1 0 0,-1 0 0,1 0 1,0 0-1,0 4 0,-6 241 82,6-175 115,5 161-18,-1-196-157,1-1 0,1 0 0,3-1 0,15 46 0,1-7 192,-3 1 1,-3 1-1,-4 0 0,6 93 0,11 101 71,-18-182-150,-6-47-102,4 85 1,-12-127 256,16 0 43,-3-1-268,-1-1-1,1 0 1,0-1 0,-1-1-1,22-8 1,26-8 79,-4 10-79,1 1 0,63 0 0,117 8 42,-112 3 13,49-5-24,193-28-1,214-5-78,-240 23 128,-1-25-49,-29-4-152,300-20 190,-18 1 81,-156 55-294,-51 2 138,-329-2-6,-1-2 0,67-18-1,62-9 96,486-79-303,-463 84-93,-6 3 137,-115 8 135,-8 0 47,138-12 1,144 28-84,-188 5 26,-52 0-17,127-4-85,-247 2 96,1-1-1,-1 1 1,0 0 0,0-1-1,1 1 1,-1-1 0,0 1-1,0-1 1,1 1 0,-1-1-1,0 0 1,0 0 0,0 0-1,0 1 1,0-1 0,0 0-1,0 0 1,-1 0 0,1-1-1,0 1 1,-1 0 0,1 0-1,0 0 1,-1 0 0,1-1-1,-1 1 1,0 0 0,1-1-1,-1 1 1,0 0 0,0-3-1,1-7-15,0 1-1,-1-1 0,-2-13 1,1 1 254,19-397 383,14-62-648,-32 110-136,0 368 174,0 1 0,-1-1 0,0 0 0,1 0 1,-2 0-1,1 0 0,0 1 0,-1-1 0,0 0 0,1 1 0,-2-1 0,1 1 1,0 0-1,-1 0 0,1 0 0,-1 0 0,0 0 0,0 0 0,0 1 1,0 0-1,0-1 0,-1 1 0,-3-2 0,-3 0-13,1 0 0,0 0-1,-1 1 1,1 0 0,-1 0 0,0 1 0,0 0 0,-13 0-1,-69 1 102,-182 21-1,253-16-92,-1 1 1,-21 9-1,22-8-1,1 0 1,-29 4-1,-152 9 103,172-19-86,0-1-1,-1-1 1,1-1 0,-54-14 0,-22-17 32,73 22-32,0 1-1,-2 1 0,1 2 0,-1 2 1,-60-5-1,-55 4 531,77 3-1521,0 2-4543</inkml:trace>
</inkml:ink>
</file>

<file path=xl/ink/ink1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5:54.069"/>
    </inkml:context>
    <inkml:brush xml:id="br0">
      <inkml:brushProperty name="width" value="0.035" units="cm"/>
      <inkml:brushProperty name="height" value="0.035" units="cm"/>
    </inkml:brush>
  </inkml:definitions>
  <inkml:trace contextRef="#ctx0" brushRef="#br0">141 360 592,'0'0'8087,"-14"-9"-7380,-45-29-14,57 37-596,-1-1 0,1 1-1,-1-1 1,0 1 0,1 0-1,-1 0 1,0 0 0,0 1-1,0-1 1,0 1 0,1-1 0,-1 1-1,0 0 1,0 0 0,0 0-1,-6 1 1,-4 1 303,12-1-363,1-1 1,0 1-1,0 0 0</inkml:trace>
  <inkml:trace contextRef="#ctx0" brushRef="#br0">1 320 12945,'0'0'37,"0"1"0,1 0 1,0 0-1,2 2 68,1 0 0,0-1 0,0 0 1,0 0-1,0 0 0,0 0 0,1 0 0,-1-1 1,1 0-1,-1 0 0,1 0 0,5 0 0,63 2 844,-63-3-864,30-1 325,0-1 0,69-13 0,77-15-203,194-5 0,-145 16-175,1018-24-38,-1078 51-9,29-1 129,223-11-108,2 27-55,151 51 16,-218-26 104,332 1-85,4-46 59,-392-4-39,21-9-7,-3-1-73,-94 12 135,694-16-52,-493-7-76,658-54 112,-552 9-10,279-31-3,280 32-43,-695 50 22,755 0-27,-197 8-35,-78 1 212,-574 8-226,482 33 115,-446-14 4,2218 163 10,-1458-128 96,-327-70 59,-5 10-172,-482 6 85,-177-1-80,1032-11 576,-208-10-36,818-34-186,-650 3-174,368 25-187,-842 23-117,-241-32 167,-111 5-75,415 22-84,-257 33 89,-4 0-4,1635 14-48,-1443-55 70,52 0-70,-572 17 40,301 19-24,-240-8 28,37 4 13,191 6-18,428-17 66,-790-6 119,0-1 1,33-7-1,-33 4-115,0 1 0,35 1-1,74 5-101,174-4 83,-221-9 80,23 0 53,455 11-37,-261 3-86,-295-3-50,1 0 0,27-7 0,23-3 47,90-3 46,-117 9 128,20 4-41,-58 1-201,-5-1-2736,-43-8-3656,15 0-501</inkml:trace>
</inkml:ink>
</file>

<file path=xl/ink/ink1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6:12.063"/>
    </inkml:context>
    <inkml:brush xml:id="br0">
      <inkml:brushProperty name="width" value="0.05" units="cm"/>
      <inkml:brushProperty name="height" value="0.05" units="cm"/>
      <inkml:brushProperty name="color" value="#00A0D7"/>
    </inkml:brush>
  </inkml:definitions>
  <inkml:trace contextRef="#ctx0" brushRef="#br0">29 456 4706,'0'0'11147,"-2"-2"-10937,3 1-210,-1 1 1,0 0-1,-1 0 0,1 0 0,0-1 0,0 1 0,0 0 0,0 0 0,0 0 0,0-1 0,0 1 1,0 0-1,0 0 0,0 0 0,0 0 0,-1-1 0,1 1 0,0 0 0,0 0 0,0 0 1,0 0-1,0 0 0,-1-1 0,1 1 0,0 0 0,0 0 0,0 0 0,0 0 0,-1 0 0,1 0 1,0 0-1,0 0 0,0 0 0,-1 0 0,1 0 0,0 0 0,0 0 0,0 0 0,-1 0 0,1 0 1,0 0-1,0 0 0,-1 0 0,1 0 0,0 0 0,0 0 0,0 0 0,0 0 0,-1 0 0,1 0 1,0 0-1,0 1 0,0-1 0,0 0 0,-1 0 0,1 0 0,0 0 0,0 1 0,0-1 1,0 0-1,-2 20-5,9 34 121,12 50 379,-5 0 0,2 124 1,-20-290-157,-2 0 1,-20-85-1,13 85-138,3 0 1,-3-90-1,13 139-199,0 0 14,-1-1 0,2 1 0,0 0 1,1 0-1,6-22 0,-7 31-14,0 1 1,0 0-1,1 0 0,-1 0 1,1 1-1,0-1 0,0 0 1,0 1-1,1-1 1,-1 1-1,0 0 0,1-1 1,-1 1-1,1 1 0,0-1 1,0 0-1,0 1 1,0-1-1,0 1 0,0 0 1,0 0-1,0 0 0,1 0 1,-1 0-1,0 1 1,0 0-1,7 0 0,-4 0-11,0 0 1,-1 0-1,1 1 0,-1 0 0,1 0 0,-1 0 0,1 1 0,-1 0 0,0 0 1,0 0-1,0 1 0,0-1 0,9 7 0,-7-2 2,0-1 0,0 1 0,0 0 0,-1 0 0,0 1 0,0 0 0,7 13 0,-5-5-14,-1 1-1,0-1 0,-1 1 0,-1 1 0,0-1 1,-2 0-1,0 1 0,1 26 0,-3-31-47,-1 0 1,-1 0-1,0 0 1,-1 0-1,-4 13 0,4-19 17,-1 1 0,0-1 0,0 0 0,-1-1-1,0 1 1,0-1 0,-1 1 0,0-1 0,-9 9-1,-34 27-244,44-39 316,0 0 0,0-1-1,0 1 1,0-1 0,0 0 0,-1-1-1,1 1 1,-1-1 0,1 1 0,-1-1 0,-7 0-1,21 2 8,0-1-1,-1 1 0,1 1 0,-1 0 1,0 0-1,0 0 0,0 1 0,0 0 0,8 9 1,25 13-1634,3-3-3802,-26-19 618</inkml:trace>
  <inkml:trace contextRef="#ctx0" brushRef="#br0" timeOffset="1824.01">426 693 3778,'0'0'9212,"-11"1"-9313,10 1 94,1 1 0,-1 0 0,0 0-1,1-1 1,0 1 0,0 0 0,-1 0 0,2 0 0,-1-1 0,0 1 0,0 0 0,1 0 0,0-1 0,-1 1 0,1 0 0,0-1 0,0 1 0,3 3 0,-2-5 2,1 1 1,-1-1-1,1 0 0,0 0 1,0-1-1,-1 1 0,1 0 0,0-1 1,0 0-1,0 1 0,0-1 1,0-1-1,-1 1 0,1 0 0,0-1 1,0 1-1,0-1 0,-1 0 0,1 0 1,0 0-1,-1 0 0,1 0 1,-1-1-1,1 1 0,-1-1 0,1 1 1,-1-1-1,0 0 0,0 0 1,0 0-1,0 0 0,0-1 0,-1 1 1,1 0-1,-1-1 0,1 1 1,-1-1-1,2-4 0,-1-4 90,0 1 1,-1-1-1,0 1 0,-1-21 0,0 18 375,0 11-411,0 1 0,-1-1 0,1 1 0,0-1 0,-1 0 1,0 1-1,1-1 0,-1 1 0,0 0 0,0-1 0,0 1 0,0-1 0,0 1 1,0 0-1,0 0 0,0 0 0,0 0 0,-1 0 0,1 0 0,0 0 0,-1 0 1,1 0-1,-1 0 0,1 1 0,-1-1 0,1 1 0,-1-1 0,0 1 0,1-1 1,-1 1-1,0 0 0,1 0 0,-1 0 0,-2 0 0,1 0-38,0 0-1,0 0 1,0 0-1,0 0 1,1 1-1,-1-1 1,0 1-1,0-1 0,0 1 1,1 0-1,-1 0 1,0 1-1,1-1 1,-1 0-1,1 1 1,0 0-1,-1-1 1,1 1-1,-4 4 1,2 1-22,1 1-1,0-1 1,0 1 0,0 0 0,1 0 0,0 0-1,1 0 1,-1 14 0,1-8 15,0 1-1,2-1 1,0 1-1,3 15 1,-3-25-7,0-1-1,1 0 1,-1 0-1,1 0 1,0 0-1,0 0 1,1 0-1,-1 0 1,1-1-1,-1 1 1,1-1-1,0 0 1,1 0 0,-1 0-1,0 0 1,1 0-1,0-1 1,0 1-1,-1-1 1,1 0-1,0 0 1,1-1-1,4 2 1,6 1-56,0 0 0,0-2 0,1 0 0,-1 0 0,21-1-1,-33-2 70,0 1-1,1 0 1,-1-1-1,0 1 1,0-1-1,0 0 0,1 0 1,-1 0-1,0-1 1,0 1-1,-1-1 0,1 0 1,0 1-1,0-1 1,-1-1-1,3-1 1,0-2 0,0 1 0,0-1 1,-1 0-1,0-1 1,0 1-1,5-13 1,0-5 251,-1 0 1,-1 0-1,4-29 1,-3 6 1983,12 49-2659,-7 7 17,-11-7 230,0-1-1,1 1 1,-1 0 0,1-1-1,-1 1 1,1-1 0,0 0 0,-1 0-1,1 0 1,0 0 0,0-1-1,0 1 1,4 0 0,-6-35 1049,-1 34-872,0-1-1,-1 1 1,1-1 0,0 1 0,-1-1 0,1 1-1,0-1 1,-1 1 0,1-1 0,-1 1-1,1-1 1,-1 1 0,1 0 0,-1-1 0,1 1-1,-1 0 1,1-1 0,-1 1 0,1 0 0,-1 0-1,1-1 1,-1 1 0,0 0 0,1 0 0,-1 0-1,0 0 1,1 0 0,-1 0 0,1 0 0,-1 0-1,-1 0 1,-20 4 183,20-2-196,0 0 0,0 0 0,0 0 0,0 0 0,0 1 0,1-1 1,-1 1-1,1-1 0,0 1 0,0-1 0,0 1 0,0 0 0,0 0 0,0 0 0,0 5 1,-4 46-41,4-41 59,0-1-52,1 0 1,0-1-1,1 1 0,0 0 0,5 19 0,-5-27-38,0-1 0,1 0 0,-1 0 1,1 1-1,0-1 0,0 0 0,0-1 0,0 1 0,0 0 0,1-1 0,-1 1 0,1-1 0,0 0 0,0 0 0,0 0 0,0 0 0,0 0 0,0-1 0,0 1 0,1-1 0,-1 0 0,0 0 0,7 1 0,-4 0-88,0-1 0,1 0 0,-1 0 0,1 0 0,-1-1 0,1 0 0,-1 0-1,0-1 1,1 0 0,-1 0 0,9-3 0,-11 2 191,0 0 0,0 0-1,0 0 1,-1-1 0,1 0-1,-1 1 1,1-1 0,-1-1 0,0 1-1,0 0 1,0-1 0,-1 0 0,1 1-1,-1-1 1,0 0 0,0 0 0,2-5-1,4-15 791,9-33-1,-14 41-337,1 0 0,1 1 0,0 0 0,1 0 0,1 1 0,13-23 0,-19 36-486,-1 1 0,1-1 0,-1 1 0,1 0 0,-1-1 0,1 1 0,0 0 0,-1 0 0,1 0 0,-1-1 0,1 1 0,0 0 0,-1 0 0,1 0 0,0 0 0,-1 0 0,1 0 0,0 0 0,-1 0 0,1 0 0,-1 0 0,1 1 0,0-1 0,-1 0 0,1 0 0,-1 0 0,1 1 0,0-1 0,-1 0 0,1 1 0,-1-1 0,1 1 0,-1-1 0,0 0 0,1 1 0,-1-1 0,1 1 0,-1 0 0,22 23-420,-19-20 183,0 0-56,1 0 0,0 0 1,0 0-1,0-1 1,0 1-1,1-1 0,-1 0 1,1 0-1,0-1 1,0 1-1,0-1 0,0 0 1,0-1-1,1 1 1,-1-1-1,6 1 0,-11-27 2325,0 24-1964,-1-1 1,1 0-1,-1 0 0,0 0 1,0 1-1,0-1 0,0 0 1,0 1-1,0-1 0,0 1 1,0-1-1,-1 1 0,1-1 1,0 1-1,-1 0 0,1 0 0,-1 0 1,0 0-1,1 0 0,-1 0 1,0 0-1,0 0 0,1 1 1,-1-1-1,0 1 0,-3-1 1,-5-1 79,-1 0 0,1 1-1,-17 1 1,24 0-159,0 0 14,1 1 0,-1-1 0,1 1-1,-1 0 1,1 0 0,-1 0 0,1 0 0,0 0 0,-1 0 0,1 1 0,0-1-1,0 1 1,0 0 0,0-1 0,0 1 0,1 0 0,-1 0 0,0 0 0,1 0-1,0 1 1,-1-1 0,1 0 0,0 1 0,0-1 0,0 0 0,0 1 0,1-1-1,-1 6 1,-3 5-8,2 1 0,0 0 1,1 0-1,0 15 0,1-24-1,0-1 1,0 1 0,0 0-1,1 0 1,0 0 0,0-1-1,0 1 1,0 0 0,1-1-1,0 1 1,0-1 0,0 0-1,5 7 1,-4-8 2,-1-1 0,1 1 0,0-1 0,0 0 0,0 0 1,0 0-1,0 0 0,1 0 0,-1-1 0,0 0 0,1 1 0,-1-1 0,1 0 1,0-1-1,-1 1 0,1-1 0,0 0 0,6 0 0,-4 0 22,1 0 0,-1 0-1,0-1 1,0 1 0,0-2-1,0 1 1,0-1 0,0 0-1,11-5 1,-13 4 2,0 1 0,0-1 0,0-1 0,-1 1 0,1 0 0,-1-1 0,0 0 0,0 0 0,0 0 0,-1 0 0,1 0-1,-1 0 1,3-9 0,-1 2 115,-1-2 0,-1 1 0,1 0 1,-2 0-1,0-1 0,0 1 0,-2-15 0,1 13 201,0 13-319,0-1 0,0 1 0,0 0 0,0 0-1,0-1 1,0 1 0,0 0 0,-1-1 0,1 1 0,0 0 0,-1-1-1,1 1 1,-1 0 0,1 0 0,-1 0 0,0 0 0,1 0-1,-1-1 1,0 1 0,0 0 0,0 1 0,0-1 0,0 0-1,0 0 1,0 0 0,0 1 0,0-1 0,0 0 0,-1 1-1,1-1 1,0 1 0,0-1 0,-1 1 0,1 0 0,0-1-1,-1 1 1,1 0 0,0 0 0,-1 0 0,1 0 0,0 0-1,-2 1 1,2-1-19,0 1 0,0 0 1,0 0-1,0 0 0,1-1 0,-1 1 0,0 0 0,0 0 0,1 0 0,-1 1 0,0-1 1,1 0-1,-1 0 0,1 0 0,0 0 0,-1 0 0,1 1 0,0-1 0,0 0 0,-1 0 0,1 1 1,0 1-1,0 37-121,0-31 108,0-4-59,0 1 1,0-1-1,1 0 0,0 1 0,0-1 0,0 1 1,1-1-1,0 0 0,0 0 0,0 0 0,1 0 0,-1 0 1,1 0-1,0-1 0,1 1 0,-1-1 0,1 0 1,4 4-1,-3-4-198,0 0 1,1 0 0,0-1-1,0 0 1,0 0-1,0 0 1,1-1-1,-1 0 1,1 0-1,-1 0 1,1-1 0,-1 0-1,1-1 1,10 1-1,-14-1 278,-1-1 0,0 1 0,1-1 0,-1 1 0,1-1 0,-1 0 1,0 0-1,0 0 0,1 0 0,-1 0 0,0 0 0,0-1 0,0 1 0,0-1 0,-1 1 0,1-1 0,0 0 0,-1 0 0,1 0 0,-1 0 0,1 0 0,-1 0 0,0 0 0,0 0 0,0-1 0,0 1 0,0 0 0,-1 0 0,1-1 0,-1 1 0,1-4 0,2-10 589,-2-1 1,1 1-1,-3-26 0,1 25 162,0-25 1858,0 42-2281,0 19-699,1-12 311,-1 0 0,2 0 0,-1 0 0,1-1 0,0 1 0,0 0 0,0-1 0,1 1 0,0-1-1,8 12 1,-9-15-57,1 1 0,-1-1-1,1 1 1,0-1-1,0 0 1,0 0 0,0 0-1,1-1 1,-1 1-1,1-1 1,0 1-1,0-1 1,-1 0 0,1-1-1,0 1 1,1-1-1,-1 0 1,8 2 0,-7-3 118,-1 1 1,1-1 0,0 0-1,0 0 1,-1 0 0,1-1-1,0 0 1,0 0 0,-1 0-1,1 0 1,-1-1 0,1 0-1,-1 1 1,0-2 0,1 1-1,-1-1 1,0 1 0,0-1-1,-1 0 1,1 0 0,-1-1-1,1 1 1,-1-1 0,0 0-1,-1 1 1,1-1 0,0-1-1,-1 1 1,0 0 0,0 0-1,2-10 1,0 1 412,-2 0 0,0 0 0,0-1 0,-1-19 0,0 20 1062,-4 29-1528,0 0-1,2 0 0,-1 1 0,2-1 1,0 0-1,3 18 0,-3-31-97,1 1-1,0 0 1,0 0 0,0 0-1,0-1 1,1 1 0,-1-1-1,1 1 1,0-1-1,0 1 1,0-1 0,0 0-1,1 0 1,-1 0 0,1 0-1,0-1 1,0 1 0,0-1-1,0 0 1,0 1 0,0-1-1,1-1 1,-1 1-1,1 0 1,0-1 0,-1 0-1,1 0 1,0 0 0,0 0-1,-1 0 1,7-1 0,20 1-3186,7-1-2026</inkml:trace>
  <inkml:trace contextRef="#ctx0" brushRef="#br0" timeOffset="2944.46">1856 614 6531,'0'0'10341,"-17"-2"-10048,2 0-269,-1 0 0,-22 2 0,36 0-26,0 0-1,1 1 0,-1-1 0,0 1 1,1 0-1,-1-1 0,1 1 1,-1 0-1,1 0 0,-1 0 1,1 0-1,0 0 0,0 0 1,-1 0-1,1 1 0,0-1 1,0 0-1,0 1 0,0-1 0,0 1 1,1-1-1,-1 1 0,0-1 1,1 1-1,-1 2 0,-6 41-43,7-40 48,-1 0-12,1 5-19,-1 0 0,1 0 0,0 0 0,1 0 0,3 15 0,-3-23-35,-1 0 0,1 1 0,0-1 0,0 0 0,0 0 0,1 1 0,-1-1 0,0 0 0,1 0 0,0 0 0,-1-1 0,1 1 0,0 0 0,0-1-1,0 1 1,0-1 0,0 1 0,0-1 0,0 0 0,1 0 0,-1 0 0,0 0 0,1 0 0,-1-1 0,0 1 0,1-1 0,3 1 0,-2 0-14,1-1 0,-1 1 0,1-1 0,-1 0 0,1 0 0,-1-1 0,1 1 1,-1-1-1,0 0 0,1 0 0,-1-1 0,0 1 0,1-1 0,-1 0 0,0 0 0,0 0 1,-1-1-1,7-4 0,-5 2 131,-1 0 0,1-1 1,-1 0-1,0 0 0,0-1 1,-1 1-1,0-1 0,0 1 0,0-1 1,-1 0-1,1-8 0,3-7 314,-2 0 0,-1 0 0,-1-1 0,0 1-1,-2-1 1,-1 0 0,0 1 0,-2-1 0,-1 1 0,0 0-1,-2 0 1,0 0 0,-14-29 0,20 50-338,0 1 1,0 0-1,0-1 1,0 1-1,0-1 1,0 1-1,0 0 1,-1-1-1,1 1 0,0 0 1,0-1-1,0 1 1,0 0-1,0-1 1,-1 1-1,1 0 1,0 0-1,0-1 1,-1 1-1,1 0 1,0 0-1,0-1 0,-1 1 1,1 0-1,0 0 1,-1 0-1,1-1 1,0 1-1,-1 0 1,1 0-1,0 0 1,-1 0-1,1 0 0,0 0 1,-1 0-1,1 0 1,-1 0-1,1 0 1,0 0-1,-1 0 1,1 0-1,-1 0 1,-3 19 207,5 43-576,0-54 454,0 10-179,2-1 0,0 1-1,0-1 1,2 0 0,0 0-1,1 0 1,1-1 0,1 0-1,0 0 1,1-1-1,0 0 1,2 0 0,-1-1-1,2-1 1,20 20 0,-28-30-98,1 0 0,-1 0-1,1 0 1,-1-1 0,1 0 0,0 0 0,0 0 0,-1-1 0,2 1 0,7 0 0,-10-2 141,-1 1-1,1-1 1,-1 0 0,0 0-1,1 0 1,-1-1 0,1 1-1,-1-1 1,1 1 0,-1-1-1,0 0 1,0 0 0,1 0 0,-1 0-1,0 0 1,0 0 0,0 0-1,0-1 1,0 1 0,0-1-1,0 0 1,-1 0 0,3-2-1,3-7 60,0 0 0,-1-1-1,-1 1 1,0-1-1,0 0 1,-1-1 0,-1 1-1,0-1 1,2-19 0,-2-33 2469,-3 64-2379,-1 3-151,0-1 0,1 1 0,-1-1 0,1 1-1,-1-1 1,1 1 0,-1-1 0,1 1 0,0 0-1,0-1 1,0 1 0,-1 0 0,2 1 0,-1-2 3,-1 8-127,1-1 0,-1 0-1,2 0 1,-1 0 0,1 0 0,1 0-1,-1 0 1,2 0 0,-1 0 0,1-1-1,0 1 1,0-1 0,1 0 0,0 0-1,0 0 1,1 0 0,0 0 0,0-1-1,0 0 1,1 0 0,0-1 0,0 0-1,0 0 1,1 0 0,8 4 0,-11-6 22,-1-2 0,1 1 0,0 0 0,0-1 1,0 0-1,0 1 0,0-1 0,0-1 0,0 1 0,0-1 1,0 0-1,6 0 0,-8 0 177,1-1 0,-1 0 0,1 1 0,-1-1 0,0 0 0,1 0 0,-1-1 0,0 1 0,0 0 1,0-1-1,0 1 0,0-1 0,0 0 0,0 0 0,0 1 0,-1-1 0,1 0 0,-1-1 0,3-3 0,2-4 220,16-30 2175,21-47-1,-43 87-2429,1-1 0,-1 1 0,0 0 0,1-1 0,-1 1 0,1 0 0,-1 0 0,1-1 0,-1 1 0,1 0 0,-1 0 0,1-1 0,-1 1 0,1 0 0,-1 0 0,1 0 0,-1 0 0,1 0 0,-1 0 0,1 0 0,-1 0 0,1 0 0,-1 0 0,1 0 0,-1 0 0,1 0 0,-1 1 0,1-1 0,-1 0 0,1 0 0,-1 0 0,1 1 0,-1-1 0,1 0 0,-1 1 0,0-1 0,1 0 0,-1 1 0,1 0 1,7 12-91,0 0 1,-1 1 0,-1 0 0,10 30 0,-10-25-333,-4-14 150,0 1 0,0-1 1,1 0-1,-1 0 0,1 0 1,0 0-1,6 6 0,-8-10 205,-1 0 1,1 0-1,0-1 0,0 1 0,0-1 1,0 1-1,0-1 0,-1 1 0,1-1 0,0 1 1,0-1-1,0 0 0,0 0 0,0 1 1,0-1-1,1 0 0,-1 0 0,1 0 1,0-1 72,0 1 0,0-1 0,0 1 1,0-1-1,-1 0 0,1 0 1,0 0-1,-1 0 0,1 0 0,0 0 1,-1-1-1,0 1 0,3-3 1,19-23 638,-2-1-1,24-39 1,9-13 1210,-54 80-1872,0 0 0,1 0 1,-1 0-1,0 0 0,0 0 0,0 0 0,0 0 0,0-1 0,0 1 0,0 0 0,1 0 0,-1 0 0,0 0 0,0 0 0,0 0 0,0 0 0,0 0 0,1 0 1,-1 0-1,0 0 0,0 0 0,0 0 0,0 0 0,0 0 0,1 0 0,-1 0 0,0 0 0,0 0 0,0 0 0,0 0 0,0 0 0,1 0 0,-1 0 0,0 0 1,0 0-1,0 0 0,0 0 0,0 0 0,0 0 0,1 1 0,-1-1 0,0 0 0,0 0 0,0 0 0,0 0 0,6 10-118,1 12 7,-7-22 127,5 16-259,0 0 0,1-1 1,0 0-1,11 20 0,-15-32-61,1 1 0,-1-1 0,1 1 0,-1-1-1,1 0 1,0 0 0,0 0 0,0 0 0,0 0 0,1-1-1,-1 0 1,1 1 0,0-1 0,-1-1 0,1 1 0,0 0 0,0-1-1,0 0 1,0 0 0,0 0 0,0 0 0,5-1 0,1 0-782,-3 1 193,0-1 1,-1 0-1,1 0 1,0-1-1,0 0 0,0 0 1,-1-1-1,13-4 1,3-10-2048</inkml:trace>
  <inkml:trace contextRef="#ctx0" brushRef="#br0" timeOffset="3361.12">3002 612 2353,'0'0'8479,"-1"-17"-6254,-4-56-272,5 71-1846,-1-1 0,1 1 1,-1-1-1,0 1 1,0 0-1,0-1 0,0 1 1,0 0-1,0 0 1,-1 0-1,1 0 0,-1 0 1,0 0-1,1 0 1,-1 0-1,0 1 0,0-1 1,0 1-1,0-1 1,-3-1-1,0 1 41,0 0 0,0 0 0,0 1 0,-1-1 1,1 1-1,-5 0 0,6 0-137,0 1 0,0-1 0,0 1 0,0 0 0,0 1 1,0-1-1,1 1 0,-1-1 0,0 1 0,0 0 0,1 1 0,-1-1 1,0 1-1,1-1 0,0 1 0,-1 0 0,1 0 0,0 1 0,0-1 1,-3 4-1,2-2-18,0 1 0,1-1 0,0 1 1,0 0-1,0 0 0,1 0 0,-1 1 0,1-1 0,1 0 1,-1 1-1,1-1 0,0 1 0,-1 7 0,1-6-52,0 0-1,1 0 1,0 0-1,0 1 1,1-1-1,-1 0 0,2 0 1,2 10-1,-3-14-41,0 0 1,1-1-1,-1 1 0,1-1 0,0 1 0,0-1 1,0 0-1,0 0 0,0 0 0,0 0 0,0 0 1,1 0-1,-1-1 0,1 1 0,-1-1 0,1 1 1,0-1-1,0 0 0,-1 0 0,1 0 0,0-1 1,5 2-1,-3-1-48,1 0 0,-1 0 0,0-1 0,0 0 0,1 1 0,-1-2 0,0 1 0,1-1 0,-1 1 0,0-2 0,7-1 0,-10 2 184,1-1-1,-1 1 0,1-1 0,-1 0 1,1 1-1,-1-1 0,0-1 1,0 1-1,0 0 0,0 0 1,0-1-1,-1 1 0,1-1 1,-1 1-1,1-1 0,-1 0 0,0 0 1,0 1-1,0-1 0,1-6 1,1-12 1358,-1-1 0,-1 1 0,0 0 0,-5-34 1,4 53-1232,0 0 0,0 0 0,-1 1 0,1-1 0,-1 0 0,1 0 0,-1 0 0,0 0 0,0 0 0,1 1 0,-1-1 0,-1 0 0,1 1 1,0-1-1,-2-1 0,-1 16 345,2 14-525,2 0 1,1 0 0,1 0 0,1 0 0,8 29-1,42 127 119,-30-115-64,14 76 1,-35-136-58,0 3-290,0 0 0,0-1-1,-1 1 1,0 0-1,-1 0 1,0-1 0,-3 19-1,2-28 97,1 0-1,-1 0 0,1 0 1,-1 0-1,0 0 0,0 0 1,0-1-1,1 1 1,-1 0-1,0-1 0,0 1 1,0-1-1,0 1 0,0-1 1,0 1-1,0-1 1,0 1-1,0-1 0,-1 0 1,1 0-1,0 0 0,0 1 1,0-1-1,0 0 1,0 0-1,0-1 0,0 1 1,-1 0-1,1 0 0,0 0 1,-1-1-1,-2 0-622,-30-3-6329</inkml:trace>
  <inkml:trace contextRef="#ctx0" brushRef="#br0" timeOffset="3563.97">2231 1 8404,'0'0'5170,"32"113"-10340</inkml:trace>
</inkml:ink>
</file>

<file path=xl/ink/ink1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6:19.339"/>
    </inkml:context>
    <inkml:brush xml:id="br0">
      <inkml:brushProperty name="width" value="0.05" units="cm"/>
      <inkml:brushProperty name="height" value="0.05" units="cm"/>
      <inkml:brushProperty name="color" value="#00A0D7"/>
    </inkml:brush>
  </inkml:definitions>
  <inkml:trace contextRef="#ctx0" brushRef="#br0">18 189 416,'0'0'7324,"-3"-9"-6569,-7-26 269,8 26-133,0 26 512,2 13-1027,1 1-1,1-1 1,13 58-1,0-3 332,-11-56-384,9 37 0,-13-65-286,0-1 1,0 1-1,0-1 1,0 1-1,0-1 0,0 1 1,0 0-1,1-1 1,-1 1-1,0-1 0,0 1 1,1-1-1,-1 1 0,0-1 1,1 1-1,-1-1 1,0 1-1,1-1 0,-1 1 1,1-1-1,-1 0 1,1 1-1,-1-1 0,1 0 1,-1 1-1,1-1 0,-1 0 1,1 0-1,-1 1 1,1-1-1,-1 0 0,1 0 1,0 0-1,-1 0 1,1 0-1,-1 0 0,1 0 1,0 0-1,-1 0 1,1 0-1,-1 0 0,1 0 1,0 0-1,6-1 191,70-2 280,104-19 1,20-2-523,-37 6 40,22-1-4,109-13 62,-191 17-26,133-2 0,-201 17-91,424-15-33,122-17 317,-24 7 739,-550 25-852,-1-1 0,1 0 0,-1-1-1,1 1 1,-1-1 0,0-1 0,1 1 0,-1-1 0,-1-1-1,1 1 1,12-10 0,-17 10-32,-1 1 0,0-1-1,0 0 1,0-1 0,-1 1 0,1 0-1,-1 0 1,1 0 0,-1 0-1,0 0 1,0 0 0,-1-1 0,0-4-1,0-5-59,0 0-4,-2 0 1,1 1-1,-2-1 0,1 1 0,-2 0 0,-7-16 0,-6-20 114,15 41-128,1-1 1,1 1-1,-1-1 1,1 0-1,0-9 1,1 17-13,-11 14-9066,-4-6 903</inkml:trace>
  <inkml:trace contextRef="#ctx0" brushRef="#br0" timeOffset="2988.62">2097 392 5282,'0'0'10491,"-1"3"-10435,1 7 31,0 1 0,0-1 0,1 1 1,1-1-1,0 0 0,0 0 1,1 0-1,0 0 0,7 14 0,5 21 46,8 42 156,18 130 1,-33-84-8798,-8-123 2212</inkml:trace>
  <inkml:trace contextRef="#ctx0" brushRef="#br0" timeOffset="3562.07">2104 610 8116,'0'0'8841,"0"5"-8611,3 18 214,0 0 0,1-1 1,2 1-1,0-1 1,1-1-1,13 27 1,11 38 11,-12-18-254,-4 0 1,-3 1 0,5 98 0,-16-150-177,2 22 63,9 50 0,-10-78-93,1 0 1,0 0 0,0-1 0,1 0 0,1 0 0,0 0 0,0 0 0,1-1 0,9 13 0,-11-17 230</inkml:trace>
  <inkml:trace contextRef="#ctx0" brushRef="#br0" timeOffset="3936.13">2181 1372 6131,'0'0'10178,"1"3"-10061,1 9-1,1-2 1,1 1-1,0 0 0,0-1 1,1 1-1,0-1 0,13 17 0,-15-22-83,0 0 0,1-1 0,0 0 0,0 1-1,0-1 1,0-1 0,1 1 0,-1-1 0,1 1-1,0-1 1,0-1 0,0 1 0,1-1 0,-1 0-1,1 0 1,-1 0 0,10 1 0,-9-2 113,1-1 1,-1 0-1,0 0 1,0-1-1,1 0 1,-1 0-1,0 0 1,0-1-1,0 1 0,0-2 1,0 1-1,-1-1 1,7-3-1,-4 1 52,0-2-1,-1 1 0,1-1 0,-1 0 1,-1-1-1,1 0 0,7-12 0,-9 14-676,27-45 2780,-20 23-3741,-7 1-6519</inkml:trace>
  <inkml:trace contextRef="#ctx0" brushRef="#br0" timeOffset="4857.65">2736 924 4594,'0'0'11243,"-6"0"-10966,5-1-270,-1 1 0,1 0 0,-1 0 0,0 0 1,1 0-1,-1 0 0,1 0 0,-1 1 0,0-1 0,1 0 0,-1 1 0,1-1 0,-1 1 0,1 0 0,-1-1 1,1 1-1,-3 2 0,2-1 1,0 1 1,1-1-1,-1 0 1,0 1-1,1 0 0,0-1 1,-1 1-1,1 0 1,0 0-1,0 0 1,1 0-1,-1 3 0,-3 11 42,1 1-1,1-1 1,1 1-1,0 0 1,2 0-1,3 30 1,-2-40-107,-1 0 1,1-1-1,0 1 0,0-1 1,1 0-1,0 1 1,1-1-1,-1-1 0,1 1 1,1 0-1,-1-1 1,1 0-1,0 0 1,0 0-1,1-1 0,0 0 1,11 8-1,-13-10-19,0-1 1,0 0-1,0 0 0,0 0 0,1 0 1,-1 0-1,0-1 0,1 0 0,0 0 0,-1 0 1,1-1-1,0 1 0,-1-1 0,1 0 1,0-1-1,-1 1 0,1-1 0,0 0 1,-1 0-1,1 0 0,-1-1 0,0 1 1,1-1-1,-1 0 0,0 0 0,0-1 0,0 1 1,0-1-1,-1 0 0,1 0 0,-1 0 1,1-1-1,-1 1 0,0-1 0,-1 0 1,1 0-1,0 0 0,-1 0 0,3-8 0,1-3 315,-1-1 1,-1 0-1,0-1 0,2-20 0,-5 23 89,1 1 1,0 0 0,1 0 0,1 0 0,0 0 0,1 1-1,8-17 1,-13 29-326,1-1-1,-1 0 1,1 0 0,-1 1-1,1-1 1,0 0 0,-1 1-1,1-1 1,0 1-1,-1-1 1,1 0 0,0 1-1,0 0 1,0-1 0,-1 1-1,1 0 1,0-1-1,0 1 1,0 0 0,0 0-1,0-1 1,0 1 0,0 0-1,0 0 1,-1 0-1,1 0 1,0 1 0,0-1-1,0 0 1,0 0 0,0 0-1,0 1 1,0-1-1,-1 0 1,1 1 0,1 0-1,1 0-26,-1 1-1,1 0 0,-1 0 1,0 0-1,0 0 0,0 0 1,0 0-1,0 0 0,3 5 1,-3-3-329,0 0-12,0-1 1,0 1 0,0 0-1,0-1 1,0 0 0,1 1-1,0-1 1,-1 0 0,5 3-1,-6-6 461,-1-24 1500,0 22-1440,0-1 0,-1 1 0,1 0 0,0-1-1,-1 1 1,0 0 0,1-1 0,-1 1 0,0 0 0,0 0 0,0 0 0,-1 0 0,1 0 0,0 0 0,-3-2 0,4 3-137,-1 1-1,0-1 1,0 1 0,0-1 0,0 1 0,0-1-1,0 1 1,0-1 0,0 1 0,0 0 0,0 0-1,0-1 1,0 1 0,0 0 0,0 0-1,0 0 1,0 0 0,0 0 0,0 1 0,0-1-1,0 0 1,0 0 0,0 1 0,0-1 0,0 0-1,0 1 1,0-1 0,0 1 0,1-1 0,-1 1-1,0 0 1,0-1 0,0 1 0,1 0 0,-1 0-1,0-1 1,1 1 0,-1 0 0,0 2 0,-4 3-14,1 0 1,0 1-1,0-1 1,1 1-1,0 0 1,0 0-1,1 1 1,0-1-1,0 0 1,-1 12-1,1-4-25,1 0-1,0 1 0,1-1 1,3 21-1,-3-32-89,1 0 0,0-1 0,0 1 0,0 0 0,1-1 0,-1 1 0,1-1 0,0 0 0,0 0 0,0 1 1,0-1-1,1 0 0,-1-1 0,1 1 0,-1 0 0,1-1 0,0 1 0,0-1 0,1 0 0,3 2 0,-2-1-15,0-1-1,0 0 1,1 0-1,-1-1 1,1 1-1,-1-1 1,1 0-1,-1-1 1,1 0-1,0 1 1,-1-2-1,1 1 1,5-1-1,-8 0 137,-1 0 0,0 0 0,0 0 0,1 0-1,-1 0 1,0 0 0,0-1 0,0 1 0,-1-1 0,1 1 0,0-1 0,0 0 0,-1 1-1,1-1 1,-1 0 0,0 0 0,1 0 0,-1 0 0,0-1 0,0 1 0,0 0 0,-1 0-1,1-1 1,0 1 0,-1 0 0,1-4 0,1-9 239,-1 1 0,0-1 0,-1-17 0,-1 16 57,2 11-229,-2-1-1,1 0 1,0 1 0,-1-1 0,0 1 0,-1-1 0,1 1 0,-1-1-1,0 1 1,0 0 0,-6-10 0,6 13-71,0 0 0,0 0 0,0-1 0,0 1 0,0 0 1,-1 1-1,1-1 0,-1 0 0,1 1 0,-1-1 0,0 1 0,0 0 0,0 0 0,0 0 0,1 0 0,-1 1 1,0-1-1,0 1 0,0-1 0,-1 1 0,1 0 0,0 1 0,-4 0 0,6-1-74,0 1 0,0-1-1,0 1 1,0 0 0,0 0-1,1-1 1,-1 1 0,0 0-1,1 0 1,-1 0 0,1 0-1,-1 0 1,1 0 0,-1 0-1,1 0 1,0 0 0,-1 0 0,1 0-1,0 0 1,0 0 0,0 0-1,0 0 1,0 0 0,0 1-1,0-1 1,0 2 0,0-1-498,0 1 0,0 0-1,0-1 1,1 1 0,-1 0 0,1-1 0,0 1 0,-1-1 0,1 1 0,0-1 0,2 4 0,15 8-5515</inkml:trace>
  <inkml:trace contextRef="#ctx0" brushRef="#br0" timeOffset="5816.36">3406 960 5475,'0'0'10306,"-16"-4"-10205,-49-8-61,64 12-39,-1 0-1,1 1 1,-1-1 0,1 0-1,-1 0 1,1 1 0,-1-1-1,1 1 1,-1-1 0,1 1-1,-1 0 1,1 0 0,-1-1-1,1 1 1,0 0 0,0 0-1,0 0 1,-1 1 0,1-1-1,0 0 1,0 0 0,0 0-1,1 1 1,-1-1-1,0 1 1,0-1 0,1 0-1,-1 1 1,1-1 0,-1 1-1,1 2 1,-3 3-1,-2 5-25,1 1 1,0-1-1,0 1 0,2 0 0,-1 0 0,2 0 1,0 0-1,0 0 0,2 14 0,0-25-40,-1 0-1,1 1 0,0-1 1,0 0-1,0 0 1,1 0-1,-1 0 0,0 0 1,1 0-1,0 0 0,-1 0 1,1 0-1,0-1 1,0 1-1,0-1 0,0 1 1,0-1-1,0 0 1,0 0-1,0 0 0,1 0 1,-1 0-1,0 0 1,1-1-1,-1 1 0,1-1 1,-1 0-1,4 1 1,2 0-52,0 0 1,-1-1-1,1 0 1,0 0-1,0-1 1,-1 1-1,1-2 1,9-2-1,-11 2 103,0-1-1,0-1 0,-1 1 0,0-1 0,0 0 0,0 0 0,0 0 1,0-1-1,-1 0 0,0 0 0,0 0 0,0 0 0,-1 0 0,1-1 0,-1 0 1,-1 0-1,1 0 0,-1 0 0,0 0 0,0 0 0,0-9 0,4-13 395,-3-1 0,0 0 0,-2-38 0,0 31 265,0 20-265,0-1 0,-2 0 0,0 0 0,0 1 0,-2-1 0,0 1 1,-1 0-1,-6-18 0,10 34-357,0-1 1,0 1 0,0 0-1,0 0 1,0 0-1,0-1 1,0 1-1,0 0 1,0 0-1,0-1 1,0 1 0,0 0-1,0 0 1,0 0-1,-1-1 1,1 1-1,0 0 1,0 0-1,0 0 1,0-1 0,0 1-1,0 0 1,-1 0-1,1 0 1,0-1-1,0 1 1,0 0-1,0 0 1,-1 0 0,1 0-1,0 0 1,0 0-1,0 0 1,-1-1-1,1 1 1,0 0-1,0 0 1,0 0 0,-1 0-1,1 0 1,0 0-1,0 0 1,-1 0-1,1 0 1,0 0-1,0 0 1,-1 0 0,1 0-1,0 0 1,0 0-1,0 1 1,-1-1-1,1 0 1,0 0-1,0 0 1,0 0-1,-1 0 1,1 0 0,0 1-1,0-1 1,0 0-1,0 0 1,-1 0-1,1 0 1,0 1-1,0-1 1,0 0 0,0 0-1,0 1 1,-5 17-208,2 15 138,1 1 1,5 63 0,-2-81-61,2-1 0,0 0 0,0 1-1,2-1 1,0-1 0,0 1 0,2-1 0,12 22-1,-17-32-34,0-1-1,0 1 0,1-1 1,-1 0-1,1 0 0,0 0 1,0 0-1,1 0 0,-1-1 1,0 1-1,1-1 0,-1 0 1,1 0-1,0 0 0,0-1 1,0 1-1,0-1 0,0 0 1,0 0-1,0 0 0,0-1 1,0 0-1,0 1 0,0-1 1,1-1-1,-1 1 0,0 0 1,8-3-1,-9 1 151,0 0 0,0 0 0,0 0 0,-1 0 0,1-1 0,-1 1 0,1-1 0,-1 0 0,0 1 0,0-1 0,0 0 0,0 0 0,1-5 0,0 2 103,0-1 1,0 0-1,0-1 1,-1 1-1,2-11 0,-4-52 2772,0 69-2764,35-1-3546,-29 3 2819,0-1 1,-1-1 0,1 1-1,0-1 1,0 0 0,7-2-1,-11 1 450,1 1-1,-1 0 1,0-1-1,1 1 1,-1-1-1,0 0 1,0 1-1,0-1 1,0 0-1,0-1 1,-1 1-1,1 0 1,0 0-1,-1-1 1,0 1-1,1-1 1,0-3-1,1-2 261,-1-1 0,1 0 0,-1 0 0,-1 0 0,1-10 0,-2 10 628,1 0-1,-2 0 0,1 0 0,-1 0 1,-2-11-1,2 19-620,0-1 1,1 1-1,-1-1 0,0 1 1,0 0-1,0-1 0,0 1 1,0 0-1,0-1 1,0 1-1,-1 0 0,1 0 1,0 0-1,-1 0 0,1 0 1,-1 0-1,1 1 1,-1-1-1,1 0 0,-1 1 1,1-1-1,-1 1 0,0 0 1,1-1-1,-1 1 1,0 0-1,1 0 0,-1 0 1,-2 0-1,2 0-88,-1 0 0,1 1 0,0-1 0,-1 0 0,1 1 1,0-1-1,0 1 0,-1 0 0,1 0 0,0 0 0,0 0 0,0 0 0,0 0 0,0 0 0,0 1 0,0-1 0,1 1 1,-1 0-1,0-1 0,-1 3 0,-1 4-11,1 1 0,0 0 1,0 0-1,0 0 0,1 0 0,1 0 1,-2 18-1,2 1-11,4 37 1,-3-61-5,1 0 0,0 0 0,0 0 1,0 0-1,0 0 0,0-1 1,1 1-1,0 0 0,0-1 1,0 1-1,0-1 0,0 0 0,1 1 1,-1-1-1,1 0 0,0-1 1,0 1-1,0 0 0,0-1 1,1 0-1,-1 1 0,1-2 1,-1 1-1,6 2 0,0-1 53,0 0-1,0-1 1,0 0-1,0 0 0,0-1 1,0 0-1,0-1 1,0 0-1,17-2 1,-23 1-105,0 1 1,-1 0-1,1-1 1,0 0-1,-1 0 1,1 0-1,0 0 1,-1 0-1,0 0 1,1-1-1,-1 1 1,0-1-1,1 0 1,-1 0-1,0 1 1,0-1-1,0-1 1,-1 1-1,1 0 1,0 0-1,-1-1 1,0 1-1,1-1 0,-1 1 1,0-1-1,0 1 1,0-1-1,-1 0 1,1 1-1,0-6 1,-1-10-3555</inkml:trace>
  <inkml:trace contextRef="#ctx0" brushRef="#br0" timeOffset="6997.11">1993 1340 2449,'0'0'12118,"0"-5"-11081,0-22 2141,1 34-3213,0-1 94,1-1-1,0 0 1,0 0-1,1 0 1,-1 0 0,1 0-1,0 0 1,0 0-1,1-1 1,-1 0-1,1 0 1,5 5 0,10 7 315,30 21 0,-23-19-203,34 21 17,-42-28-148,-1 0-1,0 1 1,23 21 0,-34-32 245,0 1 0,1-1 0,-1 0 1,0-1-1,1 1 0,-1-1 0,1-1 0,-1 1 1,9-3-1,-9 0-213,0-2 0,0 1 1,-1-1-1,0 1 0,7-10 1,-4 6 80,26-29 183,-2-2 1,45-72 0,-53 74-213,-5 14 438,-19 22-714,1 1 0,0-1 0,0 1 0,-1-1 0,1 0 0,-1 1 0,1-1 0,0 0 0,-1 1 0,0-1 0,1 0 0,-1 0 0,1 0 0,-1 1 0,0-1 0,1 0 0,-1 0 0,0-1 0,-1 1-185,-1 0 1,1 1-1,-1-1 0,0 1 0,1-1 1,-1 1-1,0-1 0,1 1 0,-1 0 1,0 0-1,1 0 0,-1 0 0,0 0 1,-2 1-1,-24-1-3854,-1 0-3122</inkml:trace>
  <inkml:trace contextRef="#ctx0" brushRef="#br0" timeOffset="8135.89">2119 396 112,'0'0'10277,"0"-7"-8548,0 0-2650,0-9 4962,0 10 276,0 19-3036,0 25-1050,-1-11 80,1 0 0,1-1-1,2 1 1,5 26 0,42 233 1694,-31-151-1572,-11-92-311,3 0-1,2 0 1,27 63-1,-36-93-74,-1 0 0,0 0 0,0 1 0,-1-1 0,0 28 1,2 19 256,1-15-225,5 23-3,-9-66-776,-1-6-135,-10-10-1157,-6 6-1410,-2 2-2574</inkml:trace>
  <inkml:trace contextRef="#ctx0" brushRef="#br0" timeOffset="9260.94">2083 1349 2001,'0'0'7515,"-2"-6"-6271,-2-4-754,-1-5-14,-4 0 2717,41 59 3686,-13-20-6737,0-1 1,2-2-1,35 30 1,-41-39-103,1 0 0,1-1 1,0 0-1,0-2 0,1 0 1,0-1-1,23 6 0,-32-12-81,-7-1 74,-1 0-1,1 0 1,0 0 0,0-1-1,1 1 1,-1-1 0,0 1-1,0-1 1,0 0-1,0 0 1,0 0 0,0 0-1,0 0 1,1 0 0,-1-1-1,0 1 1,0-1 0,0 1-1,0-1 1,0 0-1,0 0 1,0 0 0,-1 0-1,1 0 1,0 0 0,0-1-1,-1 1 1,1 0 0,-1-1-1,1 1 1,1-4 0,8-13 259,-1 0 0,14-38 1,-16 36-124,1 0 0,18-30 0,-18 39-111,0 1 0,1-1 0,12-9 0,0-1 84,-21 21 194,-3 4-806,0 0 470,1 0 0,-1-1 0,-1 1 0,1 0 0,-1-1 0,1 1 0,-1-1 0,-5 5 0,0 1 11,-27 41 161,18-25-152,-28 32 0,40-51-22,-1 0 0,1-1 0,-1 1 0,-1-2 0,1 1 0,-1-1-1,1 0 1,-1 0 0,0 0 0,-10 2 0,-17-3-1142,33-3 765,-1 0 0,1 0 1,0 0-1,-1-1 1,1 1-1,0 0 0,-1-1 1,1 1-1,0-1 0,0 0 1,0 1-1,-3-2 1,0-6-4283</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6:36.770"/>
    </inkml:context>
    <inkml:brush xml:id="br0">
      <inkml:brushProperty name="width" value="0.05" units="cm"/>
      <inkml:brushProperty name="height" value="0.05" units="cm"/>
      <inkml:brushProperty name="color" value="#00A0D7"/>
    </inkml:brush>
  </inkml:definitions>
  <inkml:trace contextRef="#ctx0" brushRef="#br0">471 1293 6563,'0'1'18699,"2"14"-18944,20 39 321,1-1 1,43 69-1,-64-119-90,0 0-1,0 0 1,0 0-1,0 0 1,1-1-1,-1 1 1,1-1-1,-1 0 1,1 0-1,6 4 1,-8-6 21,1 1-1,-1 0 1,0-1 0,1 0 0,-1 1-1,1-1 1,-1 0 0,1 1 0,-1-1-1,1 0 1,-1 0 0,1 0-1,0 0 1,-1-1 0,1 1 0,-1 0-1,0-1 1,1 1 0,-1-1 0,1 1-1,-1-1 1,0 0 0,1 1 0,-1-1-1,0 0 1,0 0 0,2-2 0,5-6 38,0 0 1,-1 0 0,0-1 0,-1 0 0,0-1 0,-1 1-1,0-1 1,0 0 0,-1 0 0,3-18 0,3-12 4,4-66 1,-8-5-163,-6 112-43,-9 18-1688,4-10 1218,2 0-1,-1 0 1,1 1 0,-3 10-1,2 19-5870,4-20-801</inkml:trace>
  <inkml:trace contextRef="#ctx0" brushRef="#br0" timeOffset="823.38">989 1227 5587,'0'0'16228,"-1"-1"-15614,-2 56-46,4-31-467,0 0 0,2 0-1,1-1 1,1 1 0,1-1-1,1 0 1,19 42 0,-23-100 825,-3 16-915,0 0 0,-2-1 0,-1 1 0,0 0 0,-1 0 0,-9-26 0,2 19 3,1-1 0,2-1-1,1 1 1,1-1 0,-4-50 0,10 77-33,1 0 0,-1 0 1,1 1-1,-1-1 0,0 0 1,1 0-1,-1 1 0,1-1 1,0 0-1,-1 1 0,1-1 1,0 0-1,-1 1 0,1-1 1,0 1-1,-1-1 0,1 1 1,0 0-1,0-1 0,0 1 1,0 0-1,-1-1 0,1 1 0,0 0 1,0 0-1,0 0 0,0 0 1,0 0-1,1 0 0,32-2-35,-29 2 31,-1 0 9,1 0-1,0 0 0,0 1 1,0-1-1,-1 1 1,1 0-1,0 0 0,-1 1 1,1-1-1,-1 1 1,1 0-1,-1 0 1,0 1-1,0-1 0,0 1 1,0 0-1,0 0 1,-1 0-1,1 1 1,-1-1-1,0 1 0,0 0 1,0 0-1,-1 0 1,1 0-1,-1 0 0,3 9 1,-2-5-12,0 1 0,-1-1 1,0 1-1,0 0 0,-1 0 0,0-1 1,-1 1-1,0 0 0,0 0 0,-1 0 1,0 0-1,0-1 0,-1 1 0,0 0 1,-1-1-1,0 1 0,0-1 0,-1 0 1,-5 8-1,4-7-20,4-7 38,0 0-1,0-1 1,0 1 0,0 0 0,-1 0 0,1-1 0,0 1 0,-1-1 0,1 1-1,-1-1 1,0 0 0,1 0 0,-3 2 0,3-3 373,4-35-90,0 34-293,-1-1 0,0 1 0,0 0 0,1-1 0,-1 1 0,0 0 0,1 0 0,-1 1 0,1-1 0,0 0 0,-1 1 0,1 0 0,0-1 0,-1 1 0,1 0 0,2 1 0,45 2-55,-43-1 45,-1-1-1,0 1 0,0 0 1,0 0-1,0 1 1,-1 0-1,1 0 0,-1 0 1,1 1-1,-1-1 0,0 1 1,-1 1-1,1-1 0,-1 1 1,1-1-1,-2 1 1,1 1-1,0-1 0,-1 0 1,0 1-1,0 0 0,-1-1 1,1 1-1,-1 0 0,-1 1 1,1-1-1,-1 0 1,0 0-1,0 9 0,-1-12 11,0-1 1,0 0-1,-1 0 0,1 0 0,-1 0 0,1 0 0,-1 0 0,0 0 0,0 0 0,0 0 0,0 0 1,0 0-1,0-1 0,0 1 0,-1 0 0,1-1 0,-3 3 0,0-1-10,0 1-1,-1-1 1,1 0-1,-1-1 1,0 1-1,-9 2 1,-4 1 5,-1-1 0,-35 4 1,25-6-207,-35-1 0,61-2 153,2 0 14,1 0-1,-1 0 1,1-1-1,-1 1 0,1 0 1,0 0-1,-1 0 1,1 0-1,-1-1 1,1 1-1,0 0 1,-1 0-1,1-1 0,-1 1 1,1 0-1,0-1 1,-1 1-1,1 0 1,0-1-1,0 1 1,-1 0-1,1-1 1,0 1-1,0-1 0,0 1 1,-1-1-1,1 1 1,0 0-1,0-1 1,0 1-1,0-1 1,0 1-1,0-1 0,0 1 1,0-1-1,3-19-4082,7 3-1269</inkml:trace>
  <inkml:trace contextRef="#ctx0" brushRef="#br0" timeOffset="1399.16">1448 1180 8564,'0'0'14785,"0"-4"-14555,0-9-214,0 27-16,5 37 133,66 188 582,-68-333-56,-13 11-603,3 36-5,-1-61 0,8 57-241,0 50 183,1 1 1,-1-1-1,0 1 0,1-1 0,-1 1 0,0-1 1,1 1-1,-1-1 0,1 1 0,-1 0 1,1-1-1,-1 1 0,1 0 0,-1-1 0,1 1 1,-1 0-1,1 0 0,-1-1 0,1 1 1,-1 0-1,1 0 0,0 0 0,-1 0 0,1 0 1,-1 0-1,1 0 0,0 0 0,-1 0 1,1 0-1,0 0 0,21 2-143,-15 1 155,-1 0 0,0 0 0,0 0 0,0 0 0,0 1 0,-1 0 0,0 0-1,0 1 1,9 8 0,37 50 37,-39-46-31,-1 0-1,0 0 1,-2 1 0,0 1 0,-1-1 0,10 37 0,-11-17-3337,-4 0-3565</inkml:trace>
  <inkml:trace contextRef="#ctx0" brushRef="#br0" timeOffset="1633.96">1546 1304 5747,'0'0'12773,"9"-11"-12516,15 6 351,8-1-592,6 0 32,0 1-48,-5 1-688,-2 0-2098,-11 2-1440</inkml:trace>
  <inkml:trace contextRef="#ctx0" brushRef="#br0" timeOffset="5036.69">245 2046 1425,'0'0'13155,"1"-7"-11866,2-24 1557,-9 35-2686,-221 100 1820,226-103-1816,0-1 0,0 1 1,0 0-1,0 0 0,0-1 1,0 1-1,0 0 0,0 0 0,0 0 1,1 0-1,-1 0 0,0 0 0,1 0 1,-1 0-1,1 0 0,-1 0 1,1 0-1,0 0 0,-1 0 0,1 1 1,0-1-1,0 0 0,0 0 1,0 0-1,0 2 0,3 32-958,-2-30 1076,9 43-250,3 0-1,22 56 1,-14-44 36,0-2-81,2-1 1,52 94-1,-67-135 557,-4-8-2032</inkml:trace>
  <inkml:trace contextRef="#ctx0" brushRef="#br0" timeOffset="5508.06">400 2262 7171,'0'0'13502,"-1"-4"-12640,-1-8-152,10 37-539,9 10 53,2-1 1,1-1-1,1 0 1,2-2-1,30 32 1,-45-55-194,0 0-1,0 0 1,1-1 0,1 0-1,12 7 1,-19-12-19,0-1 0,1 1 1,-1-1-1,1 0 0,-1 0 0,1 0 0,-1 0 1,1 0-1,4-1 0,-6 0 4,0 0-1,-1 0 1,1 0 0,0-1-1,-1 1 1,1 0 0,0-1-1,-1 0 1,1 1 0,-1-1-1,1 0 1,-1 0 0,1 0-1,-1 0 1,0 0 0,1 0-1,-1 0 1,0 0 0,0-1-1,2-1 1,1-4 7,-1 1 0,0-1 0,0 0 0,0 1 0,-1-2 0,1 1 1,-2 0-1,1 0 0,0-14 0,-2-71 4,0 77-26,-2-1-9,0 0 0,-1 0 1,-1 1-1,0-1 1,-12-26-1,-5-20-88,15 80-6821,4 27 476,2-13-650</inkml:trace>
  <inkml:trace contextRef="#ctx0" brushRef="#br0" timeOffset="5759.05">853 2245 7091,'0'0'15925,"0"-8"-15221,0 3-660,1-16 40,6 45-134,-6-15-6,6 27 274,12 39 0,-16-65-411,0 0 0,1 0 0,1-1 0,0 1 1,0-1-1,1 0 0,0 0 0,12 13 0,-16-21-1002,-2-18-12849</inkml:trace>
  <inkml:trace contextRef="#ctx0" brushRef="#br0" timeOffset="5911.86">902 2072 4626,'0'0'5971</inkml:trace>
  <inkml:trace contextRef="#ctx0" brushRef="#br0" timeOffset="7719.51">1182 2127 5987,'0'0'10762,"-12"-1"-10591,-41 1-67,51 1-93,0-1 0,0 1-1,0 0 1,0-1 0,0 1 0,0 0 0,1 0 0,-1 0 0,0 1 0,0-1-1,1 0 1,-1 1 0,1-1 0,-1 1 0,1-1 0,-1 1 0,1 0 0,0 0-1,0-1 1,0 1 0,-1 3 0,-1 1 0,1-1 1,1 1-1,-1 0 0,1 0 0,-1 8 1,1-10-8,1 1 1,0 0-1,0 0 1,0 0-1,0-1 1,1 1-1,0 0 1,0 0-1,0-1 0,0 1 1,1 0-1,3 7 1,-1-7 12,0 0-1,0 0 1,1 0-1,0 0 1,-1-1-1,1 0 1,1 0 0,-1 0-1,6 3 1,40 19 70,-40-21-412,0 0 0,0 1 0,0 0 0,-1 0 0,0 1 0,-1 1 0,11 9 0,-18-15 233,0 1 0,0-1 0,-1 0 0,1 1 0,-1-1 0,1 1 0,-1-1 0,0 1 0,0 0 0,0 0 0,0-1-1,-1 1 1,1 0 0,-1 0 0,0 0 0,1 0 0,-1 0 0,-1 0 0,1 0 0,0-1 0,-1 1 0,1 0 0,-1 0 0,0 0 0,0-1 0,-2 5 0,1-4 99,0 0 1,0 0-1,0 0 0,0-1 0,-1 1 0,1-1 0,-1 0 0,0 0 0,1 0 0,-1 0 0,0 0 0,0 0 0,0-1 0,-1 1 0,1-1 0,0 0 0,0 0 0,-1 0 0,1-1 0,-1 1 0,-4 0 0,4-1 142,0 0-1,0 0 0,-1 0 1,1-1-1,0 1 0,0-1 1,0 0-1,0 0 0,0 0 1,0-1-1,0 1 0,0-1 1,0 0-1,0 0 0,1 0 1,-1-1-1,1 1 0,0-1 1,0 0-1,0 0 0,0 0 0,0 0 1,1-1-1,-1 1 0,1-1 1,0 1-1,0-1 0,0 0 1,1 0-1,-1 0 0,-1-7 1,3 11-137,0-1 0,0 1 1,0 0-1,0-1 0,0 1 1,0 0-1,0-1 1,0 1-1,0 0 0,0-1 1,1 1-1,-1 0 0,0-1 1,0 1-1,0 0 0,0 0 1,1-1-1,-1 1 0,0 0 1,0-1-1,0 1 1,1 0-1,-1 0 0,0 0 1,1-1-1,-1 1 0,0 0 1,0 0-1,1 0 0,-1 0 1,0 0-1,1-1 1,-1 1-1,0 0 0,1 0 1,-1 0-1,0 0 0,1 0 1,-1 0-1,0 0 0,1 0 1,-1 0-1,0 0 0,1 0 1,-1 0-1,0 1 1,1-1-1,-1 0 0,0 0 1,1 0-1,-1 0 0,0 0 1,0 1-1,1-1 0,-1 0 1,20 8-105,-7-1-311,-1 0 0,1-2 1,0 1-1,1-1 0,14 3 1,-25-7 387,0-1 0,1 1 0,-1-1 0,0 0 0,1 0 0,-1 0 0,1 0 0,-1 0 0,0-1 0,0 1 0,1-1 0,-1 0 0,0 0 0,0-1 0,0 1 0,0 0 0,0-1 0,0 0 0,0 0 0,0 0 0,-1 0 0,1 0 0,-1 0 0,1-1 0,-1 1 0,0-1 0,3-4 0,2-5 149,0-1 1,0-1-1,-1 1 0,-1-1 1,0 0-1,-1-1 1,4-25-1,-3-1 1495,-2-62 0,-4 100-1421,1 1 0,0-1 0,-1 0 0,1 1 0,-1-1 1,0 1-1,0 0 0,0-1 0,-2-2 0,-4 1 972,2 18-1168,4-2-6,0 1 0,0 0 0,2 0 0,-1 0-1,2-1 1,0 1 0,0 0 0,1-1 0,1 0 0,9 24 0,-10-30-42,0 0 0,0-1 1,0 1-1,1-1 1,-1 0-1,1 0 0,1 0 1,-1 0-1,1-1 1,-1 0-1,1 0 0,1 0 1,-1 0-1,0-1 1,1 0-1,0 0 1,0 0-1,0-1 0,0 0 1,0 0-1,0-1 1,0 1-1,14 0 0,-17-2 10,0 1 0,0-1 0,0 0 0,0 0-1,0 0 1,1 0 0,-1 0 0,0-1-1,0 0 1,0 1 0,0-1 0,0 0-1,0-1 1,0 1 0,0 0 0,-1-1-1,1 0 1,0 1 0,-1-1 0,0 0 0,1 0-1,-1-1 1,0 1 0,0 0 0,0-1-1,0 1 1,0-1 0,-1 0 0,1 0-1,-1 1 1,0-1 0,1 0 0,-2 0-1,1 0 1,1-5 0,3-19 64,0 0 0,-2 0 0,-1-1 0,-3-39 0,1 32 231,-6 17 257,6 18-517,0 0 0,0 0-1,0 0 1,0 1 0,0-1 0,0 0 0,0 0 0,-1 0 0,1 0 0,0 0 0,0 0 0,0 0 0,0 1 0,0-1 0,0 0 0,0 0-1,-1 0 1,1 0 0,0 0 0,0 0 0,0 0 0,0 0 0,-1 0 0,1 0 0,0 0 0,0 0 0,0 0 0,0 0 0,0 0 0,-1 0-1,1 0 1,0 0 0,0 0 0,0 0 0,0 0 0,0 0 0,-1 0 0,1 0 0,0 0 0,0-1 0,0 1 0,0 0 0,0 19-2,0 1 0,2-1 0,1 0 0,0 0 1,7 23-1,-8-36-125,0 0 0,0 0 0,1-1 0,-1 1-1,1-1 1,1 1 0,-1-1 0,1 0 0,-1 0 0,2 0 0,-1-1 0,0 0 0,1 1 0,0-2 0,0 1 0,0 0 0,0-1 0,1 0 0,-1 0 0,11 3 0,-11-4-183,0-1 0,0 0 0,0 0 0,1 0 0,-1-1 0,0 0 0,1 0 0,-1 0 0,0 0 0,6-2 0,-8 1 254,0 0 1,-1 0-1,1 0 0,-1 0 1,1 0-1,-1-1 0,1 1 1,-1-1-1,0 1 1,0-1-1,0 0 0,0 0 1,0 0-1,0 0 1,0 0-1,-1-1 0,1 1 1,-1 0-1,0-1 0,2-2 1,3-14 162,0-1-1,-1 0 1,-1 1 0,1-25-1,-3 26 554,1 0 0,0 0 0,1 1 0,0 0-1,13-29 1,-17 45-652,0 1 0,1 0 0,-1-1 0,0 1 0,0 0 0,1 0 0,-1-1 0,0 1 0,1 0 0,-1 0 0,0-1 0,1 1 0,-1 0 0,0 0 0,1 0 0,-1 0 0,0 0 0,1 0 0,-1 0 0,0 0 0,1-1 0,-1 1 0,0 0 0,1 0 0,-1 1 0,1-1 0,-1 0 0,0 0 0,1 0 0,-1 0 0,0 0 0,1 0 0,-1 0 0,0 1 0,1-1 0,-1 0 0,0 0 0,1 0 0,-1 1 0,0-1 0,0 0 0,1 0 0,-1 1 0,0-1 0,0 0 0,1 1 0,-1-1 0,0 0 0,0 1 0,0-1 0,0 1 0,14 18-282,-13-17 372,7 11-150,-7-10-22,-1-1-1,1 0 1,0 0-1,0 0 1,0 0-1,1-1 1,-1 1-1,0 0 1,1 0-1,-1-1 1,1 1-1,0-1 0,-1 1 1,1-1-1,0 0 1,0 1-1,0-1 1,0 0-1,0 0 1,0-1-1,0 1 1,0 0-1,0-1 1,4 1-1,-7-36 314,0 33-227,0 0-1,0 0 1,0 0-1,-1 1 1,1-1-1,0 1 1,-1-1-1,1 1 1,-1 0-1,0-1 1,1 1-1,-1 0 1,0 0-1,0 0 1,1 0-1,-1 0 1,0 1-1,0-1 1,0 1-1,0-1 1,0 1-1,0-1 1,0 1-1,-1 0 1,-2 0-1,2 0-1,0 0-1,1 0 1,-1 0 0,0 0 0,0 0-1,0 1 1,0-1 0,0 1 0,0-1-1,1 1 1,-1 0 0,0 1-1,1-1 1,-1 0 0,1 1 0,-1-1-1,-3 4 1,3 0-14,0 0 0,0 0 0,0 1 0,1-1 0,0 1 0,0 0 0,1 0 0,-1 0 0,1-1-1,0 1 1,1 0 0,0 0 0,0 0 0,0 0 0,0 0 0,1 0 0,0 0 0,0 0 0,3 7 0,-3-9-73,1 0 1,-1 0 0,1 0-1,0 0 1,0-1-1,0 1 1,0 0-1,1-1 1,-1 0-1,1 1 1,0-1-1,0 0 1,0 0-1,0-1 1,1 1-1,-1-1 1,1 0 0,0 0-1,-1 0 1,1 0-1,0 0 1,0-1-1,0 0 1,0 0-1,0 0 1,1 0-1,7 0 1,-11-1 45,1 0 1,0 0 0,-1-1-1,1 1 1,0 0-1,-1-1 1,1 1-1,-1-1 1,1 0-1,-1 1 1,1-1-1,-1 0 1,1 0 0,-1 0-1,0 0 1,0 0-1,1 0 1,-1 0-1,0-1 1,1-1-1,1-1 12,-1 0 0,0 0 0,0 0 0,0 0-1,-1 0 1,1-1 0,0-6 0,1-8 433,0 0 0,-2-33-1,-1 47-203,1-5 289,-1-25 1068,0 35-1495,0-1 0,0 0 1,0 0-1,0 0 0,0 1 0,0-1 1,-1 0-1,1 0 0,0 1 0,0-1 0,0 0 1,-1 0-1,1 1 0,0-1 0,-1 0 1,1 1-1,-1-1 0,1 1 0,-1-1 1,1 0-1,-1 1 0,1-1 0,-1 1 1,0-1-1,1 1 0,-1 0 0,0-1 1,1 1-1,-1 0 0,0-1 0,0 1 1,0 0-1,0 2-91,-1 1 0,1 0 0,0 0 1,1 0-1,-1 0 0,0 0 0,1 1 0,0-1 0,0 0 1,0 3-1,0-5 11,-1 7-3,1 1 0,1-1 0,-1 0 1,2 1-1,-1-1 0,1 0 0,0 0 0,1 0 0,5 12 0,-7-17-74,1 0 0,0 0 0,0 0 0,0 0 0,0 0 0,1 0 0,-1-1 0,1 1 0,0-1-1,-1 0 1,1 1 0,0-1 0,0-1 0,1 1 0,-1 0 0,0-1 0,1 0 0,-1 1 0,0-1 0,1-1 0,0 1 0,-1 0-1,1-1 1,5 0 0,-8 0 60,1 0 0,-1-1 0,1 1 0,-1 0 0,1-1 0,-1 0 0,0 1 0,1-1 0,-1 0 0,0 0 0,1 0 0,-1 1 0,0-2 0,0 1 0,0 0 0,0 0 0,0 0 0,0 0 0,0-1 0,0 1 0,0 0 0,-1-1 0,1 1 0,0 0 0,0-3 0,12-43 81,-11 35-90,6-21 43,-2 1 0,-2-1 0,1-51 0,-5 72 37,0 0 0,-1-1 1,0 1-1,-1 0 0,-1 0 0,0 0 1,0 0-1,-1 0 0,-1 1 0,0 0 0,0 0 1,-11-16-1,14 24 13,1 2-13,0-1 0,1 1 0,-1 0 0,0 0 0,0 0 0,0-1 0,0 1-1,-1 0 1,1 0 0,0 0 0,0 1 0,-1-1 0,1 0 0,0 0 0,-1 1-1,1-1 1,-3 0 0,4 18 81,1 5-107,1 0 0,2 0-1,0 0 1,1-1 0,1 0-1,1 0 1,18 36 0,-1-4-201,61 97 0,-85-149-51,1-1 1,-1 1 0,1-1 0,-1 1 0,1-1-1,-1 1 1,1-1 0,-1 1 0,1-1 0,0 0 0,-1 1-1,1-1 1,0 0 0,-1 1 0,1-1 0,0 0-1,-1 0 1,1 0 0,0 0 0,0 0 0,-1 0 0,1 0-1,0 0 1,0 0 0,-1 0 0,1 0 0,0 0-1,-1 0 1,1 0 0,0-1 0,1 0 0,10-5-6677</inkml:trace>
  <inkml:trace contextRef="#ctx0" brushRef="#br0" timeOffset="8777.5">2657 1811 2385,'0'0'17563,"-1"-7"-16659,-3-1-690,2 7-90,-1 17-49,4 27 43,3-25-68,0-2-1,2 1 1,0 0-1,1-1 1,0 0 0,2-1-1,0 0 1,0 0-1,1-1 1,1 0-1,21 21 1,-31-34-47,0 0 0,0 0 0,0 0-1,0-1 1,0 1 0,0 0 0,0 0 0,0-1 0,0 1 0,0-1-1,0 1 1,1-1 0,-1 1 0,0-1 0,0 0 0,3 1 0,-4-2 1,1 1 1,-1 0-1,1 0 1,-1 0 0,1-1-1,-1 1 1,1 0-1,-1-1 1,1 1 0,-1-1-1,1 1 1,-1 0-1,1-1 1,-1 1 0,0-1-1,1 1 1,-1-1-1,0 1 1,0-1 0,1 1-1,-1-1 1,0 1-1,0-1 1,1-1 0,0-5 44,0 0 0,-1-1 0,1 1 1,-2-12-1,1 8-13,-3-13-11,0 1 0,-2 0 0,0 0 0,-1 0 1,-2 1-1,-15-34 0,-9-25 1,27 61 17,0 1 0,0-1-1,2 0 1,1 0 0,0-30-1,2 49-42,1 0 0,0 0-1,-1 0 1,1 0-1,0 0 1,0 1-1,0-1 1,0 0-1,0 0 1,0 1-1,0-1 1,0 1-1,0-1 1,0 1 0,1 0-1,-1-1 1,0 1-1,0 0 1,0 0-1,0 0 1,1 0-1,-1 0 1,0 0-1,0 0 1,0 0-1,0 0 1,2 1 0,38 4-172,-33-1 174,0 0-1,-1 1 0,1-1 0,-1 2 0,0-1 0,0 1 0,0 0 0,-1 0 0,11 14 0,-9-10-2,-1 1 0,0 0 0,0 0 0,-1 0-1,-1 1 1,6 15 0,-7-10-106,-1 1 0,0-1 0,-2 1 0,0 32 0,-1-50 103,0 1-1,0 0 0,0 0 0,0 0 0,0 0 1,0-1-1,0 1 0,0 0 0,0 0 0,-1 0 0,1 0 0,0 0 0,0 0 0,-1-1 0,1 1 0,-1 0 0,1 0 1,-1 0-1,1-1 0,-1 1 0,1 0 0,-1-1 0,0 1 0,1 0 0,-1-1 0,0 1 0,0-1 0,1 1 0,-1-1 0,0 1 1,0-1-1,-1 1 0,2-1 101,-1-5-53,0 0 1,1 1 0,-1-1 0,1 1-1,0-1 1,0 0 0,2-5-1,4 8-64,0 0 1,0 0-1,0 1 0,0-1 0,0 1 0,0 1 1,0-1-1,0 1 0,1 0 0,-1 1 0,0 0 1,0 0-1,0 0 0,11 4 0,-13-3 17,1 1 0,-1 0 0,1 1 0,-1-1 0,0 1 0,-1-1 0,1 1 0,-1 0 0,1 1 0,-1-1 0,0 1 0,-1-1 0,1 1 0,-1 0 0,0 0 0,0 0 0,0 0 0,-1 0 0,0 0 0,0 1 0,0-1 0,-1 0 0,0 1 0,0-1 0,0 0 0,0 1 0,-3 8 0,1-11 18,0 0 0,0 0 0,0 0 0,-1 0 0,1-1 0,-1 1 0,0-1 0,0 1 0,0-1 0,0 0-1,0 0 1,0 0 0,-1 0 0,1-1 0,-1 0 0,1 1 0,-1-1 0,-4 0 0,-5 3-757,0-2 0,0 1-1,-26 0 1,64-10-8512,8-5 3210</inkml:trace>
  <inkml:trace contextRef="#ctx0" brushRef="#br0" timeOffset="10316.1">3290 1765 912,'0'0'18950,"-12"-16"-17832,-36-48-355,47 63-744,0-1 0,0 1-1,-1-1 1,1 1 0,-1 0 0,1-1-1,-1 1 1,1 0 0,-1 0 0,0 0-1,-3-1 1,5 1-13,-1 1 1,0 0-1,1 0 1,-1 0-1,0 0 0,1 0 1,-1 0-1,0 0 1,1 0-1,-1 0 0,0 0 1,1 1-1,-1-1 1,0 0-1,1 0 0,-1 1 1,0-1-1,1 0 1,-1 1-1,1-1 0,-1 1 1,-1 0 1,1 1 1,-1 0-1,1 0 1,0 0-1,-1-1 1,1 1-1,0 0 1,1 0-1,-1 1 1,-1 1-1,0 6-28,-1 0-1,2 0 1,-1 0-1,1 1 1,1-1-1,0 0 1,0 0-1,1 0 1,0 1-1,1-1 1,0 0 0,4 10-1,-5-15 7,1-1 0,0 1 0,1 0 0,-1-1 0,1 1 0,0-1-1,0 0 1,0 0 0,0 0 0,1 0 0,0-1 0,0 1 0,0-1 0,0 0 0,0 0 0,1 0 0,-1-1 0,1 0-1,0 0 1,-1 0 0,1 0 0,0-1 0,0 1 0,0-1 0,9 0 0,-11-1 11,0 1-1,-1-1 1,1 0 0,0-1 0,0 1 0,0 0-1,0-1 1,0 0 0,0 1 0,0-1 0,0-1-1,-1 1 1,1 0 0,0 0 0,-1-1 0,1 0-1,-1 1 1,4-4 0,-3 1 8,0 0 1,0 0-1,0 0 0,0 0 0,-1-1 1,0 1-1,0-1 0,0 1 1,0-1-1,1-6 0,1-12 244,-1 0-1,-1-1 0,-1-43 1,-1 44 174,-1 21 264,1 9-285,1 25-198,-1-25-224,0 0 0,1 0-1,0 0 1,1 0 0,-1 0 0,2 0 0,-1 0-1,0 0 1,5 7 0,-4-11-28,0 0 1,-1 0-1,2 0 1,-1 0-1,0 0 1,1-1-1,-1 1 0,1-1 1,-1 0-1,1 0 1,0-1-1,0 1 1,0-1-1,0 0 1,0 0-1,0 0 0,1 0 1,-1-1-1,0 0 1,0 0-1,1 0 1,-1 0-1,0 0 0,0-1 1,0 0-1,0 0 1,0 0-1,0-1 1,0 1-1,0-1 0,0 0 1,0 0-1,-1 0 1,1 0-1,-1-1 1,1 0-1,-1 1 0,0-1 1,0 0-1,3-5 1,-1-3 89,0 1 0,-1-1 0,-1 0 0,0 0 0,0 0 0,-1 0 0,-1-1 0,0 1 0,0 0 1,-1-1-1,-1 1 0,-2-18 0,2 21 113,-1 1 0,0 0 0,-1 0 0,1 0 0,-1 0 0,-1 0 0,1 0 0,-7-8 0,9 14 104,1 6-277,1 0 0,-1 0 0,1-1 1,0 1-1,0 0 0,0-1 0,1 1 1,0-1-1,0 1 0,0-1 0,0 0 0,6 8 1,2 0 22,1 0 0,19 17 0,-22-24-1,-1 1 1,0 1 0,-1 0 0,1-1 0,-1 2 0,-1-1 0,1 1-1,-1 0 1,-1 0 0,7 14 0,-11-21-27,1 1 0,0-1 0,-1 0 1,0 0-1,1 0 0,-1 0 0,0 1 0,1-1 0,-1 0 0,0 0 1,0 0-1,0 1 0,0-1 0,0 0 0,0 0 0,-1 1 0,1-1 0,0 0 1,-1 0-1,1 0 0,-1 0 0,1 1 0,-1-1 0,1 0 0,-1 0 1,0 0-1,1 0 0,-1 0 0,0 0 0,0-1 0,0 1 0,0 0 1,0 0-1,0 0 0,0-1 0,-1 1 0,-3 1-16,0-1 0,-1 0-1,1-1 1,0 1 0,-1-1 0,1 0-1,-6-1 1,-5 1 38,13 0 1,0 0 0,0 0 0,0-1 0,0 1 0,0-1 0,0 1 0,0-1 0,0 0 0,0 0 0,0 0 0,0-1 0,-2-1 0,3 2 5,1-1-1,-1 1 1,1 0 0,0-1 0,0 1-1,-1-1 1,1 1 0,0-1 0,0 1-1,1-1 1,-1 0 0,0 0-1,0 1 1,1-1 0,-1 0 0,1 0-1,0 0 1,-1 0 0,1 0 0,0-3-1,0 5-162,8 1 55,-1 0-1,0 0 1,0 0 0,0 1 0,12 5-1,26 5-1463,-38-11 1237,0 0-1,0-1 0,0 0 1,0-1-1,0 0 1,0 0-1,0 0 1,0-1-1,0 0 0,7-3 1,-8 3 295,-1-1-1,0 0 1,1-1 0,-1 1-1,-1-1 1,1 0 0,-1 0 0,1-1-1,-1 1 1,0-1 0,-1 0 0,1 0-1,-1 0 1,0 0 0,0-1-1,-1 1 1,1-1 0,2-11 0,0-7 694,-2-1 1,0 0-1,-2 1 1,-2-43-1,0 16 2168,-6 54-2395,4 11-441,0 1 1,1 0 0,1-1-1,0 1 1,1 0 0,1 0 0,0 0-1,1 0 1,1-1 0,4 16 0,-4-21-60,1-1 0,0 1 0,0-1 0,1 0 0,-1 0 0,2 0 0,7 8 0,-10-13 22,0 1 0,0-1 0,1 0 0,-1 0 0,1-1 0,0 1 1,0-1-1,0 1 0,0-1 0,0-1 0,1 1 0,-1 0 0,1-1 0,-1 0 0,1 0 0,5 0 0,-6 0 11,0-1 0,-1 0 0,1 0 0,-1 0 1,1 0-1,0-1 0,-1 0 0,1 1 0,-1-1 0,1 0 0,-1-1 0,0 1 0,1-1 0,-1 1 0,0-1 0,0 0 0,0 0 0,0 0 0,0-1 0,-1 1 0,1-1 0,-1 1 0,1-1 0,-1 0 0,0 0 0,0 0 0,0 0 1,-1 0-1,1-1 0,-1 1 0,0 0 0,2-7 0,12-33 677,-3-1 0,-1 0 0,9-90 0,-17 131-124,2 8-231,12 19-194,9 11-363,-26-35 290,0-1-11,1-1-1,-1 0 1,0 1-1,0-1 1,-1 0-1,1 0 1,0 1-1,-1-1 1,1 0-1,-1 1 1,1-1-1,-1 1 1,0-1-1,1 1 1,-1-1-1,0 1 1,0-1-1,0 1 1,0 0-1,-2-3 1,0 3-9,1 0 0,0 1 0,0-1 0,-1 0 0,1 1 1,-1-1-1,1 1 0,0 0 0,-1 0 0,1 0 0,-1 0 0,1 0 0,-1 0 0,-3 1 0,4 0-1,1 0-1,-1 0 0,1 0 0,-1 0 1,1 0-1,-1 0 0,1 0 0,0 0 1,-1 1-1,1-1 0,0 0 0,0 1 1,0-1-1,0 1 0,0-1 1,0 1-1,1 0 0,-1-1 0,0 1 1,1 0-1,0-1 0,-1 1 0,1 2 1,-7 44-1,6-37 19,1 1 0,-1-1 0,2 1 0,0-1 0,4 23 0,-3-30-22,-1 0 1,1 0-1,0-1 1,0 1-1,0 0 1,0-1-1,1 1 1,0-1-1,-1 0 0,1 0 1,0 0-1,0 0 1,1 0-1,-1-1 1,1 1-1,-1-1 1,1 0-1,0 0 1,4 1-1,1 0 34,0 0 0,0 0 0,0-1-1,0-1 1,13 1 0,-20-1-24,0-1 0,0 1 1,0-1-1,1 0 0,-1 0 0,0 0 1,0 0-1,0-1 0,0 1 0,0 0 0,1-1 1,-1 0-1,0 1 0,0-1 0,0 0 0,0 0 1,0 0-1,-1 0 0,1-1 0,0 1 1,0 0-1,-1-1 0,1 1 0,-1-1 0,1 0 1,1-3-1,-2 1-212,0 0 0,0 0 1,0 0-1,-1 0 0,0-1 0,1 1 1,-2 0-1,1 0 0,0 0 0,-2-6 0,-11-23-5280,-16-6-5279</inkml:trace>
  <inkml:trace contextRef="#ctx0" brushRef="#br0" timeOffset="10504.17">3655 1237 9476,'0'0'9189,"-17"-8"-22460</inkml:trace>
  <inkml:trace contextRef="#ctx0" brushRef="#br0" timeOffset="11327.84">4648 1585 5955,'0'0'10791,"-3"-3"-9892,-7-10-242,8 10-511,2 4-140,0 0 1,0-1-1,0 1 0,0 0 0,0 0 0,1 0 0,-1-1 0,0 1 0,0 0 0,1 0 0,-1-1 0,1 1 0,-1 0 0,0-1 0,1 1 0,-1 0 0,1-1 0,0 1 0,-1-1 0,1 1 0,-1-1 0,2 1 0,1 0 16,1 0-1,-1-1 1,1 0 0,-1 0-1,1 0 1,-1 0-1,0 0 1,1-1-1,-1 0 1,1 1 0,-1-1-1,0 0 1,1-1-1,-1 1 1,0 0 0,0-1-1,0 0 1,0 0-1,4-3 1,-3 0-23,1 0-1,-2-1 1,1 1 0,0-1-1,-1 1 1,0-1 0,0 0 0,-1 0-1,4-13 1,0-10 11,-1-1 0,-1 1 0,-2-1-1,-1 0 1,-3-38 0,1 50-8,0 0 153,0-1 0,-1 1 0,-1 0 1,-1 0-1,0 0 0,-2 1 0,0-1 0,-14-28 0,19 45-127,1 1 1,0 0 0,-1-1 0,1 1 0,0 0-1,-1-1 1,1 1 0,0 0 0,-1 0 0,1-1-1,0 1 1,-1 0 0,1 0 0,-1 0-1,1 0 1,0 0 0,-1 0 0,1 0 0,-1 0-1,1 0 1,-1 0 0,1 0 0,-1 0 0,1 0-1,0 0 1,-1 0 0,1 0 0,-1 0-1,1 0 1,0 0 0,-1 1 0,1-1 0,-1 0-1,1 0 1,0 0 0,-1 1 0,1-1 0,0 0-1,-1 1 1,1-1 0,0 0 0,0 1-1,-1-1 1,1 0 0,0 1 0,0-1 0,0 0-1,-1 1 1,1-1 0,0 1 0,0-1-1,0 1 1,0-1 0,0 0 0,0 1 0,0 0-1,-6 21 38,1 1 0,2-1 0,0 1 0,2 0 0,1 44 0,1-31-19,0 1 18,1-1-1,2 0 0,2-1 0,1 1 0,1-1 1,3 0-1,0-1 0,2 0 0,2-1 1,1-1-1,1 0 0,2-1 0,36 45 0,-50-70-55,1-1 1,-1 0-1,1 0 0,0 0 0,0-1 0,9 6 0,-14-10-3,0 1 1,0 0 0,0 0-1,1-1 1,-1 1-1,0-1 1,1 1-1,-1-1 1,1 0-1,-1 1 1,0-1-1,1 0 1,-1 0 0,1 0-1,-1 0 1,1 0-1,-1 0 1,0 0-1,1-1 1,-1 1-1,1 0 1,-1-1 0,0 1-1,1-1 1,-1 0-1,0 1 1,0-1-1,1 0 1,-1 0-1,0 0 1,0 0-1,0 0 1,0 0 0,0 0-1,0 0 1,0 0-1,-1 0 1,1-1-1,1 0 1,1-8 26,1 1 0,-1-1 0,-1 0 0,1 0 0,-2 0 0,2-20 0,-3 9-22,0-1 0,-4-26 0,2 38-6,1 1 0,-2 0 0,1 1 0,-1-1 0,-1 0 0,0 1-1,0 0 1,0 0 0,-1 0 0,-8-10 0,10 14-68,-1 0-1,0 0 1,0 0 0,0 0-1,0 1 1,0 0 0,-1-1-1,1 2 1,-1-1-1,0 1 1,0-1 0,0 1-1,0 1 1,0-1 0,-1 1-1,1 0 1,0 0 0,-9 0-1,13 1-90,1 0 0,-1 0 1,0 1-1,0-1 0,0 0 0,0 1 0,0-1 0,0 1 0,0-1 0,1 1 0,-1 0 1,0-1-1,0 1 0,1 0 0,-1 0 0,0-1 0,1 1 0,-1 0 0,1 0 1,-1 0-1,1 0 0,0-1 0,-1 1 0,1 0 0,0 0 0,-1 0 0,1 0 0,0 0 1,0 2-1,0-2-178,0 0 1,0 0 0,0 0-1,0 0 1,0 0 0,0 0 0,0 0-1,0 0 1,0 0 0,1 0-1,-1 0 1,0 0 0,1 0-1,-1 0 1,1 0 0,-1 0 0,1-1-1,-1 1 1,2 1 0,15 6-5789</inkml:trace>
  <inkml:trace contextRef="#ctx0" brushRef="#br0" timeOffset="12164.39">5137 1361 8708,'0'0'8580,"-8"-17"-7073,-25-49-544,33 64-917,-1 1 0,0-1-1,0 1 1,0-1-1,0 1 1,0 0-1,0-1 1,0 1 0,-1 0-1,1 0 1,0 0-1,-2-1 1,-8 2 144,7 1-146,1 0-29,0-1 0,1 1 0,-1 0-1,1 0 1,-1 0 0,1 0 0,0 0-1,-1 1 1,1-1 0,0 0 0,0 1-1,0 0 1,0 0 0,0 0-1,0 0 1,1 0 0,-1 0 0,0 0-1,1 0 1,0 0 0,-1 1 0,1-1-1,-1 5 1,-2 3 40,0 0 0,1 1 1,0-1-1,-2 18 0,3-17-38,1 1 0,0 0 0,1 0-1,1-1 1,-1 1 0,2 0 0,0-1 0,5 19 0,-5-26-10,-1 0 0,1 0 0,0-1 0,0 1 1,0-1-1,0 1 0,1-1 0,-1 0 0,1 0 1,0 0-1,0 0 0,0 0 0,0-1 0,1 0 1,-1 1-1,1-1 0,-1 0 0,1-1 0,0 1 0,0-1 1,-1 1-1,1-1 0,0 0 0,0-1 0,0 1 1,0-1-1,1 1 0,4-2 0,-5 1 10,1 0-1,-1-1 0,1 1 0,-1-1 1,1-1-1,-1 1 0,0 0 1,1-1-1,-1 0 0,0 0 1,0 0-1,0-1 0,-1 1 0,1-1 1,0 0-1,-1 0 0,0 0 1,0 0-1,0-1 0,0 1 1,0-1-1,-1 0 0,1 0 0,-1 0 1,0 0-1,0 0 0,2-8 1,-1 1 13,0 0 1,-1 0 0,0 0 0,0 0 0,-1-1-1,-1 1 1,0 0 0,0 0 0,-1-1-1,-4-16 1,-12-14 301,16 40-298,0 0-1,1 0 0,-1 1 0,0-1 1,-1 0-1,1 1 0,0-1 0,0 1 0,-1-1 1,1 1-1,-1-1 0,1 1 0,-1 0 1,0 0-1,1 0 0,-1 0 0,0 0 0,0 0 1,0 1-1,-2-2 0,3 3-40,1-1 0,-1 0 0,1 1 0,-1-1-1,1 0 1,-1 0 0,1 1 0,-1-1 0,1 1 0,-1-1 0,1 1 0,0-1-1,-1 1 1,1-1 0,0 1 0,-1-1 0,1 1 0,0-1 0,0 1 0,-1-1-1,1 1 1,0-1 0,0 1 0,0 0 0,0-1 0,0 1 0,0-1 0,0 1-1,0 0 1,-1 23 25,1-21-33,0 3-1,0 0 1,0-1-1,1 1 0,0 0 0,0-1 0,0 1 0,0 0 1,1-1-1,0 0 0,0 1 0,4 5 0,-3-7-29,-1-1 0,1 0-1,0 0 1,0 0 0,0 0-1,1-1 1,-1 1 0,0-1-1,1 0 1,0 0 0,0 0-1,-1-1 1,1 1 0,0-1-1,0 0 1,6 1 0,-4 0-143,1-1 1,-1 0-1,1 0 1,-1 0-1,1-1 1,0 0-1,-1 0 1,1-1-1,-1 0 1,8-2-1,-11 2 175,0 0 0,0-1-1,0 1 1,0-1 0,-1 0-1,1 0 1,0 0 0,-1 0-1,1 0 1,-1-1 0,0 1-1,0-1 1,0 1 0,0-1-1,0 0 1,-1 0 0,1 0-1,-1 0 1,1 0 0,-1 0-1,0-4 1,3-8 107,-1-1 1,-1 0-1,0 0 0,-1 0 1,-2-20-1,0 9 514,1 25-527,0 1 1,0-1-1,0 0 0,-1 1 1,1-1-1,-1 1 0,1-1 1,-1 1-1,0-1 0,1 1 1,-1-1-1,0 1 0,0 0 1,-2-3-1,3 4-71,0 0 0,-1-1 0,1 1-1,-1 0 1,1 0 0,0-1 0,-1 1 0,1 0 0,-1 0 0,1 0-1,-1 0 1,1-1 0,0 1 0,-1 0 0,1 0 0,-1 0 0,1 0 0,-1 0-1,1 0 1,-1 0 0,1 0 0,-1 0 0,1 1 0,0-1 0,-1 0-1,1 0 1,-1 0 0,1 0 0,0 1 0,-1-1 0,1 0 0,-1 0 0,1 1-1,0-1 1,-1 0 0,1 1 0,0-1 0,-1 0 0,1 1 0,0-1-1,0 0 1,-1 1 0,1-1 0,0 1 0,0-1 0,0 1 0,0-1 0,-1 0-1,1 1 1,0-1 0,0 1 0,0-1 0,0 2 0,-1 2-15,-1 0 0,1 1 0,-1-1 0,1 1 0,1-1 0,-1 1 0,1 0 0,0-1 0,0 1 0,0 0 0,0-1 0,1 1 0,0 0 0,0-1 0,0 1 0,0-1 0,1 0 0,4 8 0,-4-8-11,0-1-1,1 0 0,0 0 1,0 0-1,0 0 1,0 0-1,0 0 1,1-1-1,-1 0 1,1 1-1,0-1 0,-1-1 1,1 1-1,0 0 1,0-1-1,0 0 1,0 0-1,0 0 1,1-1-1,-1 1 0,4-1 1,-6 1-1,0-1 1,0 0 0,0 0-1,0 0 1,0 0-1,-1 0 1,1 0 0,0 0-1,0-1 1,0 1-1,0-1 1,0 0 0,-1 1-1,1-1 1,0 0-1,0 0 1,-1 0-1,1 0 1,-1 0 0,1 0-1,-1 0 1,1-1-1,1-1 1,-2-1 34,1 0 1,-1 0-1,1 0 0,-1-1 1,0 1-1,-1 0 0,1-1 1,-1 1-1,0-7 0,0-112 657,0 122-707,0 8-325,4 12-179,-1 0 1,2-1-1,0 0 1,2 0-1,0 0 1,14 25-1,-18-36-230,1-1-1,-1 1 0,2-1 0,-1 0 1,1 0-1,-1 0 0,11 9 1,13 3-4421</inkml:trace>
  <inkml:trace contextRef="#ctx0" brushRef="#br0" timeOffset="13301.55">6063 1212 2209,'0'0'15215,"-1"3"-15175,1 2-33,-1-1-1,1 1 1,0-1-1,0 1 1,1-1-1,-1 1 1,1-1-1,0 0 1,0 1-1,3 5 1,-4-9-6,1 0 0,-1 1 0,1-1 0,0 0 0,-1 0 0,1 1 0,0-1 0,0 0 0,0 0 0,0 0 0,0 0 0,0 0 0,0 0 0,0 0 0,0-1 0,1 1 0,-1 0 0,0 0 0,0-1 0,1 1 0,-1-1 0,0 1-1,1-1 1,-1 0 0,1 0 0,-1 1 0,1-1 0,-1 0 0,0 0 0,1 0 0,-1-1 0,1 1 0,-1 0 0,0 0 0,1-1 0,-1 1 0,0-1 0,1 1 0,-1-1 0,2 0 0,-2 0 2,1-1-1,-1 1 0,1 0 1,-1 0-1,1-1 1,-1 1-1,0-1 1,0 1-1,0-1 1,1 1-1,-2-1 1,1 0-1,0 1 1,0-1-1,0 0 1,0-3-1,7-35 78,-7 30-61,5-55 316,-3 0-1,-7-103 1,0 136 559,-10-49 0,1 21 1792,16 79-2500,1 0 0,1 1 0,12 30 0,80 152 78,8 15-990,-100-203-1295,-8-19-872,-9-16 1338,-5-1 1105,-1 1-1,-24-21 1,32 32 513,0 1-1,-1 1 0,0 0 0,-1 0 0,1 1 1,-18-7-1,29 14-45,-1-1 0,0 1 0,1-1 1,-1 1-1,0 0 0,1-1 0,-1 1 1,0 0-1,1-1 0,-1 1 0,0 0 1,0 0-1,1 0 0,-1 0 0,0 0 1,0 0-1,1 0 0,-1 0 0,0 0 1,0 0-1,1 0 0,-1 0 0,0 1 1,1-1-1,-1 0 0,0 0 0,0 1 0,1-1 1,-1 1-1,1-1 0,-1 0 0,0 1 1,1-1-1,-1 1 0,1 0 0,-1-1 1,1 1-1,-1-1 0,1 1 0,0 0 1,-1-1-1,1 1 0,0 0 0,-1-1 1,1 2-1,-1 3-6,1 0 0,0 0 1,0-1-1,1 1 0,-1 0 1,2 5-1,0-4-6,-1-1 0,1 1 0,1-1 0,-1 0 1,1 0-1,-1 0 0,2 0 0,-1 0 0,0-1 0,1 1 0,0-1 0,0 0 0,0 0 0,0 0 0,1-1 1,0 0-1,0 0 0,9 5 0,-3-3-240,-1 0 0,1-1 0,-1 0 0,1-1 1,0-1-1,0 1 0,0-2 0,19 2 0,-26-3 45,1 0 0,-1 0 0,0-1 0,0 1 0,0-1 0,0 0 0,0 0 0,0 0 0,0 0 0,0-1 0,0 0-1,0 0 1,-1 0 0,1 0 0,4-4 0,-4 2 141,0-1-1,-1 1 1,1-1-1,-1 0 1,0 0-1,-1 0 1,1 0-1,-1 0 1,0-1-1,2-10 1,1-3 616,-2 0 0,0 0 1,0-22-1,-6-57 5210,1 90-3479,0 17-1908,-1 17-589,4-5 267,1 1 0,0 0 0,2-1 0,11 37 0,38 83 178,-31-85-160,-13-31-74,-5-14 5,-1 0 0,2 0 1,-1-1-1,2 1 0,-1-1 0,1 0 0,11 12 1,-17-21 118,0-5 96,0-2-212,0-7-3,0 1 0,0 0-1,-1 0 1,-1 0 0,0 0 0,-1 0 0,-5-15 0,-68-188 295,66 180-240,2-1 0,2 1 0,1-2 0,0-45 0,5 81-68,0 1 0,0-1 1,0 1-1,0-1 0,0 0 0,0 1 0,0-1 1,0 1-1,1-1 0,-1 1 0,0-1 1,0 0-1,1 1 0,-1-1 0,0 1 0,1-1 1,-1 1-1,0-1 0,1 1 0,-1 0 0,1-1 1,-1 1-1,1-1 0,-1 1 0,1 0 1,-1-1-1,1 1 0,0 0 0,20 0 15,-17 1-26,0 0 1,0 0-1,0 0 1,-1 1-1,1 0 1,0 0 0,-1 0-1,7 5 1,-3 1 9,0 1 1,0-1 0,-1 2 0,0-1-1,-1 1 1,0 0 0,0 0-1,-1 0 1,4 17 0,-3-5-96,-1-1 0,-1 0 0,0 44 0,-3-62-52,-1 1 1,1 0-1,-1 0 1,1-1-1,-1 1 1,0-1-1,0 1 1,-1 0-1,1-1 1,-1 0-1,0 1 1,0-1-1,-3 4 1,3-5-504,1 0 0,-1 0 0,0-1 0,0 1 1,0 0-1,0-1 0,0 0 0,0 1 0,-1-1 0,1 0 0,0 0 1,-5 1-1</inkml:trace>
  <inkml:trace contextRef="#ctx0" brushRef="#br0" timeOffset="14871.42">6761 985 11621,'0'0'10888,"-2"1"-10325,1-1-562,0 1 0,0 0 0,0 0 0,0 0 0,1 0 0,-1 0 1,0 0-1,1 1 0,-1-1 0,1 0 0,-1 0 0,1 0 0,0 0 0,-1 1 0,1-1 0,0 0 0,0 0 0,0 1 1,0-1-1,0 0 0,0 0 0,0 1 0,1-1 0,-1 0 0,0 0 0,1 2 0,12 43 73,-10-37-41,5 20 17,14 44 76,58 130-1,-80-201-162,0-9 96,-2-35-18,-3 0 0,-1 0 1,-20-68-1,16 73-27,3 0 0,1 0 0,1 0-1,3-1 1,2-55 0,0 93-19,0-1 0,1 1 0,-1-1 0,0 0-1,0 1 1,1-1 0,-1 1 0,0-1 0,1 1 0,-1-1 0,1 1 0,-1-1 0,1 1 0,-1 0-1,1-1 1,-1 1 0,1 0 0,-1-1 0,1 1 0,-1 0 0,1-1 0,-1 1 0,1 0 0,0 0 0,-1 0-1,1 0 1,-1 0 0,1 0 0,0 0 0,-1 0 0,1 0 0,-1 0 0,1 0 0,0 0 0,-1 0 0,1 0-1,0 1 1,2-1-3,-1 0 0,0 1-1,1-1 1,-1 1-1,1 0 1,-1 0 0,0 0-1,0 0 1,3 2-1,1 3 18,1 1 0,-2-1 0,1 1 0,-1 1 0,0-1 0,0 1 0,-1-1 0,5 12 0,1 6-31,11 39 1,-17-44-334,0-1 1,-2 1 0,0 0 0,-1 25-1,-2-42 222,1 0 0,-1 0 0,0 0 0,0 0 0,0 0 0,0 0 0,-1-1 0,1 1-1,-1 0 1,1-1 0,-1 1 0,0-1 0,0 1 0,0-1 0,-1 0 0,1 0 0,-4 3 0,5-4 102,0 0 1,-1 0 0,1 0-1,0 0 1,0-1 0,-1 1-1,1 0 1,0-1 0,-1 1-1,1-1 1,0 1 0,-1-1 0,1 0-1,-1 0 1,1 1 0,-1-1-1,1 0 1,-1 0 0,1 0-1,0-1 1,-1 1 0,1 0 0,-1 0-1,1-1 1,-1 1 0,1-1-1,0 1 1,-1-1 0,1 0-1,0 0 1,0 1 0,0-1 0,-1 0-1,1 0 1,0 0 0,0 0-1,0 0 1,-1-2 0,-2-4 217,1 1 1,0 0-1,0-1 1,1 0-1,0 1 1,0-1-1,0 0 0,1 0 1,0-1-1,0-9 1,3 21-307,0-1-1,0 1 1,1 0-1,-1-1 1,1 0 0,0 1-1,0-1 1,0 0-1,0-1 1,1 1 0,5 3-1,-6-4-19,-1 0-1,1 0 1,-1 0 0,1 0-1,-1-1 1,1 0-1,0 1 1,0-1-1,0 0 1,0 0 0,0 0-1,0-1 1,0 1-1,0-1 1,0 0-1,0 0 1,0 0 0,0 0-1,0 0 1,0-1-1,0 1 1,0-1-1,0 0 1,0 0 0,0 0-1,0 0 1,-1 0-1,1-1 1,0 1-1,-1-1 1,1 0 0,-1 1-1,0-1 1,1-1-1,-1 1 1,0 0-1,0 0 1,0-1 0,-1 1-1,1-1 1,1-3-1,5-10 127,-2 1 0,0-1-1,-1-1 1,0 1 0,-1-1 0,-1 0-1,1-30 1,-5-119 1543,1 160-1444,-1-6 278,0 0-1,0 0 1,-1 0-1,-1 0 1,0 0 0,-1 0-1,0 1 1,0-1-1,-1 1 1,-1 1-1,0-1 1,0 1-1,-1 0 1,-9-10-1,16 20-334,0 0 0,0-1 0,0 1 0,0 0 0,0 0 0,-1 0 0,1 0 0,0 0 0,0-1 0,0 1 0,0 0 0,0 0 0,-1 0 0,1 0 0,0 0 0,0 0 0,0 0 0,0 0 0,-1 0 0,1-1 0,0 1 0,0 0 0,0 0 0,-1 0 0,1 0 0,0 0 0,0 0 0,0 0 0,-1 0 0,1 0 0,0 1 0,0-1 0,0 0 0,-1 0 0,1 0 0,0 0 0,0 0 0,0 0 0,0 0 0,-1 0 0,1 0 0,0 1 0,0-1 0,0 0 0,-4 12 305,3 24-597,2-30 400,0 20-118,1-1 0,1 1-1,1-1 1,14 41 0,0-13 19,26 54 1,-39-96-103,0 0-1,0-1 1,2 1-1,-1-1 1,10 11 0,-13-18 40,0 0 1,0-1-1,0 1 1,0-1-1,1 1 1,0-1 0,-1 0-1,1 0 1,0 0-1,0-1 1,0 1-1,0-1 1,0 0-1,0 0 1,0-1-1,0 1 1,8-1 0,-9 0 13,-1-1 0,1 1 1,-1-1-1,0 0 1,0 0-1,1 0 1,-1 0-1,0 0 1,0 0-1,0-1 1,0 1-1,0-1 1,0 1-1,-1-1 1,1 0-1,0 0 1,-1 0-1,1 0 1,-1 0-1,0 0 1,0 0-1,0 0 1,0-1-1,1-2 1,3-8-28,-1 0-1,6-27 1,-6 10 111,-1-1 0,-2-58 0,-2 44 46,-4 7 500,4 37-595,1 0-1,0 0 1,-1 0 0,1-1-1,-1 1 1,1 0-1,-1 0 1,1 0 0,-1 0-1,0 0 1,0 0 0,1 1-1,-1-1 1,0 0-1,0 0 1,0 0 0,0 1-1,0-1 1,0 0 0,0 1-1,0-1 1,0 1-1,0 0 1,0-1 0,0 1-1,-1 0 1,-1-1-1,3 1-25,-1 1 0,0-1 0,1 1 0,-1-1 0,1 0 0,-1 1 0,1-1 0,-1 1 0,1 0 0,-1-1 0,1 1 0,-1-1 0,1 1 0,0 0 0,0-1 0,-1 1 0,1-1 0,0 1 0,0 0 0,-1 0 0,1-1 0,0 1 0,0 0 0,0-1 0,0 1 0,0 1 0,-1 24 3,1-23-1,0 16 23,1 0 0,1 0 0,0 0-1,2-1 1,7 28 0,-9-39-162,1 0 0,0 0 0,0-1 0,1 1 0,-1-1 0,1 1 0,1-1-1,-1-1 1,1 1 0,0 0 0,0-1 0,1 0 0,-1 0 0,1-1 0,0 0 0,1 0 0,6 3 0,-10-5 51,0-1 0,0 1 0,0-1 0,0 0 0,0 0 0,0-1 0,0 1 0,0-1 0,0 1 0,1-1 0,-1 0 0,0 0 0,0 0 0,0-1 0,0 1 0,1-1 0,-1 0 0,0 0 0,0 0 0,0 0 0,0 0 0,-1-1 0,1 1 0,0-1 0,0 0 0,-1 0 0,1 0 0,-1 0 0,0 0 0,1 0 0,-1-1 0,0 1 0,-1-1 0,1 0 0,0 1 0,-1-1 0,1 0 0,1-5-1,2-6 84,0 0 1,0-1-1,-1 0 0,-1 0 0,2-22 0,-2-76 270,-3 86-71,-2 8 2125,3 21-2271,-1 0-1,1 0 0,-1 0 1,1 0-1,0 0 0,0 0 1,0 0-1,0 0 0,0 0 0,0-1 1,3 4-1,5 5-3,-8-8-200,1 1 1,0-1-1,-1 0 1,1 0-1,0 0 1,0 0 0,1 0-1,-1 0 1,0 0-1,1-1 1,-1 1 0,1-1-1,-1 0 1,1 0-1,0 0 1,-1 0-1,1 0 1,3 0 0,-5-3 159,0-1 1,-1 0 0,1 1 0,0-1-1,-1 0 1,0 1 0,1-1-1,-1 0 1,0 1 0,-1-6-1,1 5 69,0 1-22,0 1 0,0-1 0,0 0 0,0 1-1,-1-1 1,1 1 0,0-1 0,-1 1 0,1-1 0,-1 1 0,0-1 0,1 1 0,-1-1 0,0 1 0,0 0 0,0-1 0,0 1 0,0 0 0,0 0 0,0 0 0,0-1 0,0 1-1,-1 1 1,1-1 0,0 0 0,-2-1 0,-2 1 78,1-1-1,-1 1 1,1 0-1,-1 0 1,1 1-1,-1-1 1,-8 1-1,12 0-125,0 1 0,-1-1 1,1 0-1,0 1 0,0-1 0,-1 1 0,1-1 0,0 1 0,0 0 0,0-1 1,0 1-1,0 0 0,0 0 0,0 0 0,0 0 0,0 0 0,1 0 0,-1 0 1,0 0-1,0 0 0,1 0 0,-1 0 0,1 1 0,-1-1 0,1 0 0,0 0 1,-1 1-1,1-1 0,0 2 0,-5 43 72,5-44-62,-1 18 21,1 0 1,1 0-1,1-1 0,1 1 1,0-1-1,9 28 1,-10-41-101,1-1 1,-1 1 0,1 0-1,-1-1 1,2 0 0,-1 0-1,0 0 1,1 0 0,0 0-1,0-1 1,1 0 0,-1 1-1,1-2 1,0 1 0,0 0-1,0-1 1,1 0 0,-1 0-1,1-1 1,-1 0 0,1 0-1,0 0 1,0 0 0,0-1-1,8 1 1,-7-1-544,0-1 0,0 1 0,-1-1 0,1 0 0,0-1 0,0 0 0,0 0 0,0-1 0,-1 1 1,1-1-1,-1-1 0,1 1 0,-1-1 0,0 0 0,8-6 0,17-13-3258</inkml:trace>
  <inkml:trace contextRef="#ctx0" brushRef="#br0" timeOffset="16869.58">7745 849 1617,'0'0'9834,"-6"-16"-7591,-19-51-634,24 64-1483,0 1-1,0 0 1,-1-1-1,1 1 1,0 0-1,-1 0 1,0 0-1,0 0 1,1 0 0,-1 0-1,0 0 1,0 1-1,-1-1 1,1 1-1,0-1 1,0 1-1,-1 0 1,1 0-1,-1 0 1,1 0 0,-1 0-1,1 1 1,-1-1-1,0 1 1,1 0-1,-1-1 1,1 1-1,-1 1 1,0-1-1,1 0 1,-4 1 0,-7 0 239,11-1-356,1 0 0,0 1-1,-1-1 1,1 1-1,-1 0 1,1-1 0,0 1-1,-1 0 1,1 0 0,0-1-1,0 1 1,0 0 0,0 0-1,0 1 1,0-1-1,0 0 1,0 0 0,0 0-1,0 1 1,0-1 0,1 0-1,-1 1 1,1-1-1,-1 1 1,1-1 0,-1 0-1,1 1 1,0-1 0,0 1-1,0 1 1,-4 52 25,4-50-24,0 3 5,0 0 0,1-1-1,0 1 1,0 0-1,0-1 1,1 1 0,0-1-1,1 0 1,0 0-1,0 0 1,8 13-1,-8-17-133,0 1-1,0 0 1,0-1-1,0 0 0,1 0 1,-1 0-1,1 0 0,0-1 1,0 1-1,0-1 1,0 0-1,1 0 0,-1-1 1,0 1-1,1-1 0,-1 0 1,1 0-1,-1 0 1,1-1-1,9 1 0,-13-1 95,1-1 0,0 1 0,0 0 0,0 0 0,-1-1-1,1 1 1,0-1 0,-1 1 0,1-1 0,-1 0 0,1 0 0,0 1-1,-1-1 1,0 0 0,1-1 0,-1 1 0,1 0 0,-1 0-1,2-3 1,-1 1 13,1-1 0,-1 0 0,0 0 0,-1 0 0,1 0 0,0 0 0,1-8 0,0-5 34,-1 0 0,-1 0 1,0-18-1,-1 34-24,0-85 1184,-3 74-397,-3 11-306,5 2-479,1 0-1,-1-1 1,0 1-1,0 0 1,1 0-1,-1 0 0,0-1 1,1 1-1,-1 0 1,1 0-1,-1 0 1,1 0-1,0 0 1,-1 0-1,1 0 1,0 0-1,0 0 1,0 2-1,-2 10-84,2 0 0,0 0 1,0 1-1,1-1 0,1 0 0,0 0 0,6 20 0,-6-29-158,0 1 0,0-1 0,0 0 0,0 0 0,1 0 0,-1 0 0,1 0 0,0 0 0,0-1 0,6 5 0,-6-5-191,1-1 0,-1 0-1,1 0 1,-1 0 0,1-1 0,0 1-1,-1-1 1,1 0 0,0 0 0,0 0 0,0 0-1,0-1 1,8 0 0,-11 0 376,1-1 0,-1 1 0,0-1 0,1 0 1,-1 0-1,0 0 0,0 1 0,0-1 0,0-1 0,0 1 0,0 0 0,0 0 0,0 0 0,0 0 1,0-1-1,-1 1 0,1 0 0,-1-1 0,1 1 0,-1 0 0,1-1 0,-1-1 0,13-41 21,-11 35-5,5-32 790,-2 0 0,-2 0 0,-2 0 1,-4-46-1,1 3 633,2 82-1271,0-9 407,0 1 0,-1 0 0,-2-14 0,3 22-411,-1 1 0,1-1 0,0 1 1,-1-1-1,1 0 0,-1 1 0,1-1 0,-1 1 0,0 0 0,0-1 0,1 1 0,-1-1 0,0 1 0,0 0 0,0 0 0,-1 0 1,1-1-1,0 1 0,0 0 0,-1 1 0,1-1 0,0 0 0,-1 0 0,1 0 0,-1 1 0,1-1 0,-1 1 0,1-1 0,-1 1 0,-2-1 1,3 2-100,0-1 0,0 0 0,-1 1 0,1-1 1,0 1-1,0 0 0,0-1 0,0 1 1,0 0-1,0 0 0,0-1 0,0 1 1,0 0-1,0 0 0,0 0 0,0 0 1,1 0-1,-1 0 0,0 0 0,1 1 0,-1-1 1,1 0-1,-1 0 0,1 0 0,0 1 1,-1 1-1,-6 36 115,5-21-87,1 1 0,1 0 0,1-1 1,1 0-1,0 1 0,2-1 0,0 0 0,1 0 0,0 0 1,2-1-1,0 0 0,1 0 0,0-1 0,2 0 0,0 0 0,17 20 1,-23-32-60,0 0-1,1-1 1,-1 1 0,1-1 0,0 0 0,0-1 0,0 1 0,0-1 0,0 0 0,0 0 0,1 0 0,8 1 0,-11-3-20,1 1 0,-1-1 0,1 1 0,0-1 0,-1 0 0,1 0-1,-1-1 1,1 1 0,-1-1 0,1 0 0,-1 0 0,1 0 0,-1 0 0,0 0 0,1-1 0,-1 0 0,0 1 0,0-1 0,0 0 0,3-3 0,-1-1-71,0-1 0,0 1 1,-1 0-1,0-1 0,-1 0 1,1 0-1,-1 0 0,0 0 0,-1-1 1,0 1-1,0-1 0,1-10 1,-1-4 119,-1 1 0,-1 0 0,-3-28 1,-4 23 166,7 25-114,-1 0-1,1 0 0,0 0 1,-1 0-1,1 0 0,-1 0 1,1 0-1,-1 1 0,0-1 1,1 0-1,-1 0 0,0 0 1,1 1-1,-1-1 0,0 0 1,0 1-1,0-1 0,0 1 1,1-1-1,-1 1 0,0-1 1,-2 0-1,2 4-65,0 1-1,0-1 1,0 0 0,1 0-1,-1 0 1,1 1 0,0-1-1,0 0 1,1 7-1,-1-4 8,1 6-93,1 0 0,0 0 0,1-1 0,0 1 0,1-1 0,0 1 0,1-1 0,0 0 0,1-1 1,0 1-1,1-1 0,0-1 0,0 1 0,12 11 0,-17-20 43,0 1 1,0 0-1,0-1 0,0 1 1,0-1-1,0 0 0,0 0 1,1 0-1,-1 0 0,0 0 1,1 0-1,-1-1 0,1 1 1,-1-1-1,1 1 0,-1-1 1,1 0-1,-1 0 0,1 0 0,-1-1 1,1 1-1,-1 0 0,5-2 1,-3 0 40,-1 0 0,0 0 0,1 0 0,-1-1 0,0 1 0,-1-1 0,1 1 0,0-1 0,-1 0 0,1 0 0,-1 0 0,0 0 0,0-1 0,2-5 0,9-20 60,11-41 1,-18 48 142,1 1 0,1-1 1,1 1-1,17-28 0,-25 47-144,0 0-1,1 0 1,-1 0 0,1 0-1,0 1 1,-1-1-1,1 0 1,0 1 0,0-1-1,0 1 1,0 0-1,4-2 1,-5 3-35,-1 0-1,1-1 1,0 1 0,0 0-1,0 0 1,0 0 0,-1 1 0,1-1-1,0 0 1,0 0 0,0 0-1,-1 1 1,1-1 0,0 0 0,0 1-1,-1-1 1,1 1 0,0-1 0,0 0-1,-1 1 1,1 0 0,-1-1-1,1 1 1,-1-1 0,1 1 0,-1 0-1,1-1 1,-1 1 0,1 0-1,-1 0 1,0-1 0,1 1 0,-1 0-1,0 0 1,0 0 0,1 1-1,1 4-313,0 0 0,1 1 0,0-1 0,0 0 0,1-1 0,0 1 0,0-1 0,0 1 0,0-1 0,8 6 0,-11-50-575,-3 36 996,1 1 0,-1-1 0,0 1 1,0 0-1,1 0 0,-1 0 0,0 0 0,-1 0 0,1 1 0,0-1 0,-1 0 0,1 1 0,0 0 0,-1 0 1,0-1-1,1 1 0,-1 1 0,-3-2 0,4 1-86,0 1-1,0-1 1,0 1-1,0-1 1,0 1 0,0 0-1,0 0 1,0 0 0,0 0-1,0 0 1,0 0 0,0 1-1,0-1 1,0 1 0,0-1-1,0 1 1,0 0-1,0 0 1,0 0 0,0 0-1,0 0 1,1 0 0,-1 0-1,0 1 1,-1 1 0,0 2-7,0 1 1,0-1 0,1 1 0,0 0-1,0 0 1,1-1 0,-1 1 0,1 1-1,0-1 1,1 8 0,2 63 114,-2-76-143,0 3 11,1 0 0,0 0 0,0 0 0,1-1 0,-1 1 0,1 0 0,0-1 0,0 1 1,0-1-1,0 1 0,1-1 0,-1 0 0,1 0 0,0 0 0,0 0 0,5 4 0,-5-5-12,-1-1-1,1 1 0,-1 0 0,1-1 0,-1 1 0,1-1 0,0 0 0,0 0 0,0 0 0,-1-1 0,1 1 0,0 0 0,0-1 0,0 0 0,0 0 0,0 0 0,0 0 0,0 0 0,0-1 0,0 1 0,0-1 0,0 0 0,4-1 0,-4 0-7,-1 0 0,1-1 0,-1 1 0,0 0 0,1-1 0,-1 1 0,0-1 0,-1 0 0,1 0 0,0 0 0,-1 0 0,0 0 1,1 0-1,-1 0 0,0 0 0,0-5 0,2-6 58,-1 1 0,1-24 0,-1 15-67,-1-42 659,-1 61-538,0-1-1,0 1 1,-1 0 0,1 0-1,-1 0 1,0 0-1,0 0 1,0 0-1,0 0 1,0 0 0,-1 1-1,1-1 1,-1 0-1,0 1 1,-3-4 0,5 5-102,0 1-1,-1 0 1,1-1 0,0 1 0,-1 0 0,1-1 0,0 1 0,-1 0 0,1 0 0,-1-1 0,1 1 0,-1 0 0,1 0 0,-1 0 0,1-1 0,-1 1-1,1 0 1,0 0 0,-1 0 0,1 0 0,-1 0 0,1 0 0,-1 0 0,1 0 0,-1 0 0,1 0 0,-1 1 0,1-1 0,-1 0 0,1 0-1,-1 0 1,1 0 0,-1 1 0,1-1 0,0 0 0,-1 1 0,1-1 0,-1 0 0,1 1 0,0-1 0,-1 0 0,1 1 0,0-1 0,0 1 0,-1-1-1,1 0 1,0 1 0,0-1 0,0 1 0,-1-1 0,1 1 0,0-1 0,0 1 0,0-1 0,0 1 0,0-1 0,0 2 0,-3 29-68,3-30 66,0 5-67,0 0 0,0 0-1,0 0 1,1 0 0,0 0-1,0 0 1,1 0 0,-1-1 0,1 1-1,1 0 1,-1-1 0,1 0-1,0 1 1,0-1 0,0 0-1,1-1 1,0 1 0,0-1 0,0 1-1,0-1 1,1 0 0,-1-1-1,1 1 1,10 5 0,-13-8 7,0 0 1,0 0-1,-1 0 0,1-1 1,0 1-1,0 0 0,0-1 1,0 0-1,0 1 1,0-1-1,0 0 0,0 0 1,0 0-1,0 0 1,0 0-1,0-1 0,0 1 1,0-1-1,0 1 0,0-1 1,0 0-1,0 1 1,0-1-1,-1 0 0,1 0 1,0 0-1,-1-1 0,1 1 1,0 0-1,-1-1 1,0 1-1,1-1 0,-1 1 1,0-1-1,0 0 0,0 1 1,0-1-1,1-3 1,3-7 230,-1 0 1,0 0 0,-1-1 0,-1 1 0,2-15-1,0 0 650,-4 26-706,0 0 0,0-1 0,0 1 1,1-1-1,-1 1 0,0 0 1,1-1-1,-1 1 0,1 0 0,0 0 1,-1-1-1,1 1 0,0 0 1,0 0-1,0 0 0,-1 0 0,1 0 1,0 0-1,0 0 0,3-1 1,-3 2-102,0 0 1,0 0 0,0 0 0,0 0 0,0 1 0,0-1 0,0 0 0,0 1 0,0-1 0,-1 1 0,1-1 0,0 1 0,0-1 0,0 1 0,0-1 0,0 1 0,-1 0 0,1 0 0,0-1 0,-1 1 0,1 0-1,0 0 1,-1 0 0,1 0 0,-1 0 0,0 0 0,1 1 0,7 12 25,-1 1-1,7 23 1,-10-26-184,0 0 0,1 0-1,0-1 1,1 1 0,9 11 0,-15-23 134,0 1 0,1 0-1,-1-1 1,0 1 0,1-1 0,-1 1 0,1-1-1,-1 1 1,1-1 0,-1 1 0,1-1-1,-1 1 1,1-1 0,-1 1 0,1-1-1,-1 0 1,1 0 0,0 1 0,-1-1 0,1 0-1,0 0 1,-1 0 0,1 1 0,0-1-1,-1 0 1,1 0 0,0 0 0,0 0-1,-1 0 1,1-1 0,0 1 0,-1 0 0,1 0-1,0 0 1,-1 0 0,1-1 0,-1 1-1,1 0 1,0-1 0,-1 1 0,1 0-1,-1-1 1,1 1 0,-1-1 0,1 1 0,-1-1-1,1 1 1,-1-1 0,1 1 0,-1-1-1,0 0 1,1 1 0,-1-1 0,0-1-1,3-2 35,-1-1-1,0-1 1,0 1-1,0 0 1,1-8-1,9-77 261,-7 51 705,12-56 1,-17 95-967,0 0 0,0 0 0,0-1 0,0 1 0,0 0 0,0-1 0,0 1 0,0 0 0,1 0 0,-1-1 0,0 1 0,0 0 0,0 0 1,0-1-1,0 1 0,0 0 0,1 0 0,-1-1 0,0 1 0,0 0 0,0 0 0,0-1 0,1 1 0,-1 0 0,0 0 0,0 0 0,1 0 0,-1-1 0,0 1 0,0 0 0,1 0 0,-1 0 0,0 0 0,0 0 0,1 0 0,-1 0 0,0 0 0,1 0 0,-1 0 0,9 10 95,1 17-224,-2-4 49,2 9-101,0 0 0,-3 0 0,5 36 0,-11-65-254,-2 8-1337,-19-7-10995</inkml:trace>
  <inkml:trace contextRef="#ctx0" brushRef="#br0" timeOffset="17069.07">8322 215 896,'0'0'12342,"0"70"-15463,0-44-4499</inkml:trace>
  <inkml:trace contextRef="#ctx0" brushRef="#br0" timeOffset="17319.3">7790 712 2785,'0'0'10661,"105"0"-10565,-60-10-32,2-3-64,4-2-1761,2-9-2897</inkml:trace>
  <inkml:trace contextRef="#ctx0" brushRef="#br0" timeOffset="17945.5">8761 114 6851,'0'0'10987,"2"0"-10110,32 0 55,12 0-329,51-6 0,-82 5-580,0-2 0,0 0 0,-1-1 1,1-1-1,-1 0 0,0-1 1,19-10-1,-30 14 110,0 1 0,0-1 0,0 0 1,0 0-1,-1-1 0,1 1 0,-1-1 0,1 1 0,-1-1 0,0 0 1,0 0-1,0 0 0,0 0 0,0 0 0,-1 0 0,1 0 1,-1-1-1,0 1 0,0-1 0,0 1 0,0-4 0,11 54 942,7 25-887,33 81 0,-4-14 117,-24-67-190,-13-43-61,-1 1-1,-1 0 1,-2 1 0,-1 0 0,3 47-1,-9-77-60,0 1 0,-1-1 0,1 1 0,0-1 0,-1 0 0,1 1 0,-1-1-1,0 0 1,1 0 0,-1 0 0,0 1 0,0-1 0,1 0 0,-1 0 0,0 0 0,0 0 0,0 0-1,-1 0 1,1-1 0,0 1 0,0 0 0,0 0 0,-1-1 0,1 1 0,0-1 0,0 1-1,-1-1 1,1 0 0,0 1 0,-1-1 0,-1 0 0,-9 2-259,0-1 1,-23 0 0,16-1-368,-35 2-1915,-5-1-2329</inkml:trace>
  <inkml:trace contextRef="#ctx0" brushRef="#br0" timeOffset="19317">287 2620 1569,'0'0'7128,"-3"-3"-6511,1 2-453,1 0 0,-1-1 1,0 1-1,1 0 0,-1 0 1,0 1-1,0-1 0,0 0 1,1 1-1,-1-1 1,0 1-1,0-1 0,0 1 1,0 0-1,0 0 0,0 0 1,0 0-1,0 0 0,0 0 1,0 1-1,0-1 0,0 1 1,0-1-1,0 1 1,1 0-1,-1-1 0,0 1 1,0 0-1,1 0 0,-1 0 1,0 1-1,1-1 0,0 0 1,-1 1-1,1-1 0,0 1 1,-3 2-1,-3 6-159,4-8-20,1 1 0,0-1-1,0 1 1,0 0-1,0-1 1,1 1-1,-1 0 1,1 0-1,0 0 1,0 0-1,0 0 1,0 0-1,0 0 1,0 5 4137,1-1-4292,2 3 218,1 1 0,0-1 1,0 1-1,1-1 1,0 0-1,10 17 0,-3-5 256,-5-11-270,20 47 463,47 72 0,-73-130-477,1 1 1,-1-1-1,0 0 1,1 0-1,-1 1 1,1-1 0,-1 0-1,1 0 1,-1 1-1,1-1 1,-1 0-1,1 0 1,-1 0 0,1 0-1,-1 0 1,1 0-1,-1 0 1,1 0-1,-1 0 1,1 0 0,-1 0-1,1 0 1,-1 0-1,1 0 1,-1 0-1,0-1 1,1 1 0,-1 0-1,1 0 1,-1 0-1,1-1 1,-1 1-1,1 0 1,-1-1 0,0 1-1,1 0 1,-1-1-1,0 1 1,1-1-1,-1 0 1,20-21 1251,-14 15-1064,11-9-339,1 1 0,0 1 1,1 1-1,1 0 0,0 1 0,34-14 0,-28 13-1378,-24 13 535,3-3-364</inkml:trace>
  <inkml:trace contextRef="#ctx0" brushRef="#br0" timeOffset="21755.7">1280 2985 688,'0'0'9114,"2"-17"-5254,5 15-3754,0 0 0,0 0 0,0 1 0,0 0 0,1 0 0,-1 1 0,13 0 1,18-1 82,65-11 439,111-28 1,56-8-481,-55 12-78,-168 26 123,0-3-1,64-25 0,424-155 2113,16-19 435,-480 186-2464,2 3 0,102-19 1,18-5 36,107-48-43,-22 5 49,-12 24 55,-141 37-276,190-59 140,-55 13-169,82-4 270,-205 48-210,77-21 113,17-2 9,-57 16-198,129-41-13,-260 69-20,1 2 0,1 2 0,50 0 0,-59 5-13,0-1 0,-1-2 0,1-1 0,-1-2 1,65-22-1,-84 23 20,65-29 3,147-40 1,-15 27 127,246-68-164,-431 106 0,1 1 0,-1 1 0,1 1 1,1 2-1,50-3 0,40 10 7,120-4 51,-211-6-40,-28 8-19,0 0 0,-1-1 0,1 1 0,0 0 0,0-1 0,-1 1 0,1-1 0,0 1 0,-1-1 0,1 1 0,0-1 0,-1 1 0,1-1 0,-1 0 0,1 1 0,-1-1 0,1 0 0,-1 0 0,0 1 0,1-1 0,-1 0 0,0 0 0,0 0 0,1 1 0,-1-1 0,0 0 0,0 0 0,0 0 0,0 0 0,0 0 0,-1 0-57,0 0 0,0 0 0,0 0 0,0 0 0,0 1 0,0-1 0,0 0 0,0 1 0,0-1 0,0 1 0,0-1 0,0 1 0,0-1 0,-1 1 0,1 0 0,0 0 0,0-1 0,-1 1 0,1 0 0,-2 0 0,-4 0-321,-91-20-5927,29 4-731</inkml:trace>
  <inkml:trace contextRef="#ctx0" brushRef="#br0" timeOffset="22321.55">7235 531 6675,'0'0'14551,"2"-15"-14039</inkml:trace>
</inkml:ink>
</file>

<file path=xl/ink/ink1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7:34.034"/>
    </inkml:context>
    <inkml:brush xml:id="br0">
      <inkml:brushProperty name="width" value="0.05" units="cm"/>
      <inkml:brushProperty name="height" value="0.05" units="cm"/>
      <inkml:brushProperty name="color" value="#00A0D7"/>
    </inkml:brush>
  </inkml:definitions>
  <inkml:trace contextRef="#ctx0" brushRef="#br0">368 204 2417,'0'0'14191,"-1"-9"-13380,1 3-661,-3-21 495,2 25-469,0 20-294,11 195-604,-7-178-82,-2 76-5711,-1-92 4992</inkml:trace>
  <inkml:trace contextRef="#ctx0" brushRef="#br0" timeOffset="511.81">172 61 4162,'0'0'8625,"-16"14"-7576,-53 46-422,64-55-521,0 0 1,1 0-1,0 0 0,0 1 1,0 0-1,0 0 1,1 0-1,0 0 1,1 0-1,-4 13 1,1-3 93,-4 12 83,1 1-1,1 0 1,2 0-1,-2 31 1,6-39-263,0 0 0,2 0 0,0 1 0,1-1 0,2 0 0,7 29 0,-7-39-31,0 0 0,0 0 0,2-1 1,-1 1-1,1-1 0,0 0 0,1-1 1,0 1-1,1-2 0,0 1 0,0-1 0,1 0 1,0 0-1,1-1 0,-1-1 0,18 9 1,-9-6 5,1-2 1,0 0 0,0-1 0,1-1-1,0-1 1,0-1 0,0 0-1,37-2 1,-42 0-20,0-2 0,0 0 1,-1-1-1,1 0 0,0-1 0,-1-1 0,0 0 0,19-9 0,-25 9 14,0 0-1,-1-1 0,1 0 0,-1-1 0,0 0 0,0 0 0,-1 0 0,0 0 0,0-1 0,-1 0 0,0-1 0,0 1 0,0-1 1,-1 0-1,4-11 0,0-2 16,-2 0 0,0-1 0,-2 0 0,0 0 0,-1-1 0,-2 1 0,0-1 0,-4-37 0,0 31 4,-2 0 0,0 0-1,-2 0 1,-2 1 0,0 0 0,-15-30-1,14 38 10,0 1 0,-1 1 0,-1 0-1,-17-22 1,24 35-17,0-1 0,0 1 0,-1 0 0,1 1 0,-1-1 0,0 1-1,-1 0 1,1 0 0,-1 1 0,1 0 0,-1 0 0,0 1 0,0-1 0,0 2 0,0-1 0,-11 0-1,7 1-83,0 0-1,0 1 1,0 1-1,0 0 1,0 0-1,0 1 1,0 1-1,0 0 1,1 0-1,-1 1 1,1 0-1,-15 10 1,-57 37-5789,47-28 277</inkml:trace>
</inkml:ink>
</file>

<file path=xl/ink/ink1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7:41.888"/>
    </inkml:context>
    <inkml:brush xml:id="br0">
      <inkml:brushProperty name="width" value="0.05" units="cm"/>
      <inkml:brushProperty name="height" value="0.05" units="cm"/>
      <inkml:brushProperty name="color" value="#00A0D7"/>
    </inkml:brush>
  </inkml:definitions>
  <inkml:trace contextRef="#ctx0" brushRef="#br0">210 174 2977,'0'0'12937,"1"-10"-11600,1-3-867,0 6-52,-1-1 1,0 0-1,-1 0 0,0 0 1,0 0-1,-1-8 0,0 15-390,1 0-1,-1 1 0,0-1 0,1 0 0,-1 1 1,1-1-1,-1 1 0,0-1 0,0 1 0,1-1 1,-1 1-1,0 0 0,0-1 0,0 1 0,1 0 0,-1 0 1,0-1-1,0 1 0,0 0 0,0 0 0,0 0 1,0 0-1,-1 0 0,-30 1-50,23-1 58,2 1-45,0-1 0,0 2 0,0-1 0,0 1 0,0 0 0,1 0 0,-1 1 0,1 0 0,-1 0 0,1 0 0,0 1 0,0 0 0,1 0 0,-1 0 0,1 1 0,0 0 0,0 0 0,1 0 0,-1 1 0,1 0 1,0 0-1,1 0 0,-1 0 0,1 0 0,0 1 0,1-1 0,0 1 0,0 0 0,0 0 0,1-1 0,0 1 0,0 0 0,1 12 0,0-17 0,0-1 0,1 1-1,-1 0 1,1 0 0,-1-1 0,1 1 0,0-1 0,0 1-1,-1-1 1,1 1 0,0-1 0,1 1 0,-1-1 0,0 0-1,0 1 1,1-1 0,-1 0 0,0 0 0,1 0-1,-1 0 1,1 0 0,-1 0 0,1-1 0,0 1 0,-1-1-1,1 1 1,0-1 0,-1 1 0,4-1 0,8 3-13,0-1 1,26 1-1,-24-2-135,-19 4-301,-14 9 347,7-6 144,1 1 1,-1 0 0,-10 12 0,15-11-53,0-1 1,1 1 0,0 0-1,1 0 1,0 1 0,1-1-1,0 1 1,0 0-1,1 0 1,1 0 0,0 0-1,0 0 1,1 0-1,2 16 1,-1-23-16,-1 0 1,1 0-1,0 0 1,1 1-1,-1-1 1,1 0-1,0-1 0,-1 1 1,2 0-1,-1 0 1,0-1-1,1 0 1,0 1-1,-1-1 0,1 0 1,1 0-1,-1 0 1,0-1-1,1 1 1,-1-1-1,1 0 0,0 0 1,0 0-1,7 2 1,-4-1-107,2 0 1,-1-1 0,0 0 0,0-1-1,1 1 1,-1-2 0,0 1-1,1-1 1,-1 0 0,1-1-1,14-3 1,-18 2 125,-1 0 0,1 0 0,-1 0 0,0-1-1,0 0 1,0 0 0,0 0 0,0 0 0,0-1-1,-1 1 1,0-1 0,0 0 0,0 0 0,0 0 0,0 0-1,-1-1 1,0 1 0,0-1 0,2-6 0,3-11 383,0 0 0,6-38 0,-10 33 106,-2 20-69,-1 0 0,2 0-1,-1 0 1,1 0 0,4-12-1,-6 19-399,0-1 0,1 1 0,-1-1 0,0 1 0,1 0 0,-1 0 0,0-1-1,1 1 1,-1 0 0,1-1 0,-1 1 0,0 0 0,1 0 0,-1 0 0,1-1 0,-1 1 0,1 0 0,-1 0 0,1 0-1,-1 0 1,0 0 0,1 0 0,-1 0 0,1 0 0,-1 0 0,1 0 0,-1 0 0,1 0 0,-1 0 0,1 1-1,-1-1 1,0 0 0,1 0 0,-1 0 0,1 1 0,-1-1 0,0 0 0,1 0 0,-1 1 0,0-1 0,1 0-1,-1 1 1,0-1 0,1 1 0,-1-1 0,1 1 0,12 15-6,-4-1-213,-2 0 0,1 0 0,-2 1 0,0 0 0,-1 1 0,0-1 0,-2 1 0,0 0 0,2 29 0,-5-46 177,-1 1-1,1-1 1,0 1-1,0-1 1,0 1-1,0-1 1,0 0-1,0 1 1,0-1 0,1 1-1,-1-1 1,0 1-1,0-1 1,0 0-1,0 1 1,0-1-1,1 1 1,-1-1-1,0 0 1,0 1 0,1-1-1,-1 0 1,0 1-1,0-1 1,1 0-1,-1 1 1,1-1-1,-1 0 1,1 1 0,7-10 160,7-20 354,-15 29-476,50-112 1547,-42 99-1333,0-1 0,0 1 0,2 0 0,-1 1 0,21-20 0,-29 32-206,-1-1 1,1 1 0,-1-1-1,1 1 1,-1-1-1,1 1 1,-1 0 0,1-1-1,0 1 1,-1 0 0,1-1-1,-1 1 1,1 0-1,0 0 1,-1 0 0,1 0-1,0 0 1,0-1 0,-1 1-1,1 0 1,0 1-1,-1-1 1,1 0 0,0 0-1,-1 0 1,1 0 0,0 0-1,0 1 1,1 0-9,-1 0 0,1 1 0,-1-1 1,1 0-1,-1 1 0,0-1 0,0 1 1,0-1-1,0 1 0,2 3 0,17 53-187,-16-45 216,-2-6-277,1 1 1,-1-1-1,2 1 1,-1-1-1,1 0 1,0 0 0,1 0-1,5 6 1,-7-10-322,0 0 0,1 0 0,-1-1 1,1 1-1,-1-1 0,1 0 1,0 0-1,0 0 0,0 0 0,0-1 1,0 0-1,0 0 0,0 0 1,1 0-1,-1-1 0,8 1 0,21-1-5274</inkml:trace>
  <inkml:trace contextRef="#ctx0" brushRef="#br0" timeOffset="1273.98">875 366 4130,'0'0'10418,"-17"-9"-9500,-53-29-443,67 36-439,1 1 1,-1 0-1,0-1 1,0 1-1,0 0 1,0 0-1,0 1 1,0-1-1,0 1 1,0-1-1,0 1 0,0 0 1,0 0-1,0 0 1,0 1-1,0-1 1,0 1-1,0 0 1,0-1-1,0 1 1,0 1-1,0-1 1,1 0-1,-1 1 1,0-1-1,1 1 1,-1 0-1,1 0 1,0 0-1,-1 0 1,-2 5-1,1-2-19,0 0 1,1 1-1,0 0 0,0 0 0,1 0 0,0 0 1,0 0-1,0 1 0,1-1 0,0 0 0,-1 11 1,2-10-49,-1-1 1,2 1 0,-1-1 0,1 0-1,0 1 1,0-1 0,0 0 0,1 0 0,0 0-1,1 0 1,5 11 0,-6-14-31,1 1-1,0-1 1,0 0 0,0 0 0,0 0 0,0-1-1,1 1 1,-1-1 0,1 0 0,0 1-1,0-2 1,0 1 0,0 0 0,0-1-1,0 0 1,0 0 0,0 0 0,8 0 0,-5 1-49,1-2 1,-1 1 0,1-1-1,-1 0 1,1 0 0,9-3-1,-15 3 110,1-1 0,-1 0-1,1 0 1,-1 0-1,0 0 1,1-1 0,-1 1-1,0-1 1,0 1-1,0-1 1,0 0 0,0 1-1,0-1 1,0 0-1,-1-1 1,1 1 0,-1 0-1,0 0 1,1-1-1,1-3 1,0-8 346,1 1 1,-1 0-1,-1-1 1,0 0-1,-1 1 1,-1-1-1,-1-18 0,0 4 1202,1 28-1545,0 0-1,0 0 1,0 0-1,0 0 1,0 0-1,0 1 0,0-1 1,0 0-1,0 0 1,0 0-1,0 0 1,0 0-1,0 0 1,0 0-1,0 1 1,0-1-1,0 0 1,0 0-1,-1 0 1,1 0-1,0 0 1,0 0-1,0 0 1,0 0-1,0 0 0,0 0 1,0 0-1,-1 0 1,1 1-1,0-1 1,0 0-1,0 0 1,0 0-1,0 0 1,0 0-1,0 0 1,-1 0-1,1 0 1,0 0-1,0 0 1,0 0-1,0 0 0,0 0 1,0 0-1,-1-1 1,1 1-1,0 0 1,0 0-1,0 0 1,0 0-1,0 0 1,0 0-1,0 0 1,-1 0-1,1 0 1,0 0-1,0 0 1,0 0-1,0-1 1,0 1-1,0 0 0,0 0 1,0 0-1,0 0 1,0 0-1,0 0 1,0-1-1,-3 11-179,1 0 0,0 0 1,1 0-1,0 0 0,1 0 0,0 0 0,0 0 0,1 0 0,0-1 0,1 1 0,0 0 0,1 0 0,0-1 0,0 1 1,8 13-1,-8-19-91,0 0 1,0 0-1,0-1 1,1 1 0,-1-1-1,1 0 1,0 0-1,0 0 1,0 0 0,5 2-1,-8-4 242,0 0 0,1-1 0,-1 1 0,0 0 0,1-1 0,-1 0 0,0 1 0,1-1 0,-1 0-1,1 1 1,-1-1 0,0 0 0,1 0 0,-1 0 0,1 0 0,-1-1 0,1 1 0,-1 0 0,0 0 0,1-1 0,-1 1-1,0-1 1,1 1 0,-1-1 0,0 0 0,0 0 0,1 1 0,-1-1 0,0 0 0,0 0 0,0 0 0,0 0 0,0 0-1,0 0 1,-1-1 0,1 1 0,1-1 0,4-12 567,-1-1-1,0 1 1,-1-1-1,-1 1 1,3-22-1,-3 17 722,0 1-1,1-1 1,8-18-1,-12 37-1233,0 0-1,0 0 0,0-1 1,0 1-1,0 0 0,0-1 0,0 1 1,0 0-1,1 0 0,-1-1 1,0 1-1,0 0 0,0 0 1,0-1-1,1 1 0,-1 0 1,0 0-1,0 0 0,1-1 0,-1 1 1,0 0-1,0 0 0,1 0 1,-1 0-1,0 0 0,0 0 1,1 0-1,-1-1 0,0 1 1,1 0-1,-1 0 0,0 0 1,0 0-1,1 0 0,-1 0 0,0 0 1,1 0-1,-1 1 0,11 9 79,4 16-154,-6-2-346,-1 0 0,-1 1 0,4 30-1,-7-36-573,-4-18 910,0-1 0,0 1 0,0-1 0,0 0 0,0 1 0,0-1 0,0 1 0,0-1 0,0 1 0,1-1 0,-1 0 0,0 1 0,0-1 0,0 1 0,1-1 0,-1 0 0,0 1 0,0-1 0,1 0 0,-1 1 0,0-1 0,1 0 0,-1 0 0,0 1 0,1-1 0,-1 0 0,0 0 0,1 0 0,-1 1 0,1-1 0,-1 0 0,1 0 0,11-8-1,7-21 674,4-18 358,-18 35-620,0 1 1,0-1-1,1 1 1,0 1-1,1-1 1,1 1-1,-1 0 1,19-17-1,-26 27-361,1 0-1,-1-1 1,0 1 0,1 0-1,-1 0 1,1 0 0,-1-1-1,0 1 1,1 0-1,-1 0 1,1 0 0,-1 0-1,1 0 1,-1 0-1,1 0 1,-1-1 0,1 1-1,-1 1 1,0-1 0,1 0-1,-1 0 1,1 0-1,-1 0 1,1 0 0,-1 0-1,1 0 1,-1 1-1,0-1 1,1 0 0,-1 0-1,0 1 1,1-1 0,-1 0-1,1 0 1,-1 1-1,0-1 1,0 0 0,1 1-1,-1-1 1,0 1-1,0-1 1,1 0 0,-1 1-1,0-1 1,0 1-1,1 0 1,7 24 78,-7-21-82,5 28 127,-4-22-402,0 0 0,0-1 0,1 1 0,6 16 0,-8-24 148,1 0 0,-1 0 0,0 0 1,1 0-1,-1 0 0,1 0 0,-1-1 0,1 1 0,0 0 0,0-1 1,-1 1-1,1-1 0,0 0 0,0 0 0,1 0 0,-1 0 0,0 0 1,0 0-1,1 0 0,-1-1 0,0 1 0,0-1 0,1 0 0,4 0 1,-1 0 106,1 0 0,-1-1 1,1 0-1,-1-1 0,0 0 1,1 0-1,-1 0 0,0 0 1,0-1-1,-1 0 0,1 0 1,0-1-1,-1 0 0,0 0 1,0 0-1,0 0 0,-1-1 1,1 0-1,-1 0 0,0 0 1,0 0-1,3-8 0,-3 7 129,-1 0 0,1 0-1,-1-1 1,-1 1 0,1-1-1,-1 0 1,0 0 0,1-10 0,0-34 3738,-17 55-3581,12 0-258,0 1 1,-1-1-1,1 0 1,1 0-1,-1 1 0,1-1 1,0 1-1,0 0 1,0-1-1,0 1 1,1 0-1,0-1 0,0 8 1,0-3-3,1 1 1,0-1 0,0 0-1,1 1 1,0-1-1,4 10 1,2-4-60,1 0 0,0 0 1,1-1-1,1 0 0,0 0 1,0-2-1,21 18 0,-11-10-204,26 34-1,-44-52 76,-2 0-11,0-1 0,0 1 0,0-1 0,0 1-1,0-1 1,0 1 0,0 0 0,0-1 0,-1 1 0,1 0 0,-1-1 0,1 1-1,-1 0 1,0 0 0,0 3 2006,-3-22-2798,-42-53-11268,33 46 7244</inkml:trace>
  <inkml:trace contextRef="#ctx0" brushRef="#br0" timeOffset="1786.04">1586 477 1969,'0'0'10004,"-1"-17"-7522,-1-10-1494,0-15-93,1-11 5652,1 74-6373,0 1-168,-1 86 434,26 208-1,-16-262-394,18 84 110,-23-177 107,-10-87-324,-6-1 1,-30-128 0,41 248 61,-4-25 2,0 1 0,3 0 0,1-1 0,2-33 0,0 63-17,-1 1-1,1-1 1,0 0-1,-1 0 1,1 0 0,0 1-1,0-1 1,0 0-1,0 1 1,0-1-1,1 1 1,-1-1-1,0 1 1,1 0-1,-1-1 1,1 1-1,0 0 1,-1 0-1,1 0 1,0 0-1,-1 1 1,1-1-1,0 0 1,0 1-1,0-1 1,0 1-1,0-1 1,-1 1-1,1 0 1,0 0-1,0 0 1,4 0-1,0 0-2,0 1 0,0-1 0,0 1-1,0 0 1,0 0 0,0 0 0,-1 1-1,1 0 1,10 5 0,-11-3 21,1-1-1,-1 2 1,0-1 0,-1 1 0,1-1 0,-1 1 0,1 0 0,-2 1-1,1-1 1,-1 1 0,1 0 0,-1 0 0,-1 0 0,4 10-1,-2-2-36,-1 1 0,-1-1 0,0 1-1,0-1 1,-2 25 0,-1-34-34,1 0 0,-1 0 0,-1 1 0,1-1 0,-1 0 0,0 0 0,0-1 1,0 1-1,-1 0 0,1-1 0,-1 1 0,0-1 0,-8 8 0,6-7-329,0 0 0,0 0-1,0-1 1,-1 0 0,0 0 0,0 0 0,0 0 0,0-1 0,0 0-1,-9 2 1,1-4-4995</inkml:trace>
  <inkml:trace contextRef="#ctx0" brushRef="#br0" timeOffset="2457.1">1874 127 6451,'0'0'13996,"-2"-7"-13180,-7-13-691,9 20-125,0-1 1,0 1-1,0 0 0,-1 0 0,1 0 1,0 0-1,0 0 0,-1 0 1,1 0-1,0 0 0,0 0 0,0 0 1,-1 0-1,1 1 0,0-1 1,0 0-1,0 0 0,-1 0 0,1 0 1,0 0-1,0 0 0,0 0 0,0 1 1,-1-1-1,1 0 0,0 0 1,0 0-1,0 0 0,0 0 0,0 1 1,-1-1-1,1 0 0,0 0 0,0 0 1,0 1-1,0-1 0,0 0 1,0 0-1,0 0 0,0 1 0,0-1 1,0 0-1,0 0 0,0 1 1,0-1-1,0 0 0,-9 57 262,5-19-164,2 0-1,1 0 0,7 55 1,-5-88-138,0-1 1,0 1 0,1 0-1,0 0 1,0-1 0,0 1-1,0-1 1,0 1 0,1-1-1,0 0 1,0 0 0,0 0-1,1-1 1,-1 1 0,1-1 0,0 1-1,0-1 1,0 0 0,0-1-1,0 1 1,1-1 0,-1 0-1,1 0 1,7 2 0,-8-3 7,0 0 1,0 0 0,0-1 0,1 1 0,-1-1 0,0 0-1,0 0 1,0-1 0,1 1 0,-1-1 0,0 0 0,0 0-1,0-1 1,0 1 0,0-1 0,-1 1 0,1-1 0,0 0-1,-1-1 1,1 1 0,-1-1 0,0 1 0,0-1 0,0 0-1,0 0 1,0-1 0,-1 1 0,0 0 0,3-5 0,0-3 145,-1 0 0,0-1 0,0 1 0,-1-1 0,-1 0 0,0 0 0,-1 0 0,0 0 0,-1 0 0,-1-14 0,1 25-69,-18 2-24,17 1-54,0-1 0,0 1 0,0 0 0,0 0 0,0-1 0,0 1 0,0 0 0,0 0 0,1 0 0,-1 0 0,1 0 0,0 0 0,-1 0 0,1 0 0,0 0 0,0 0 0,1 0 0,-1 0 0,0 0 0,0 0 0,1 0 0,0 0 0,-1 0 0,1 0 0,0 0 0,0 0 0,0 0 0,0-1 0,0 1 0,0 0 0,0-1 0,1 1 0,-1-1 0,1 1 0,-1-1 0,1 0 0,-1 0 0,1 1 0,0-1 0,0 0 0,0-1 0,-1 1 0,1 0 0,0 0-1,0-1 1,0 1 0,4 0 0,-3-1-18,0 1 0,0-1 1,1 0-1,-1 0 0,0 0 0,1 0 0,-1 0 0,0-1 0,0 1 0,1-1 0,-1 0 0,0 0 0,0 0 0,0 0 0,6-4 0,-7 3 49,0 0-1,-1-1 1,1 1-1,0 0 1,-1-1-1,0 0 1,1 1-1,-1-1 1,0 1 0,0-1-1,-1 0 1,1 0-1,-1 0 1,1 1-1,-1-1 1,0 0 0,0 0-1,0-4 1,0-6-62,0 4 195,0 1 1,0-1-1,0 1 1,-1 0-1,-5-17 0,6 23-99,-1 0 0,0 0 0,0 0 0,0 0 0,0 1 0,-1-1-1,1 0 1,0 1 0,-1-1 0,1 0 0,-1 1 0,1 0 0,-1-1-1,0 1 1,0 0 0,0 0 0,1 0 0,-1 0 0,0 0 0,0 1 0,0-1-1,0 0 1,-1 1 0,1 0 0,0-1 0,0 1 0,0 0 0,-4 0-1,5 1-35,0-1 0,0 0 0,0 1-1,0-1 1,0 1 0,0-1 0,0 1-1,0-1 1,0 1 0,0 0 0,1 0-1,-1-1 1,0 1 0,0 0 0,1 0-1,-1 0 1,1 0 0,-1-1 0,1 1-1,-1 0 1,1 0 0,-1 0 0,1 0-1,0 1 1,0-1 0,-1 0 0,1 1-1,-5 33-86,3-17 121,1 0 1,1 0-1,0 0 1,2-1-1,0 1 1,5 21-1,-5-34-169,-1 0-1,1 0 1,0-1 0,1 1-1,-1 0 1,1-1-1,0 1 1,0-1-1,0 0 1,1 0-1,3 3 1,-3-4-357,0 0 1,0 0-1,0-1 0,1 0 1,-1 0-1,1 0 0,-1 0 1,1-1-1,-1 1 1,1-1-1,0 0 0,0-1 1,9 1-1,19-1-5709</inkml:trace>
  <inkml:trace contextRef="#ctx0" brushRef="#br0" timeOffset="3062.74">2594 214 6003,'0'0'12045,"0"-20"-9825,1 13-2106,1 0-1,-1 1 1,1-1 0,0 1 0,1-1-1,-1 1 1,1 0 0,5-8 0,9-19-34,-10 7 394,8-41-1,-15 65-174,-9 59-290,-3 79-1,11-109-1,2 1 0,0-1 0,2 0 0,2 0 0,7 30 0,-10-51-65,3 9-168,-1 0 1,0 0-1,-1 0 0,1 26 0,-21-40-273,9-1 568,0-1 0,-1 0 0,1-1-1,0 1 1,0-2 0,0 1 0,0-1 0,0 0 0,1-1 0,-8-4 0,36 13 241,2-1 0,-1 0 0,0-2 0,30-1 0,64 0-254,-99-6-813,-17 4 640,0 1 1,0-1 0,1 1-1,-1 0 1,0-1 0,0 1 0,0-1-1,0 1 1,0 0 0,0-1-1,0 1 1,0-1 0,0 1-1,0 0 1,0-1 0,0 1-1,0-1 1,0 1 0,0 0-1,-1-1 1,1 1 0,0 0-1,0-1 1,0 1 0,-1 0-1,1-1 1,0 1 0,0 0-1,-1-1 1,1 1 0,0 0-1,0 0 1,-1-1 0,1 1-1,-1 0 1,1 0 0,0-1-1,-1 1 1,1 0 0,0 0-1,-1 0 1,1 0 0,-1 0-1,1 0 1,0 0 0,-1 0 0,-28-11-8979</inkml:trace>
</inkml:ink>
</file>

<file path=xl/ink/ink1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7:45.838"/>
    </inkml:context>
    <inkml:brush xml:id="br0">
      <inkml:brushProperty name="width" value="0.05" units="cm"/>
      <inkml:brushProperty name="height" value="0.05" units="cm"/>
      <inkml:brushProperty name="color" value="#00A0D7"/>
    </inkml:brush>
  </inkml:definitions>
  <inkml:trace contextRef="#ctx0" brushRef="#br0">254 313 3298,'0'0'12237,"0"-9"-10855,-2-39 835,3 47-2173,0 0 0,-1 0-1,1 1 1,0-1 0,0 0 0,-1 0-1,1 0 1,0 0 0,0 1 0,0-1-1,0 0 1,0 1 0,0-1 0,0 1-1,0-1 1,0 1 0,1 0-1,-1-1 1,0 1 0,0 0 0,0 0-1,0 0 1,1 0 0,-1 0 0,0 0-1,0 0 1,0 0 0,0 0 0,2 1-1,2-1-57,0 0-1,0 1 0,-1-1 0,1 1 0,0 0 0,7 3 1,-8-1 3,-1 0 0,0-1 0,0 1 1,-1 1-1,1-1 0,-1 0 0,0 1 1,1-1-1,-2 1 0,1 0 0,0-1 1,-1 1-1,1 0 0,-1 0 0,0 0 0,-1 0 1,1 0-1,-1 1 0,1 3 0,-1 1-79,1-1-1,-2 1 1,1-1-1,-1 1 1,0-1-1,-1 1 1,0-1-1,-4 13 1,1-11 64,-1-1 0,1 0 1,-1 0-1,-1-1 0,0 0 1,0 0-1,-1 0 0,1-1 1,-2 0-1,1-1 0,-1 0 1,0 0-1,0-1 0,0 0 1,-12 4-1,20-9 55,1 0 0,-1-1 0,1 1 0,-1 0 1,1-1-1,-1 1 0,1 0 0,0-1 0,-1 1 0,1 0 0,-1-1 0,1 1 0,0-1 0,-1 1 1,1-1-1,0 1 0,0-1 0,-1 1 0,1-1 0,0 0 0,0 1 0,0-1 0,0 1 0,0-1 1,0 1-1,0-1 0,0 0 0,0 1 0,0-1 0,0 1 0,0-1 0,0 1 0,0-2 0,0 1-31,0 0 0,0 0 0,0 0-1,0-1 1,1 1 0,-1 0 0,0 0-1,0 0 1,1 0 0,-1 0-1,0 0 1,1 0 0,-1 0 0,1 0-1,0 0 1,-1 0 0,1 0 0,0 0-1,-1 0 1,3-1 0,0 1-10,0 0 0,1 0 1,-1 0-1,1 0 0,-1 1 0,1-1 1,-1 1-1,1 0 0,-1 0 1,1 0-1,-1 0 0,1 1 0,-1 0 1,0-1-1,1 1 0,3 2 0,3 2-463,0 0 0,0 0 0,16 13 0,-18-12-1341,0 0 0,1 0-1,0-1 1,12 5 0,-5-7-3694</inkml:trace>
  <inkml:trace contextRef="#ctx0" brushRef="#br0" timeOffset="439.94">290 89 5346,'0'0'7340,"-21"-1"-4984,-3-1-1663,-41 3 1,60 0-599,0 0-1,0 1 1,0-1 0,0 1-1,0 0 1,0 0 0,1 1 0,-1-1-1,1 1 1,-1 0 0,1 0 0,0 1-1,0-1 1,0 1 0,1 0-1,-7 8 1,3-4 109,-2 3-13,0 1-1,0 1 1,1-1 0,1 1 0,0 0-1,1 1 1,0 0 0,1 0 0,-5 21-1,5-5-50,0-1 1,2 0-1,2 54 0,2-67-149,0 0 0,1-1 0,0 1-1,2-1 1,0 0 0,0 0 0,2 0 0,-1-1 0,2 0 0,0 0 0,1 0 0,0-1 0,1 0-1,1-1 1,0 0 0,0 0 0,1-1 0,0 0 0,1-1 0,1-1 0,24 16 0,-22-17-158,1 0-1,-1-1 1,1-1 0,1 0 0,-1-1-1,1-1 1,0-1 0,0 0 0,21 0 0,-27-2 149,0-1 1,1-1-1,-1 0 1,0 0 0,-1-1-1,1 0 1,0-1 0,0-1-1,-1 1 1,0-2-1,0 1 1,0-2 0,0 1-1,-1-1 1,12-10 0,-7 3 63,0-1 0,-1 0 1,-1-1-1,0-1 1,-1 0-1,-1 0 0,-1-1 1,0 0-1,-1-1 1,7-21-1,-8 15-50,-1 0-1,-1 0 1,-1-1-1,-1 0 1,-1 1-1,-1-1 1,-4-37-1,1 49 6,0 1 0,-1-1 0,0 1-1,0 0 1,-2 0 0,1 1 0,-2-1-1,1 1 1,-11-15 0,12 20-13,0 1 0,0 0 0,0 0 0,0 1 0,-1-1 0,1 1 0,-1 0 0,0 0 1,-1 0-1,1 1 0,-1 0 0,1 0 0,-1 0 0,0 1 0,0 0 0,0 0 0,-1 0 0,1 1 0,0 0 1,-10 0-1,14 1-75,0 0 0,0 0 0,0 1 1,0-1-1,0 1 0,0-1 1,0 1-1,0 0 0,0 0 0,0 0 1,0 0-1,1 0 0,-1 0 0,0 0 1,1 1-1,-1-1 0,1 1 1,-1-1-1,1 1 0,0-1 0,-1 1 1,1 0-1,0 0 0,0 0 0,-1 3 1,1-2-340,0 1 0,0-1 0,0 1 0,0-1 0,1 0 0,-1 1 0,1-1 1,0 1-1,0-1 0,0 1 0,1-1 0,-1 1 0,1-1 0,0 1 0,0-1 0,1 4 1,16 15-5672</inkml:trace>
  <inkml:trace contextRef="#ctx0" brushRef="#br0" timeOffset="1483.37">1372 238 5475,'0'0'8286,"-3"-10"-7603,-10-30-99,12 38-522,-1 0-1,1 0 0,0 0 1,-1 0-1,1 1 0,-1-1 1,1 0-1,-1 1 1,0-1-1,1 1 0,-1 0 1,0-1-1,0 1 0,0 0 1,0 0-1,0 0 1,0 1-1,0-1 0,-4 0 1,-41-2 277,38 3-217,2 0-79,0 0-1,0 0 1,0 1 0,-1 0-1,1 0 1,0 1 0,-12 4-1,15-4-39,0 1-1,0-1 1,0 1-1,0 0 1,1 0-1,-1 0 1,1 0-1,0 0 1,0 1-1,0 0 1,0 0-1,0-1 1,-2 7-1,1-2-22,1 0 0,-1 0 0,2 0-1,-1 0 1,1 1 0,0-1 0,1 1-1,0-1 1,0 1 0,1 0 0,0 0 0,1 10-1,0-16 14,-1 1-1,1-1 0,-1 0 0,1 1 1,0-1-1,1 0 0,-1 0 1,0 0-1,1 0 0,0 0 0,0 0 1,-1-1-1,2 1 0,-1 0 0,0-1 1,0 0-1,1 1 0,0-1 1,-1 0-1,1 0 0,0-1 0,0 1 1,0-1-1,0 1 0,0-1 0,0 0 1,0 0-1,0 0 0,1 0 1,-1-1-1,0 1 0,1-1 0,5 0 1,3 0 132,-8 0-65,0 1 0,0-1 1,0-1-1,-1 1 0,1 0 1,0-1-1,5-1 0,-8 1-61,0 1-1,0-1 1,0 0 0,0 0-1,0 1 1,0-1-1,0 0 1,0 0 0,0 0-1,-1 0 1,1 0-1,0 0 1,-1 0-1,1 0 1,0-1 0,-1 1-1,0 0 1,1 0-1,-1 0 1,0-1 0,1 1-1,-1 0 1,0 0-1,0-1 1,0 1 0,0 0-1,0-2 1,-3 3-10,1-1-1,0 1 1,-1 0 0,1-1 0,-1 1-1,1 0 1,0 0 0,-1 1 0,1-1-1,0 1 1,-1-1 0,1 1 0,-4 1-1,1 1 17,0 1-1,0 0 0,1 0 0,-1 0 1,1 1-1,0-1 0,0 1 1,0 0-1,1 1 0,-1-1 0,1 0 1,1 1-1,-1 0 0,1-1 0,-3 11 1,2-5-38,0 0 1,1 0 0,1 0 0,-1 0 0,2 0-1,-1 0 1,4 22 0,-3-31 23,0 1 1,1-1-1,0 0 0,-1 0 1,1 0-1,0 0 0,0 0 1,0 0-1,0-1 1,1 1-1,-1 0 0,0 0 1,1-1-1,-1 1 0,1-1 1,0 1-1,2 1 0,0-1 10,1 1 0,-1-1 0,1-1 0,-1 1 0,1 0-1,-1-1 1,9 1 0,4 0 14,0-1-1,0-1 1,24-2-1,-35 2-27,0-1 1,-1 0-1,1 0 0,0 0 0,0-1 0,-1 0 1,0 0-1,1-1 0,-1 1 0,0-1 0,0 0 0,0 0 1,0-1-1,5-5 0,-4 3-4,-1 0 0,0 0 0,-1-1 0,0 1 0,0-1 0,0 0 0,-1 0 0,0-1 0,3-10 0,1-11 154,-2 0 0,-1-1 1,-2 1-1,-1-45 1,-1 64-25,0 9 677,11 36-996,15 51 363,5 14-146,-31-100-31,0 1 0,0 0 0,0-1 0,1 1 0,-1-1 1,0 1-1,0-1 0,1 1 0,-1-1 0,1 1 0,-1-1 0,0 1 0,1-1 0,-1 1 0,1-1 0,-1 0 0,1 1 0,-1-1 0,1 0 0,-1 1 0,1-1 0,-1 0 1,1 0-1,0 0 0,-1 1 0,1-1 0,-1 0 0,1 0 0,0 0 0,-1 0 0,1 0 0,-1 0 0,1 0 0,0 0 0,-1 0 0,1-1 0,-1 1 0,1 0 0,-1 0 0,1 0 1,0-1-1,-1 1 0,1 0 0,-1-1 0,1 1 0,-1 0 0,1-1 0,-1 1 0,0-1 0,1 1 0,-1 0 0,1-1 0,-1 1 0,0-1 0,1 1 0,-1-2 0,21-28 357,9-32 12,-22 45-79,-1-1 0,2 1 1,0 1-1,2 0 0,-1 0 1,14-14-1,-23 30-252,-1-1 0,1 1 0,-1-1 0,0 1 0,1-1 0,-1 1 0,1-1 0,-1 1 0,1-1 0,-1 1 0,1 0 0,-1 0 0,1-1 0,0 1 0,-1 0 0,1 0 0,-1-1 0,1 1 0,0 0 0,-1 0 0,1 0 0,-1 0 0,1 0 0,0 0 0,-1 0 0,1 0 0,0 0 0,-1 0 0,1 0 0,-1 1 0,1-1 0,0 0 0,0 2-13,1-1 1,-1 0-1,0 0 0,-1 0 0,1 1 1,0-1-1,0 1 0,0-1 0,-1 1 0,1-1 1,-1 1-1,1 2 0,6 60-274,-6-52 359,0-6-132,-1 5 46,1 0-1,1 0 0,0 0 0,1-1 0,4 12 0,-6-19-213,0-1-1,0 1 1,0-1-1,1 0 1,-1 1-1,1-1 1,0 0-1,-1 0 1,1 0-1,0 0 1,0-1-1,0 1 1,1 0-1,-1-1 1,0 0-1,1 1 0,-1-1 1,1 0-1,-1 0 1,1 0-1,-1-1 1,1 1-1,0 0 1,-1-1-1,6 0 1,17 1-4395,1-1-2145</inkml:trace>
  <inkml:trace contextRef="#ctx0" brushRef="#br0" timeOffset="3058.17">1996 322 2881,'0'0'12403,"-14"-7"-11832,-47-21-123,60 28-428,-1-1 1,0 1-1,1 0 0,-1-1 0,0 1 0,1 0 0,-1 0 0,0 0 0,1 0 0,-1 0 0,0 0 0,1 0 0,-1 1 0,0-1 0,1 1 0,-1-1 0,1 1 0,-1 0 0,1-1 0,-1 1 0,1 0 0,-1 0 0,1 0 0,0 0 0,-1 0 0,1 0 0,0 1 0,0-1 0,0 0 0,0 1 0,-1 2 0,-1 1 39,0 1-1,0 0 1,1 0-1,0 0 1,-2 10 0,4-16-59,-3 10-12,1 0-1,1 0 1,0 0 0,0 0-1,1 0 1,0 0 0,0 0-1,2 0 1,2 15 0,-3-21-6,0-1 1,1 1-1,-1-1 0,1 1 1,0-1-1,0 0 0,0 1 1,0-1-1,1 0 0,-1-1 1,1 1-1,-1 0 0,1-1 1,0 1-1,0-1 0,0 0 1,1 0-1,-1 0 0,0-1 1,1 1-1,-1-1 1,1 1-1,0-1 0,-1-1 1,1 1-1,0 0 0,0-1 1,3 0-1,-1 1-77,-1 0 0,0-1 1,1 0-1,-1 0 0,1-1 0,-1 0 1,0 0-1,1 0 0,7-3 0,-10 2 93,0 0-1,0 1 0,-1-1 1,1-1-1,-1 1 0,1 0 1,-1-1-1,0 1 1,0-1-1,0 0 0,0 1 1,-1-1-1,1 0 0,-1 0 1,0 0-1,2-6 1,1-6 152,0 0 1,-1 0 0,-1 0 0,-1 0 0,0-1 0,-1 1 0,0-1 0,-4-20-1,-3 17 1514,4 18-506,1 12-1258,2 3 95,1 0-1,0 1 1,1-1 0,1 0 0,6 21 0,-7-30-36,0 1 0,0-1 0,1 1 0,-1-1 0,1 0 0,1 1 0,-1-2 0,1 1 0,0 0 1,0-1-1,0 0 0,0 1 0,1-2 0,0 1 0,10 6 0,-13-9 27,-1-1-1,1 1 1,0 0-1,-1 0 1,1-1 0,0 1-1,0-1 1,-1 0-1,1 1 1,0-1 0,0 0-1,0 0 1,-1 0-1,1 0 1,0-1 0,0 1-1,0 0 1,-1-1-1,1 1 1,0-1 0,-1 0-1,1 1 1,0-1-1,-1 0 1,1 0 0,-1 0-1,1 0 1,-1 0-1,0 0 1,1-1 0,-1 1-1,0 0 1,0-1-1,0 1 1,0-1 0,0 1-1,1-3 1,3-7 78,0 0 1,-1 0-1,0 0 1,3-19-1,-4 18-103,6-35 438,-8 36-86,0 1 0,1 0 1,0-1-1,1 1 0,1 0 1,-1 0-1,9-15 0,-12 25-301,0-1-1,0 1 1,1-1-1,-1 1 1,0-1-1,0 1 1,1-1 0,-1 1-1,0 0 1,0-1-1,1 1 1,-1 0-1,1-1 1,-1 1-1,0 0 1,1-1-1,-1 1 1,1 0-1,-1 0 1,0-1-1,1 1 1,-1 0-1,1 0 1,-1 0-1,1 0 1,-1 0 0,1 0-1,-1 0 1,1 0-1,-1 0 1,1 0-1,-1 0 1,1 0-1,-1 0 1,1 0-1,-1 0 1,1 0-1,-1 0 1,1 1-1,-1-1 1,0 0-1,1 0 1,-1 0 0,1 1-1,-1-1 1,0 0-1,1 1 1,0 0-1,10 19-146,-9-17 188,5 15-55,-1 0 1,0 1-1,-2 0 0,5 31 0,1 8-907,-10-57 861,0-1 0,0 0 0,0 1 0,0-1 0,0 1-1,0-1 1,0 0 0,0 1 0,1-1 0,-1 1 0,0-1-1,0 0 1,0 1 0,0-1 0,1 0 0,-1 1 0,0-1-1,0 0 1,1 1 0,-1-1 0,0 0 0,0 0-1,1 1 1,-1-1 0,0 0 0,1 0 0,-1 0 0,0 1-1,1-1 1,-1 0 0,1 0 0,-1 0 0,0 0 0,1 0-1,10-9-157,6-20 506,2-35 23,16-43 1171,-35 105-1479,1 1 0,-1 0 0,0 0 0,1 0 0,-1 0 1,1 0-1,-1 1 0,1-1 0,0 0 0,-1 0 0,1 0 1,0 0-1,0 1 0,-1-1 0,1 0 0,0 1 0,1-2 1,-1 2-2,-1 0 1,1 0-1,-1 1 1,0-1-1,1 0 1,-1 0 0,1 0-1,-1 0 1,1 0-1,-1 1 1,0-1 0,1 0-1,-1 0 1,0 1-1,1-1 1,-1 0-1,0 1 1,1-1 0,-1 0-1,0 1 1,0-1-1,1 1 1,-1-1 0,0 0-1,0 1 1,0-1-1,1 1 1,12 45 729,-10-31-643,0 0-244,-1-6-159,0 0 0,1 0 0,0 0 0,7 16-1,-9-24 281,-1 0 0,1 0-1,0 0 1,-1 0 0,1 0-1,0 0 1,-1 0 0,1-1-1,0 1 1,0 0-1,0 0 1,0-1 0,0 1-1,0 0 1,0-1 0,0 1-1,0-1 1,0 1 0,0-1-1,0 0 1,1 1-1,-1-1 1,0 0 0,0 0-1,0 0 1,0 0 0,1 0-1,-1 0 1,0 0 0,0 0-1,0 0 1,0-1-1,0 1 1,1 0 0,-1-1-1,0 1 1,0-1 0,0 1-1,0-1 1,0 0-1,0 1 1,0-1 0,-1 0-1,1 0 1,0 0 0,0 0-1,0-1 1,10-9 35,0-1-1,-1 0 1,-1-1-1,0 0 1,9-16 0,-9 13 444,0 1 0,2-1 1,19-21-1,-31 73-473,1-32 16,-4 20-52,1-1 0,1 1 1,1 0-1,2 24 0,0-46-4,-1 1 1,1-1-1,0 1 1,0-1-1,0 0 1,0 0-1,0 0 0,0 1 1,1-1-1,-1 0 1,1 0-1,0-1 0,-1 1 1,1 0-1,0 0 1,0-1-1,0 1 1,0-1-1,0 0 0,0 0 1,0 0-1,1 0 1,-1 0-1,0 0 0,1 0 1,-1-1-1,1 1 1,-1-1-1,1 0 1,-1 1-1,0-1 0,6-1 1,-3 1 17,0 0 0,0 0 1,0-1-1,0 1 0,0-1 0,0 0 0,-1-1 1,1 1-1,0-1 0,-1 0 0,1 0 1,-1-1-1,1 1 0,-1-1 0,5-4 1,-4 1 2,0 0 1,-1 0 0,0 0 0,0-1 0,0 1 0,0-1 0,-1 0 0,0-1 0,3-13-1,-3 6 159,-1 0 0,-1 1 0,0-1-1,-1-18 1,0 30-21,-1-1 0,1 1 0,-1 0 0,1-1 0,-1 1 0,0 0 0,0 0 0,-1-1 0,1 1 0,-2-3 0,2 5-46,0 0 0,0 0 1,0 0-1,0-1 0,0 1 1,0 0-1,0 0 0,0 1 1,0-1-1,0 0 1,-1 0-1,1 1 0,0-1 1,-1 0-1,1 1 0,0-1 1,-1 1-1,1 0 0,-1-1 1,1 1-1,-1 0 0,1 0 1,-1 0-1,1 0 1,0 0-1,-3 1 0,3-1-51,0 1 0,0-1-1,0 1 1,0-1-1,0 1 1,0 0 0,0 0-1,0-1 1,0 1 0,0 0-1,0 0 1,1 0-1,-1 0 1,0 0 0,1 0-1,-1 0 1,1 0 0,-1 0-1,1 0 1,-1 1-1,1-1 1,0 0 0,-1 0-1,1 2 1,-4 35 100,4-32-73,-1 47 109,2-1 0,3 1-1,11 58 1,49 151 356,-59-236-735,-2-12-71,-2-28 205,-17-318 266,0-2 87,16 332-242,0 0 1,0 0-1,0 1 1,0-1-1,0 0 0,1 0 1,-1 0-1,1 0 0,-1 0 1,1 0-1,0 1 0,0-1 1,-1 0-1,1 0 0,1 1 1,-1-1-1,0 1 0,0-1 1,1 1-1,-1 0 0,0-1 1,3 0-1,-2 1-19,0 0 0,1 0 0,-1 0 0,0 0 0,1 1-1,-1-1 1,1 1 0,-1 0 0,1-1 0,0 1 0,-1 0 0,1 1 0,-1-1 0,1 0-1,-1 1 1,1-1 0,2 2 0,0 0 21,-1 1-1,0-1 1,1 1-1,-1-1 0,0 1 1,0 1-1,-1-1 1,1 0-1,-1 1 1,0 0-1,0 0 1,0 0-1,0 0 1,2 5-1,4 7-13,-1 1 1,9 24-1,-13-30-28,-1 1 1,0 0-1,0 0 1,-2 0 0,2 23-1,-3-30-81,0 0-1,0 0 1,-1 0 0,0 0-1,1 0 1,-2 0 0,1 0-1,-1-1 1,1 1 0,-1 0-1,0-1 1,-1 0 0,1 1-1,-1-1 1,0 0 0,-5 5-1,-9 3-341,10-7-2432</inkml:trace>
  <inkml:trace contextRef="#ctx0" brushRef="#br0" timeOffset="3694.9">3195 1 6275,'0'0'11536,"-2"12"-10554,-4 31-327,1 0 0,2 47 1,4-62-580,0 0 0,2-1 1,1 1-1,14 49 0,-17-74-138,-1-1-1,1 0 1,0 0-1,0 0 1,0 0-1,0 0 1,0 0-1,0 0 1,0 0-1,1-1 1,-1 1-1,0 0 1,1-1 0,0 1-1,-1-1 1,1 1-1,0-1 1,0 0-1,0 0 1,0 0-1,0 0 1,0 0-1,0 0 1,0 0-1,0-1 1,0 1-1,1-1 1,-1 0-1,0 0 1,0 1-1,1-1 1,-1-1-1,0 1 1,0 0-1,0 0 1,1-1-1,-1 0 1,0 1-1,0-1 1,0 0-1,0 0 1,0 0-1,0 0 1,2-2-1,3-1 93,0-1 0,-1-1 1,1 1-1,-1-1 0,-1 0 0,1 0 0,-1-1 0,0 0 0,0 0 0,-1 0 0,0 0 0,0-1 0,4-12 0,-3 4 516,0-1 0,-1 1 0,-1 0 0,0-1 0,-2 0-1,1-17 1,-19 92-794,17-56 176,-1 1-1,1 0 1,0-1 0,0 1-1,0-1 1,1 1 0,-1 0-1,1-1 1,-1 1 0,1-1-1,0 1 1,0-1-1,0 1 1,0-1 0,0 0-1,1 1 1,-1-1 0,1 0-1,0 0 1,2 3 0,-1-4-33,0 1 1,0-1 0,0 1 0,0-1-1,0 0 1,0-1 0,0 1 0,0 0-1,0-1 1,1 0 0,-1 1 0,0-1-1,0-1 1,0 1 0,1 0-1,-1-1 1,4-1 0,-5 1 88,0 0 1,0 0-1,0 0 1,0-1-1,0 1 1,-1-1-1,1 1 0,-1-1 1,1 0-1,-1 1 1,0-1-1,0 0 1,1 0-1,-1 0 0,0 0 1,-1 0-1,1 0 1,0 0-1,-1 0 0,1-1 1,-1 1-1,0 0 1,1 0-1,-1 0 1,0-4-1,-1-59 2,1 62 33,0 1-1,0-1 1,-1 1-1,1-1 1,-1 0-1,0 1 1,0-1-1,0 1 1,0 0 0,0-1-1,0 1 1,0 0-1,-1-1 1,0 1-1,1 0 1,-1 0-1,0 0 1,0 1-1,0-1 1,0 0 0,0 1-1,0-1 1,-1 1-1,1 0 1,0 0-1,-1 0 1,1 0-1,-1 0 1,1 0-1,-1 1 1,1-1-1,-1 1 1,0-1 0,1 1-1,-1 0 1,0 0-1,1 1 1,-1-1-1,-4 1 1,5 0-13,1 0 0,-1 0-1,0 0 1,1 0 0,-1 1 0,0-1 0,1 0 0,0 1 0,-1-1 0,1 1-1,0-1 1,0 1 0,0-1 0,0 1 0,0 0 0,0 0 0,0 0-1,0-1 1,1 1 0,-1 0 0,0 4 0,-5 44 217,6-48-207,-1 7 39,1 0 1,0 0-1,0 0 1,1 0-1,1 0 1,-1 0-1,1-1 1,1 1-1,0-1 1,0 1-1,5 8 0,-6-13-126,1 0-1,0 1 0,0-2 0,1 1 0,-1 0 0,1-1 0,-1 1 0,1-1 1,5 3-1,-4-3-393,0-1 0,0 1 0,0-1 1,1 0-1,-1 0 0,1-1 0,-1 1 1,1-1-1,6 0 0,12-1-6063</inkml:trace>
  <inkml:trace contextRef="#ctx0" brushRef="#br0" timeOffset="4158.46">3974 76 8308,'0'0'12133,"6"-1"-11618,0 0-410,26-3 283,-31 4-384,1 0-1,-1 0 0,0 0 0,1 0 0,-1 0 0,0 1 0,1-1 0,-1 0 1,0 1-1,0-1 0,1 1 0,-1 0 0,0-1 0,0 1 0,0 0 0,0 0 1,0 0-1,0-1 0,0 1 0,0 0 0,0 0 0,0 1 0,1 0 1,1 9-31,1-1 0,-1 1 0,-1 0 1,0-1-1,0 1 0,-1 0 1,-1 0-1,0 1 0,0-1 1,-1 0-1,-1 0 0,1-1 1,-2 1-1,0 0 0,-7 18 1,2-14 82,-2 0 1,0 0-1,-1-1 1,0 0-1,-26 24 0,54-46 3822,49-11-3420,-39 13-414,1 1 0,0 1 1,0 2-1,28 1 0,-54 1-631,-8 0-1320,-28 0-2276,-13-2-2695</inkml:trace>
</inkml:ink>
</file>

<file path=xl/ink/ink1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7:57.115"/>
    </inkml:context>
    <inkml:brush xml:id="br0">
      <inkml:brushProperty name="width" value="0.05" units="cm"/>
      <inkml:brushProperty name="height" value="0.05" units="cm"/>
      <inkml:brushProperty name="color" value="#00A0D7"/>
    </inkml:brush>
  </inkml:definitions>
  <inkml:trace contextRef="#ctx0" brushRef="#br0">1 0 4866,'0'0'0</inkml:trace>
</inkml:ink>
</file>

<file path=xl/ink/ink1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7:52.152"/>
    </inkml:context>
    <inkml:brush xml:id="br0">
      <inkml:brushProperty name="width" value="0.05" units="cm"/>
      <inkml:brushProperty name="height" value="0.05" units="cm"/>
      <inkml:brushProperty name="color" value="#00A0D7"/>
    </inkml:brush>
  </inkml:definitions>
  <inkml:trace contextRef="#ctx0" brushRef="#br0">167 639 288,'0'0'5982,"-11"-3"-5913,-3-2 61,-1 1-1,1 1 1,-1 1 0,-24-2-1,36 5-116,1 1 0,-1-1 0,1 0 0,0 1 0,-1-1 0,1 1-1,0 0 1,0 0 0,0 0 0,-3 4 0,-13 10-608,6-8 4969,23-8 1869,1-1-7902,131-8 2092,-41 3-259,163-28 1,-259 33-366,7-2 312,0 0 0,-1-1-1,15-6 1,-25 9-297,1 1 0,-1-1 0,0 0 0,0-1-1,0 1 1,0 0 0,-1-1 0,1 1 0,0-1 0,0 1 0,-1-1 0,1 0-1,-1 0 1,0 1 0,1-1 0,-1 0 0,0 0 0,0-1 0,0 1 0,0 0-1,-1 0 1,1 0 0,0-1 0,0-3 0,-3-3-3535,-6 3-1459</inkml:trace>
  <inkml:trace contextRef="#ctx0" brushRef="#br0" timeOffset="262.39">510 528 1489,'0'0'12701,"31"21"-11012,-25-18-1535,64 42 713,-65-42-867,0 1 0,-1 1 0,1-1 0,-1 1-1,1-1 1,-1 1 0,-1 0 0,1 1 0,-1-1 0,5 11-1,-7-15-28,-1 0 0,1 0 0,-1 0-1,1 0 1,-1 1 0,0-1-1,1 0 1,-1 0 0,0 0-1,0 0 1,0 1 0,0-1-1,0 0 1,0 0 0,0 0 0,0 0-1,0 1 1,-1-1 0,1 0-1,0 0 1,-1 0 0,1 0-1,-1 0 1,1 0 0,-1 0 0,0 0-1,1 0 1,-1 0 0,0 0-1,0 0 1,0 0 0,1 0-1,-1-1 1,0 1 0,0 0 0,0-1-1,0 1 1,-2 0 0,-3 1-638,0-1 1,0 0 0,0 0 0,0 0 0,0-1 0,-7 0-1,11 0 295,-20 0-4841</inkml:trace>
  <inkml:trace contextRef="#ctx0" brushRef="#br0" timeOffset="978.62">1238 524 6355,'0'0'13585,"-1"-2"-12696,0 9-1069,4 12 204,0 1-1,8 27 0,3 17 142,-6-1 371,-1 67 1,-5-242-273,-3 68-103,2-1-1,2 1 1,16-79 0,-18 118-133,0 1 0,1-1 0,-1 1 0,1 0-1,0 0 1,5-8 0,-6 11-30,-1 1 0,1-1 0,-1 0 0,1 1-1,0-1 1,-1 1 0,1-1 0,0 1 0,-1 0 0,1-1-1,0 1 1,0 0 0,-1-1 0,1 1 0,0 0 0,0 0-1,0 0 1,0-1 0,-1 1 0,1 0 0,0 0 0,0 0-1,0 1 1,0-1 0,-1 0 0,1 0 0,0 0-1,0 0 1,0 1 0,-1-1 0,1 0 0,0 1 0,0-1-1,-1 1 1,1-1 0,0 1 0,-1-1 0,1 1 0,-1-1-1,1 1 1,-1 0 0,1-1 0,-1 1 0,1 0 0,-1 0-1,1 1 1,11 14 24,0 1 1,-1 1-1,-1 0 0,-1 0 0,-1 1 1,7 21-1,1 9-337,11 64-1,-19-66-1858,-7-17-6278</inkml:trace>
  <inkml:trace contextRef="#ctx0" brushRef="#br0" timeOffset="1614.83">1362 729 5939,'0'0'5207,"12"3"-4902,24 3-465,0-2-1,0-1 1,60-3 0,-92-1 17,0 1 1,0-1-1,1-1 0,-1 1 0,0 0 0,0-1 0,0 0 0,0 0 0,0 0 1,-1-1-1,1 1 0,-1-1 0,1 0 0,4-5 0,-3 2 56,0 0 0,-1 0 0,0-1-1,0 0 1,0 0 0,-1 0 0,4-12-1,-1-2 424,-2 0 0,0-1-1,-1 1 1,0-43-1,-2 35 605,0 21-382,0 0 0,-1 0 0,0 0 0,0-1 0,-1 1 0,0 0 0,-1 0 0,0 0 0,0 0 0,0 0 0,-6-10 0,8 17-484,0 0 1,0 1-1,0-1 1,-1 1-1,1 0 1,0-1-1,-1 1 1,1-1 0,0 1-1,-1-1 1,1 1-1,0 0 1,-1-1-1,1 1 1,-1 0-1,1-1 1,-1 1-1,1 0 1,0-1 0,-1 1-1,1 0 1,-1 0-1,0 0 1,1 0-1,-1 0 1,1-1-1,-1 1 1,1 0 0,-1 0-1,0 0 1,-7 14 344,1 26-559,5 2 325,2 1 0,8 63-1,-5-89-181,0 0-1,1 0 0,1 0 0,0 0 0,1-1 0,1 0 0,1 0 1,18 29-1,-23-42-27,-1 0 1,0 0 0,1 0 0,0 0 0,-1-1 0,1 1-1,0-1 1,1 0 0,-1 0 0,0 0 0,0 0-1,1 0 1,-1-1 0,1 1 0,0-1 0,-1 0-1,1 0 1,0 0 0,0-1 0,0 0 0,-1 1-1,1-1 1,8-1 0,-7 0 66,1-1-1,-1 1 1,1-1 0,-1 0-1,0 0 1,0-1-1,0 1 1,0-1 0,0 0-1,0-1 1,-1 1 0,0-1-1,1 0 1,-1 0-1,4-6 1,0-1-11,-1-1 0,0 0 1,0 0-1,-1 0 0,-1-1 0,0 0 0,-1 0 0,0 0 1,2-21-1,-2 8 199,-2-1 0,-1 0 0,-4-50 1,-8 29 260,11 46-458,-1 1 0,1-1 0,-1 0 0,0 1 0,1-1 1,-1 1-1,0-1 0,0 1 0,0-1 0,0 1 0,0 0 0,0-1 0,-1 1 0,1 0 0,0 0 0,-1 0 0,1 0 0,-1 0 0,1 0 0,-1 0 0,1 1 0,-1-1 0,1 0 0,-4 0 1,4 1-34,0 1 1,0-1 0,0 0 0,0 1-1,0-1 1,0 1 0,1-1-1,-1 1 1,0-1 0,0 1 0,0-1-1,1 1 1,-1 0 0,0 0 0,1-1-1,-1 1 1,1 0 0,-1 0 0,1 0-1,-1 0 1,1-1 0,-1 1 0,1 0-1,-1 2 1,-6 24 5,4-6-125,1-1 1,1 1 0,1 0 0,1-1 0,1 1 0,0-1-1,2 1 1,0-1 0,1 0 0,1-1 0,1 1 0,1-1-1,1 0 1,0-1 0,1 0 0,18 23 0,-18-33-2908</inkml:trace>
  <inkml:trace contextRef="#ctx0" brushRef="#br0" timeOffset="3023.01">1913 620 4162,'0'0'4511,"12"4"-4289,8 3-474,0-2 0,0 0 0,0-2 0,39 3 0,-58-6 310,0 0 0,0 0-1,1-1 1,-1 1 0,0 0-1,0-1 1,0 1 0,0-1-1,1 0 1,-1 1 0,0-1-1,0 0 1,0 0 0,0 1-1,0-1 1,-1 0 0,1 0-1,0 0 1,0 0 0,-1 0-1,1 0 1,0 0 0,-1-1-1,1 1 1,-1 0 0,1 0-1,-1 0 1,0-1 0,0 1-1,1 0 1,-1-2 0,2-47 6033,-2 40-4010,-6 31-2355,6-17 71,1-1 0,-1 1 1,0 0-1,1-1 0,0 1 1,0 0-1,0-1 0,0 1 1,1-1-1,-1 1 0,1-1 1,0 0-1,3 5 0,-3-6 59,0-1 0,-1 1 0,1 0-1,0-1 1,0 1 0,0-1 0,0 0-1,0 0 1,0 0 0,0 0 0,0 0-1,0 0 1,1 0 0,-1-1 0,0 1 0,0-1-1,1 0 1,-1 1 0,0-1 0,1 0-1,-1 0 1,1-1 0,1 1 0,-3-1 166,0 0 1,0 0 0,-1 0 0,1 0-1,0 1 1,-1-1 0,1 0-1,-1 0 1,1 0 0,-1 0 0,1 0-1,-1-1 1,0 1 0,1 0 0,-1 0-1,0 0 1,0 0 0,0 0-1,0-2 1,1-24 979,0 23-750,-1 1-1,-1-1 0,1 0 0,0 1 0,-1-1 0,0 0 0,0 1 0,0-1 0,0 1 1,0-1-1,-1 1 0,-3-6 0,4 7-172,-1 1-1,0-1 1,0 0 0,0 1 0,0-1-1,0 1 1,0 0 0,0-1 0,-1 1-1,1 0 1,0 0 0,-1 1 0,1-1-1,0 0 1,-1 1 0,1 0 0,-1-1-1,1 1 1,-6 1 0,7-1-76,-1 0 0,0 0-1,0 0 1,1 0 0,-1 1 0,0-1 0,0 1-1,1-1 1,-1 1 0,1 0 0,-1 0 0,1-1-1,-1 1 1,1 0 0,-1 0 0,1 1 0,0-1-1,-1 0 1,-1 3 0,1-1-1,0 1-1,0 0 1,0-1-1,0 1 1,0 0-1,1 0 1,0 0-1,-1 5 1,0 7-6,0 1 1,1-1-1,1 20 1,0-31-18,1 0 1,-1 0-1,1-1 0,0 1 0,1 0 1,-1-1-1,1 1 0,0-1 1,0 0-1,0 1 0,0-1 0,1 0 1,0 0-1,0-1 0,0 1 1,0 0-1,0-1 0,1 0 1,0 0-1,4 4 0,-2-4-6,0 0 0,-1 0 1,1 0-1,0-1 0,1 1 0,-1-2 0,0 1 0,0-1 0,1 1 1,-1-2-1,1 1 0,-1-1 0,1 0 0,10-1 0,-13-1 45,-1 1 0,1-1 0,0 0 0,0 1 0,-1-2 0,1 1 0,-1 0 1,0-1-1,0 1 0,0-1 0,0 0 0,0 0 0,0-1 0,-1 1 0,1 0 0,-1-1 0,2-5 0,5-6 101,-2 0 1,11-30-1,-15 33 450,-1 0-1,0 0 0,0 0 1,-1 0-1,-1-19 0,0 24 187,0 7-632,-4 16-558,3-7 332,0-1 1,0 1-1,1-1 1,0 1 0,1-1-1,0 1 1,0-1-1,1 1 1,0-1 0,0 0-1,1 1 1,4 7-1,-5-12-108,1 0 0,-1 0-1,1 0 1,0-1 0,-1 1 0,2-1-1,-1 0 1,0 0 0,1 0-1,-1 0 1,1 0 0,0-1 0,0 0-1,0 0 1,0 0 0,1 0-1,-1-1 1,0 1 0,1-1-1,-1 0 1,1 0 0,-1-1 0,1 1-1,6-1 1,-7-1 204,-1 1 0,1-1-1,0 0 1,0 0 0,0 0 0,-1-1-1,1 1 1,0-1 0,-1 0 0,0 0-1,1 0 1,-1-1 0,0 1 0,0-1 0,0 1-1,0-1 1,-1 0 0,1 0 0,-1 0-1,0-1 1,0 1 0,0-1 0,0 1-1,0-1 1,1-5 0,3-8 778,0 0 1,-1 0-1,-1-1 0,3-25 0,-3-11 3703,-4 53-4327,-3 21-296,0-7 89,1 0 0,1 1 0,0-1 0,0 1 0,2-1 0,-1 1 0,5 21 0,-3-29-145,0 0-1,0-1 1,0 1-1,0-1 1,1 1-1,0-1 1,0 0 0,1 0-1,0 0 1,-1-1-1,1 1 1,1-1-1,-1 0 1,1 0-1,-1-1 1,1 1-1,0-1 1,1 0-1,8 4 1,-11-5 85,1-1-1,0 1 1,0-1 0,0 0-1,0 0 1,0 0 0,0 0 0,0-1-1,0 1 1,1-1 0,-1 0-1,0-1 1,0 1 0,0-1 0,6-1-1,-7 1 123,0-1 0,0 1 0,0-1-1,0 0 1,0 1 0,-1-1 0,1 0 0,-1-1-1,1 1 1,-1 0 0,0-1 0,0 0 0,0 1-1,0-1 1,-1 0 0,1 0 0,-1 0-1,1 0 1,0-4 0,5-16 646,-2 1 0,4-35 0,0 1 3051,-9 56-3683,0 0 0,0 0 0,0 0 1,0 0-1,0 0 0,0 0 0,0 0 1,1 1-1,-1-1 0,0 0 0,0 0 1,0 0-1,0 0 0,0 0 0,0 0 0,0 0 1,0 0-1,0 0 0,1 0 0,-1 0 1,0 0-1,0 0 0,0 1 0,0-1 1,0 0-1,0 0 0,0 0 0,1 0 1,-1 0-1,0 0 0,0 0 0,0 0 1,0 0-1,0 0 0,0 0 0,0 0 1,1 0-1,-1-1 0,0 1 0,0 0 0,0 0 1,0 0-1,0 0 0,0 0 0,0 0 1,0 0-1,1 0 0,-1 0 0,0 0 1,0 0-1,0 0 0,0 0 0,0-1 1,0 1-1,0 0 0,0 0 0,0 0 1,0 0-1,0 0 0,0 0 0,0 0 1,0-1-1,5 12-380,14 114-50,-2-12-4999,-17-113 5339,0 0 0,0 0 0,0 1 0,0-1 0,0 0 0,0 1 0,0-1 0,0 0-1,0 0 1,0 1 0,0-1 0,0 0 0,0 0 0,0 1 0,0-1 0,1 0 0,-1 0 0,0 0 0,0 1 0,0-1 0,0 0 0,1 0 0,-1 0 0,0 1 0,0-1 0,1 0-1,-1 0 1,0 0 0,0 0 0,1 0 0,-1 1 0,0-1 0,0 0 0,1 0 0,-1 0 0,0 0 0,9-7-500,3-14 983,9-55 1722,-16 54-1139,0 0 0,2 1 0,1 0 0,15-31 0,-19 104-936,-4-37-485,3 53-1654,-3-65 1562,1 1 0,0-1 0,-1 1 1,1-1-1,0 0 0,1 1 0,-1-1 1,1 0-1,-1 0 0,1 0 0,0 0 0,0 0 1,0-1-1,0 1 0,1-1 0,3 4 1,11 2-5648</inkml:trace>
  <inkml:trace contextRef="#ctx0" brushRef="#br0" timeOffset="4324.08">3116 594 5026,'0'0'13462,"-11"-10"-12989,-36-27-380,46 36-92,0 0 0,0 1 1,-1-1-1,1 1 0,0-1 0,0 1 0,0-1 0,-1 1 0,1 0 1,0-1-1,0 1 0,-1 0 0,1 0 0,0 0 0,-1 0 0,1 0 1,0 0-1,-1 0 0,1 1 0,0-1 0,0 0 0,-1 1 1,1-1-1,0 1 0,0-1 0,0 1 0,0 0 0,0-1 0,0 1 1,0 0-1,0 0 0,0 0 0,0 0 0,0 0 0,0 0 1,0 0-1,1 0 0,-2 1 0,-2 5-9,1-1 0,-1 0 0,1 1 0,-4 11 0,7-17 6,-4 15-165,0 0 0,2 1-1,0-1 1,0 0 0,2 1 0,0-1 0,3 23 0,-2-36-92,0 0 0,0-1 0,0 1 0,0 0 0,0 0 1,1-1-1,0 1 0,-1-1 0,1 1 0,0-1 0,0 0 0,0 0 0,0 1 0,1-1 0,-1-1 0,1 1 0,-1 0 0,1-1 0,5 3 1,-7-3 162,1 0 0,0 0 0,0 0 1,0-1-1,0 1 0,-1 0 1,1-1-1,0 0 0,0 1 1,0-1-1,0 0 0,0 0 1,0 0-1,0 0 0,0 0 0,0-1 1,0 1-1,0-1 0,0 1 1,0-1-1,0 0 0,-1 1 1,1-1-1,0 0 0,-1 0 1,1 0-1,0-1 0,-1 1 0,1 0 1,2-3-1,0-4 416,0 1-1,0 0 0,-1-1 1,0 0-1,0 0 1,0 0-1,-1 0 1,1-17-1,2-68 6408,-5 87-6162,-12 21-239,9-2-613,0 0-1,0 0 1,1-1 0,1 2 0,0-1-1,1 19 1,0-25-135,0-5 244,0 0 1,1 0 0,-1-1 0,0 1-1,1 0 1,0 0 0,-1 0-1,1 0 1,0 0 0,0-1-1,0 1 1,0 0 0,0-1-1,0 1 1,0-1 0,1 1 0,-1-1-1,1 1 1,-1-1 0,1 0-1,-1 0 1,1 0 0,0 0-1,-1 0 1,1 0 0,0 0 0,0-1-1,0 1 1,0-1 0,0 1-1,0-1 1,2 1 0,0-1-23,0 1 0,0-1 0,1 0-1,-1 0 1,0 0 0,0-1 0,0 1 0,0-1 0,0 0 0,0 0 0,0-1 0,0 1 0,-1-1 0,1 0 0,4-2 0,0-3 160,1-1 0,-1 0 1,-1-1-1,0 1 1,0-1-1,0-1 1,-1 1-1,-1-1 1,0 0-1,0-1 1,4-13-1,-2 2 499,0-1 0,-2 0-1,-1 0 1,2-33 0,-4 28 505,2-77 2254,-5 96-2685,1 0 1,-1 1 0,-1-1 0,1 1-1,-1-1 1,-1 1 0,0 0 0,0 0-1,-6-12 1,8 20-495,1-1 1,0 1-1,0-1 0,-1 0 1,1 1-1,0-1 0,0 1 1,-1 0-1,1-1 0,-1 1 1,1-1-1,0 1 0,-1-1 1,1 1-1,-1 0 0,1-1 1,-1 1-1,1 0 0,-1 0 1,0-1-1,1 1 0,-1 0 1,1 0-1,-1 0 0,1 0 1,-1 0-1,0-1 0,1 1 0,-1 0 1,1 0-1,-1 1 0,0-1 1,1 0-1,-1 0 0,1 0 1,-1 0-1,1 0 0,-1 1 1,1-1-1,-1 0 0,0 0 1,1 1-1,0-1 0,-1 0 1,1 1-1,-1-1 0,1 1 1,-1-1-1,1 1 0,0-1 1,-1 1-1,-14 27-158,10-1 99,1 0 0,1 0 0,1 0 0,4 49-1,-1-21 61,-1-39-157,1-1 1,0 1-1,1-1 1,1 0-1,1 1 1,6 16-1,-9-28-50,0 1-1,1-1 1,0 0-1,0 0 1,0 0-1,1 0 1,-1 0-1,1 0 1,0-1-1,0 1 1,0-1-1,1 0 1,-1 0-1,1 0 1,-1-1-1,1 1 1,0-1-1,0 0 1,0 0-1,1 0 1,-1 0 0,0-1-1,1 1 1,-1-1-1,5 0 1,-3 0 211,1 0 0,-1-1 0,0 0 1,0 0-1,0-1 0,0 0 0,0 0 1,0 0-1,0-1 0,0 1 0,0-2 1,0 1-1,-1 0 0,1-1 0,-1 0 1,0-1-1,0 1 0,0-1 0,0 0 1,0 0-1,-1 0 0,0-1 1,0 0-1,0 1 0,-1-2 0,1 1 1,-1 0-1,0 0 0,-1-1 0,1 0 1,-1 0-1,0 1 0,1-8 0,1-7 626,-1 1 0,-1-1-1,0 0 1,-1 0-1,-2 0 1,-2-23 0,3 42-664,0 1 0,0 0 0,0 0 0,0 0 0,0-1 0,0 1 1,0 0-1,0 0 0,0 0 0,0 0 0,0-1 0,0 1 0,0 0 0,0 0 1,0 0-1,0 0 0,-1-1 0,1 1 0,0 0 0,0 0 0,0 0 0,0 0 1,0-1-1,0 1 0,0 0 0,0 0 0,-1 0 0,1 0 0,0 0 0,0 0 0,0 0 1,0-1-1,0 1 0,-1 0 0,1 0 0,0 0 0,0 0 0,0 0 0,-1 0 1,1 0-1,0 0 0,0 0 0,0 0 0,0 0 0,-1 0 0,1 0 0,0 0 0,0 0 1,0 0-1,0 0 0,-1 0 0,1 0 0,0 0 0,0 0 0,0 1 0,0-1 1,-1 0-1,1 0 0,0 0 0,0 0 0,0 0 0,0 0 0,0 0 0,-1 1 1,1-1-1,0 0 0,0 0 0,-7 12-214,3 3 55,1 0 0,0 0 0,1 0 1,1 1-1,1-1 0,0 0 0,0 1 0,2-1 1,0 0-1,4 16 0,-4-26-80,0-1-1,1 1 1,-1-1 0,1 0-1,0 0 1,0 0 0,0 0-1,1-1 1,-1 1 0,1-1-1,0 0 1,0 0-1,0 0 1,6 3 0,-8-5 209,0 0 1,0 0-1,0 0 1,0 0-1,0-1 1,0 1-1,0-1 1,1 1-1,-1-1 1,0 0-1,0 1 0,0-1 1,1 0-1,-1-1 1,0 1-1,0 0 1,1-1-1,-1 1 1,0-1-1,0 1 1,0-1-1,0 0 1,0 0-1,0 0 1,0 0-1,0-1 1,0 1-1,0 0 1,-1-1-1,1 1 1,-1-1-1,3-2 0,6-13 552,-1 0-1,-1 0 0,0 0 1,-1-1-1,-1 0 0,-1-1 0,4-22 1,5-14 1448,-12 53-1391,0 10-579,1 10-189,-2-1 100,8 60-672,-8-71 381,0 0 0,1 0 0,0-1 0,0 1 1,0 0-1,1-1 0,0 1 0,0-1 0,0 0 0,5 5 0,-8-8 277,1-1 1,0 0-1,0 0 0,1 0 1,-1 0-1,0 0 1,0-1-1,0 1 0,1 0 1,-1 0-1,0-1 1,1 1-1,-1-1 0,0 1 1,1-1-1,-1 0 0,1 1 1,-1-1-1,0 0 1,1 0-1,-1 0 0,1 0 1,-1 0-1,1 0 1,-1-1-1,1 1 0,-1 0 1,0-1-1,1 1 0,-1-1 1,0 0-1,1 1 1,-1-1-1,0 0 0,0 0 1,1 1-1,-1-1 1,0 0-1,0 0 0,0-1 1,0 1-1,1-1 0,4-6 166,0 0 0,0 0 0,-1-1 0,7-14 0,-12 23-72,39-78 1987,1 0 2940,-41 103-4536,2-13-459,-2 16-150,0-11-269,1 1 0,0 0 0,2-1 0,4 27-1,-5-40 80,1 0-1,-1 0 0,1 0 0,-1 0 0,1 0 0,0 0 0,1-1 0,-1 1 0,1-1 0,3 4 0,-4-5-117,1 1 0,-1-2 0,1 1 0,0 0 0,0 0 0,0-1 1,0 0-1,0 0 0,0 1 0,0-2 0,0 1 0,0 0 0,0-1 0,0 1 0,4-1 0,15 0-4262</inkml:trace>
  <inkml:trace contextRef="#ctx0" brushRef="#br0" timeOffset="4757.42">4118 575 1649,'0'0'8139,"1"-18"-4622,0-58-729,-1 74-2625,1 0 0,-1-1 1,-1 1-1,1 0 0,0 0 1,0 0-1,-1 0 0,1 0 0,-1 0 1,0 0-1,0 0 0,1 0 1,-1 0-1,-1 0 0,1 0 1,0 0-1,0 0 0,-1 1 0,1-1 1,-1 1-1,1-1 0,-1 1 1,0-1-1,1 1 0,-1 0 1,0 0-1,0 0 0,0 0 1,0 0-1,0 0 0,-2 0 0,1 1-98,-1-1 0,1 1 0,0 0 0,-1 0 0,1 0 0,0 0 0,0 1 0,-1-1 0,1 1-1,0 0 1,0 0 0,0 0 0,0 1 0,0-1 0,-6 4 0,4-1-59,0 1 1,0-1-1,1 1 0,-1 1 1,1-1-1,0 0 1,0 1-1,1 0 0,0 0 1,0 0-1,0 0 0,1 0 1,-2 8-1,0 1-43,0 1 0,2-1 0,0 1 0,0 24 0,3-37-88,-1 0 1,0 1 0,1-1-1,-1 0 1,1 0 0,0 0-1,0 0 1,0 0-1,1 0 1,-1-1 0,1 1-1,-1 0 1,1-1 0,0 1-1,0-1 1,0 1-1,0-1 1,1 0 0,-1 0-1,0 0 1,1 0 0,0 0-1,-1-1 1,1 1-1,0-1 1,0 0 0,0 0-1,0 0 1,0 0 0,0 0-1,0-1 1,0 1-1,0-1 1,0 0 0,0 0-1,1 0 1,-1 0 0,0 0-1,0-1 1,0 0-1,6-1 1,-6 0 135,1 0 0,-1 0 0,0 0-1,0-1 1,0 1 0,0-1 0,0 1 0,0-1 0,-1 0-1,1 0 1,-1-1 0,0 1 0,0 0 0,0-1 0,0 1-1,-1-1 1,1 1 0,0-6 0,4-8 520,-1-1 0,3-26-1,-1-34 2403,-7 38 759,-8 83-3710,2 1 0,-1 60 0,7-78-42,-1 45-295,2-1 0,4 1 0,19 95 0,-21-155-256,3 18-761,-7-13-4468</inkml:trace>
  <inkml:trace contextRef="#ctx0" brushRef="#br0" timeOffset="6372.91">4560 466 3009,'0'0'12206,"-10"-10"-11043,-31-32-402,41 41-739,-1 1 0,1-1 0,-1 0 0,0 0 0,1 1 1,-1-1-1,0 0 0,0 1 0,0-1 0,0 1 1,1-1-1,-1 1 0,0 0 0,0-1 0,0 1 1,0 0-1,0-1 0,0 1 0,0 0 0,0 0 0,0 0 1,0 0-1,0 0 0,0 0 0,-2 0 0,-7 14-86,9-11 101,-3 5-44,0 1 1,1 0-1,0 0 0,0 0 1,1 0-1,0 1 1,0 11-1,0 70 33,3-76-20,-1-8-21,1 0 0,-1 1-1,1-1 1,1 0 0,0 0 0,0 0 0,0 0 0,1 0 0,0 0 0,0-1 0,1 1 0,4 6 0,-5-9-34,0-1 1,1 1-1,-1-1 1,1 1-1,-1-1 1,1 0-1,0 0 1,1-1-1,-1 1 1,0-1-1,1 0 1,-1 0-1,1 0 1,-1-1-1,1 0 1,0 0-1,0 0 1,0 0-1,5-1 1,-3 1 69,0-1 1,0-1-1,-1 1 0,1-1 1,0-1-1,-1 1 0,1-1 1,-1 0-1,1 0 0,-1-1 1,0 0-1,0 0 0,0-1 1,0 1-1,-1-1 0,0-1 1,1 1-1,-1-1 0,-1 0 1,1 0-1,-1 0 0,0 0 1,0-1-1,4-8 0,0 1 147,0-1 0,-1 0 0,-1-1 0,0 1 0,-1-1-1,-1 0 1,0 0 0,-1-1 0,-1 1 0,1-17 0,-1 40-283,1 0 0,0 0-1,1 0 1,0-1 0,0 1 0,0-1 0,7 8 0,19 20-826,-28-33 636,0 0 0,0 0 0,0 0 0,0 0 0,0-1 0,1 1 0,-1-1 0,1 0 0,-1 1-1,1-1 1,-1 0 0,1-1 0,0 1 0,4 0 0,-7-1 338,1-1 1,0 0-1,-1 0 0,1 0 0,-1 0 1,1 0-1,-1 0 0,0 0 0,1-1 1,-1 1-1,0 0 0,0 0 1,0 0-1,0 0 0,0 0 0,0 0 1,0 0-1,0-3 0,-2-22 392,1 22-346,0 1 1,-1-1 0,1 1-1,-1 0 1,0 0 0,0 0-1,0 0 1,0 0 0,0 1-1,-1-1 1,1 0 0,-1 1 0,0 0-1,0 0 1,0 0 0,0 0-1,0 0 1,0 0 0,0 1-1,0-1 1,-7 0 0,8 1-66,-1 0 0,0 0 0,1 1 0,-1-1 0,1 1 1,-1 0-1,0-1 0,1 1 0,-1 1 0,0-1 0,1 0 1,-1 1-1,0-1 0,1 1 0,-1 0 0,1 0 0,-1 0 0,1 0 1,0 0-1,-1 0 0,1 1 0,0-1 0,0 1 0,0 0 1,0-1-1,0 1 0,0 0 0,-3 5 0,1 2-26,1 0 0,-1 1-1,2-1 1,-1 1 0,1 0 0,1 0 0,0 0-1,0 0 1,1 0 0,2 18 0,-2-18-22,0-5-67,0-1 0,1 0 0,-1 0 0,1 1 0,0-1 0,0 0 0,0 0-1,1 0 1,0 0 0,-1 0 0,1 0 0,1 0 0,-1-1 0,0 1 0,1-1 0,0 0 0,0 0 0,0 0 0,0 0-1,0 0 1,7 4 0,-2-3 25,-1 0 0,1-1-1,-1 0 1,1-1 0,0 0 0,0 0-1,0 0 1,0-1 0,1 0 0,11-1-1,-17 0 145,-1 0 0,0 0 0,0-1 0,1 1 0,-1-1 0,0 1 0,0-1 0,0 0 0,0 0 0,0 0 0,0 0 0,0 0 0,0 0-1,0-1 1,0 1 0,-1 0 0,1-1 0,2-3 0,0 1 110,-1-1 1,-1 1-1,1-1 0,0 0 1,-1 0-1,0 0 0,2-9 1,0-3 330,-1-1 0,-1 1 0,1-34 1,-3 11 960,0 39-1580,-7 34-487,5-20 401,0-1 0,1 1 0,1 15 1,1-12-226,-1-15 366,0 0 0,0 0 0,0 1 0,0-1 0,0 0 0,0 0 0,1 0 0,-1 0-1,1 1 1,-1-1 0,1 0 0,-1 0 0,1 0 0,0 0 0,-1 0 0,1 0 0,0 0 0,0-1-1,-1 1 1,1 0 0,0 0 0,0-1 0,0 1 0,2 0 0,-1 1-36,1-1-1,0 0 1,0 0 0,0-1 0,0 1-1,0 0 1,1-1 0,-1 0 0,5 0-1,-3 0 80,1 0-1,0-1 0,-1 0 0,1 0 0,0-1 1,-1 1-1,1-1 0,-1 0 0,0-1 1,8-4-1,-5 1 63,-1-1 0,0 0 0,-1-1 0,1 1 0,-1-1 0,-1 0 0,0-1 0,0 0 0,0 0 0,-1 0 0,0 0-1,-1 0 1,4-20 0,-2-3 557,-1 0 0,-2-62 0,-2 91-563,1-4 95,-1 0 0,0 0 0,-1 0 0,1 0 0,-1 0 0,-1 0 0,0 0 0,0 0 0,0 0 0,0 1 0,-1-1 0,0 1 1,-1 0-1,1 0 0,-8-9 0,10 14-119,0 0 0,1 0 0,-1 0 0,0 0 0,0 0 0,0 1 1,0-1-1,0 0 0,0 1 0,0-1 0,-1 0 0,1 1 0,0-1 0,0 1 0,0 0 1,-1-1-1,1 1 0,0 0 0,0 0 0,-1 0 0,1 0 0,0 0 0,0 0 0,-1 0 1,1 0-1,0 0 0,0 1 0,0-1 0,-1 0 0,1 1 0,0-1 0,0 1 1,0 0-1,0-1 0,0 1 0,0 0 0,0-1 0,0 1 0,0 0 0,0 0 0,0 0 1,0 0-1,1 0 0,-1 0 0,0 0 0,0 2 0,-3 3-46,1 0-1,-1 1 1,2-1-1,-1 1 1,1 0 0,-3 11-1,2 1-29,1 1-1,0 0 1,1 0 0,2-1-1,0 1 1,1 0-1,0 0 1,2-1 0,1 0-1,0 0 1,10 24-1,-8-27-627,1 0 0,0-1 0,1 0-1,1 0 1,0-1 0,1 0 0,0-1-1,15 12 1,-7-11-3603,-2-9-566</inkml:trace>
  <inkml:trace contextRef="#ctx0" brushRef="#br0" timeOffset="7572.87">5417 498 7940,'0'0'9092,"-14"-5"-8855,-43-12-45,56 17-188,-1 0-1,0 0 1,1-1-1,-1 1 1,0 1-1,0-1 1,1 0-1,-1 0 1,0 1-1,1-1 1,-1 0-1,1 1 1,-1 0-1,0-1 1,1 1-1,-1 0 1,1 0-1,0 0 1,-1 0-1,1 0 1,0 0-1,-3 3 1,-13 27 31,15-27-23,-2 6-14,1 0-1,-1 1 0,2-1 0,-1 1 0,2 0 0,-1 0 1,2 0-1,-1 0 0,2 11 0,-1-19-18,0 1 1,1-1-1,-1 0 0,1 0 0,0 0 1,-1 0-1,1 1 0,1-1 0,-1 0 0,0-1 1,1 1-1,-1 0 0,1 0 0,0-1 1,0 1-1,0-1 0,0 1 0,1-1 1,-1 0-1,1 0 0,-1 0 0,1 0 1,0 0-1,0-1 0,-1 1 0,1-1 0,0 0 1,0 0-1,1 0 0,-1 0 0,0-1 1,0 1-1,0-1 0,4 1 0,0-1 55,-1 0 0,1 0 0,0 0 1,0-1-1,0 0 0,-1 0 0,1-1 0,0 0 0,-1 0 0,1 0 0,7-5 0,-10 4 14,0 0 1,0 0-1,0 0 1,-1-1-1,1 1 1,-1-1-1,0 0 1,0 0-1,-1 0 1,1 0-1,-1-1 1,0 1-1,0-1 1,0 1-1,-1-1 0,3-9 1,-2-1 511,0 0 0,-1 0 0,-1-26 0,-1 13 561,-2 22-941,-4 12-65,-3 14-36,8-15-158,1 1 0,0-1 0,0 0 0,1 1 0,-1-1-1,1 1 1,0-1 0,1 1 0,-1-1 0,1 1 0,3 8 0,-3-11 14,1 0-1,-1 0 1,1 0 0,0 0 0,0 0 0,0-1-1,0 1 1,0-1 0,1 0 0,-1 1 0,1-1-1,-1 0 1,1 0 0,0-1 0,0 1 0,0-1-1,0 1 1,0-1 0,0 0 0,4 1 0,-2 0-152,0-1 0,0 0 0,0 0 1,0 0-1,0 0 0,0-1 1,0 0-1,0 0 0,0 0 1,0 0-1,1-1 0,-1 0 1,0 0-1,5-2 0,-7 1 202,0 0 0,0 0 0,0 0 0,-1 0 0,1-1 0,0 1 1,-1-1-1,0 1 0,1-1 0,-1 0 0,0 0 0,-1 0 0,1 0 0,0-1 0,-1 1 0,0 0 0,1-1 0,-1 1 0,-1 0 0,2-7 0,0-2 86,0 0 0,-1-1 0,0 1 0,-2-14 0,1 21 52,-1 0 0,1 0-1,-1 0 1,-1 0 0,1 0-1,-1 0 1,1 1 0,-2-1 0,1 0-1,0 1 1,-1 0 0,-4-6 0,7 9-107,0 1 1,0 0 0,0 0 0,0-1 0,0 1 0,-1 0-1,1 0 1,0 0 0,0-1 0,0 1 0,0 0 0,-1 0-1,1 0 1,0-1 0,0 1 0,0 0 0,-1 0 0,1 0 0,0 0-1,0 0 1,-1 0 0,1 0 0,0-1 0,0 1 0,-1 0-1,1 0 1,0 0 0,0 0 0,-1 0 0,1 0 0,0 0-1,0 0 1,-1 0 0,1 0 0,0 0 0,0 1 0,-1-1 0,1 0-1,0 0 1,0 0 0,-1 0 0,1 0 0,0 0 0,0 0-1,0 1 1,-1-1 0,1 0 0,0 0 0,0 0 0,-1 1 0,-3 18 72,4 25-242,1-39 52,0-1 1,1 1-1,-1-1 1,1 0 0,0 0-1,0 1 1,0-1-1,1 0 1,0-1-1,-1 1 1,1 0 0,0-1-1,1 0 1,-1 0-1,1 0 1,-1 0 0,1 0-1,5 2 1,-6-3-4,1 1 1,-1-1-1,1 0 0,0 0 1,0-1-1,0 1 0,0-1 1,0 0-1,1 0 0,-1 0 1,0-1-1,0 1 0,1-1 1,-1 0-1,0 0 0,1-1 1,-1 1-1,0-1 0,0 0 1,5-1-1,-6 0 156,1-1-1,-1 1 1,0-1-1,1 0 1,-1 1 0,-1-1-1,1 0 1,0-1-1,-1 1 1,0 0 0,4-8-1,20-48 1200,-17 36-93,-5 10-21,-2 6 1026,-2 16-1744,-13 123-379,13-126-86,0-1-1,0 0 1,1 0-1,-1 0 1,1 0-1,0 0 1,0 0-1,1 0 1,2 6-1,-2-9-24,-1 0 1,1 0-1,-1 0 0,1 0 0,0 0 0,0 0 1,-1-1-1,1 1 0,0-1 0,1 1 0,-1-1 1,0 0-1,0 0 0,1 0 0,-1 0 1,0 0-1,1-1 0,-1 1 0,1-1 0,-1 0 1,3 1-1,1 0 84,0 0 1,0 0-1,0-1 0,0 0 1,0 0-1,0 0 0,0-1 1,-1 0-1,1 0 0,0 0 1,0-1-1,-1 0 0,1 0 1,-1 0-1,1-1 0,-1 0 1,0 0-1,0 0 0,-1-1 1,1 1-1,0-1 0,5-7 1,-2 2 91,0 0 0,-1 0 1,-1-1-1,0 1 0,0-2 1,0 1-1,-1-1 0,-1 0 0,0 0 1,-1 0-1,0 0 0,0-1 1,-1 1-1,-1-1 0,0 1 1,0-1-1,-1 0 0,-3-20 1,2 28-31,0 1 1,0-1 0,-1 0 0,1 1 0,-1-1-1,0 1 1,1 0 0,-2-1 0,-1-2-1,3 5-62,1 0 1,-1 0-1,0 0 0,1 0 0,-1 1 0,0-1 0,0 0 0,1 0 0,-1 1 0,0-1 0,0 0 0,0 1 0,0-1 0,0 1 0,0-1 0,0 1 0,0-1 0,0 1 0,0 0 0,0 0 0,0-1 0,0 1 0,-1 0 0,1 0 0,0 0 0,0 0 0,0 0 1,0 0-1,0 1 0,0-1 0,0 0 0,0 0 0,0 1 0,0-1 0,-2 1 0,2 1-21,0-1 1,0 0-1,0 1 0,0-1 1,1 1-1,-1-1 0,0 1 1,0-1-1,1 1 0,-1-1 1,1 1-1,0 0 0,-1-1 1,1 1-1,0 0 0,0 2 1,0 32-61,1-27 44,0-4 17,0 0 0,0-1 0,0 1 0,0-1 0,1 1 0,0-1 0,0 1 0,0-1 0,1 0 0,-1 0 0,1 0 0,0 0 0,0 0 0,6 5 0,8 6 74,35 25 0,-28-22 38,-16-11-111,35 30-129,-41-34 25,0-1 0,0 1-1,0 0 1,0-1 0,0 1-1,-1 0 1,1 0 0,-1 0-1,0 0 1,0 0 0,0 0-1,0 1 1,-1-1 0,1 6-1,-1-8 46,-1 0-1,1 1 1,-1-1-1,1 0 1,-1 1-1,0-1 1,1 0-1,-1 0 1,0 0-1,0 0 1,0 0-1,0 0 1,0 0-1,0 0 1,0 0-1,0 0 1,0 0-1,-1-1 1,1 1 0,0 0-1,0-1 1,-1 1-1,1-1 1,0 0-1,-1 1 1,-2-1-1,-43 9-735,38-8 500,6-1 142,-59 7-2221,22-5-3744</inkml:trace>
  <inkml:trace contextRef="#ctx0" brushRef="#br0" timeOffset="9019.9">6619 372 4402,'1'0'17607,"8"13"-17545,11 31-27,-2 0 0,-1 1-1,-3 1 1,-2 0 0,11 86 0,-23-129-684,0-22-10817</inkml:trace>
  <inkml:trace contextRef="#ctx0" brushRef="#br0" timeOffset="9408.75">6581 618 2481,'0'0'16778,"0"-1"-16464,0 1 0,-1-1 0,1 0-1,0 0 1,0 0 0,0 0 0,0 0-1,0 0 1,0 0 0,0 0 0,0 0-1,0 0 1,0 0 0,1-1 0,18-5-161,0 1 0,0 1 0,0 0 0,1 2 0,24-2 1,0-1 7,3 0-98,-28 5 12,0-2-1,1 0 0,18-7 0,-38 10-44,-3 0-1512,-1-1 705,1 1 0,-1 0-1,1 1 1,-1-1 0,1 1 0,-1-1-1,1 1 1,-7 2 0,-3 1-2907,2-2-1011</inkml:trace>
  <inkml:trace contextRef="#ctx0" brushRef="#br0" timeOffset="11343.43">3230 498 1521,'2'-2'12099,"8"-6"-11798,6 1 95,-16 7-397,0 0 1,0 0 0,0 0 0,-1 0-1,1 0 1,0 0 0,0 0 0,0 0-1,0 0 1,0 0 0,0-1 0,0 1-1,0 0 1,0 0 0,0 0-1,0 0 1,0 0 0,0 0 0,0 0-1,0 0 1,0 0 0,0 0 0,-1 0-1,1 0 1,0 0 0,0 0 0,0 0-1,0-1 1,0 1 0,0 0-1,0 0 1,0 0 0,0 0 0,0 0-1,0 0 1,0 0 0,0 0 0,0 0-1,0 0 1,0 0 0,0-1 0,0 1-1,1 0 1,-1 0 0,0 0-1,0 0 1,0 0 0,0 0 0,0 0-1,0 0 1,0 0 0,0 0 0,0 0-1,0 0 1,0 0 0,0 0 0,0 0-1,0 0 1,0 0 0,0 0-1,0 0 1,1-1 0,-1 1 0,0 0-1,0 0 1,0 0 0,0 0 0,0 0-1,-26 1-351,4 0 637,-46-1 2513,103 0-2638,0 1-74,1-2 0,0-1 1,-1-2-1,1-2 0,-1-1 0,47-15 0,-88 23 119,3 0-274,1-1 1,-1 1-1,1-1 0,-1 1 1,1 0-1,0 0 1,-1 0-1,1 1 1,0-1-1,-2 2 1,2-2-356,1 1 0,-1-1 1,0 0-1,1 0 0,-1 0 1,0 0-1,0 0 1,0 0-1,0-1 0,0 1 1,0 0-1,0-1 0,-3 1 1,-6-1-4038</inkml:trace>
  <inkml:trace contextRef="#ctx0" brushRef="#br0" timeOffset="13788.28">7409 498 944,'0'0'11480,"0"-6"-9834,0-18 4291,0 42-5124,1 30-706,1 0 0,19 95-1,-20-136 89,4 17-812,-3-21 360,0-14 440,1-347 397,-4 196 732,2 170-1340,0 0-1,1-1 1,0 1 0,0 0 0,0-1 0,7 13 0,1 2-45,68 158-40,-24-62-478,-46-95-1937,-5-7-2329</inkml:trace>
  <inkml:trace contextRef="#ctx0" brushRef="#br0" timeOffset="13988.56">7471 554 1713,'0'0'2289,"126"34"-2289,-86-32-480,-1-2-1489,-1 0 432</inkml:trace>
  <inkml:trace contextRef="#ctx0" brushRef="#br0" timeOffset="14472.13">7836 385 2657,'0'0'2577,"0"-21"-53,1-11-1510,0-34 644,-3 9 2655,-2 39-1832,-4 14-555,7 4-1900,0 1 1,0 0-1,0 0 1,0 0-1,0 0 0,0 0 1,0 0-1,0 0 1,0 1-1,1-1 1,-1 0-1,0 0 0,1 1 1,-1-1-1,1 0 1,0 1-1,-1-1 1,1 0-1,0 3 0,-4 17 0,1 0 0,0 0-1,2 1 1,1-1 0,1 1-1,0-1 1,2 0 0,0 0-1,1 0 1,2 0 0,0-1-1,1 1 1,1-1 0,1-1 0,13 22-1,-17-33-210,1-1 0,-1 0-1,2 0 1,-1-1-1,1 0 1,0 0 0,0 0-1,14 7 1,-17-10 98,1-1 1,-1 0-1,0 0 0,1-1 0,0 1 1,-1-1-1,1 0 0,0 0 0,-1 0 1,1-1-1,0 0 0,0 0 0,-1 0 1,1 0-1,0-1 0,0 0 0,-1 0 1,8-2-1,-8 1 95,0-1 0,-1 1-1,0-1 1,0 0 0,0 0 0,0 0 0,0 0-1,0-1 1,-1 1 0,0-1 0,1 1 0,-1-1-1,-1 0 1,1 0 0,0 0 0,-1 0 0,0 0-1,1-5 1,2-8 42,-1 0 1,-1 0-1,0-21 1,-1 10 172,0-9 288,-4-47 1,2 74-207,-1-1 0,0 0 0,0 1 0,-1-1 0,-1 1 0,0 0 0,0 0 0,-11-18 0,15 28-295,0 0 0,0-1 1,-1 1-1,1-1 0,0 1 0,0 0 1,0-1-1,0 1 0,-1 0 1,1-1-1,0 1 0,-1 0 1,1-1-1,0 1 0,0 0 0,-1-1 1,1 1-1,0 0 0,-1 0 1,1 0-1,-1-1 0,1 1 0,0 0 1,-1 0-1,1 0 0,-1 0 1,1 0-1,0 0 0,-1-1 1,1 1-1,-1 0 0,1 0 0,-1 0 1,1 1-1,0-1 0,-1 0 1,1 0-1,-1 0 0,1 0 1,-8 18 419,4 30 71,4-47-500,-1 20 16,1 0 0,1 0 0,0 0 0,2 0 0,1 0 0,0-1 0,1 0-1,15 36 1,13 10-914,-9-25-2685,-15-30 586,-3-7-2102</inkml:trace>
  <inkml:trace contextRef="#ctx0" brushRef="#br0" timeOffset="16186.4">8047 468 4898,'0'0'3314,"18"0"-3138,146 0 13,-163 0-137,1 0 0,-1-1 0,1 1 0,-1 0 0,0 0 0,1-1 0,-1 1 0,0-1 0,1 1 0,-1-1 1,0 0-1,1 1 0,-1-1 0,0 0 0,0 0 0,0 0 0,0 0 0,0 0 0,0 0 0,0 0 0,0 0 0,0-1 0,-1 1 0,1 0 0,0 0 0,-1-1 0,1 1 0,-1 0 0,1-1 0,-1 1 0,0-2 0,2-6 1510,-1 0 0,0 1 0,-1-1 0,0-9 0,0 8 809,-8 61-4135,8-46 1479,0 0-1,1 1 1,-1-1-1,1 0 1,0 0-1,0 0 1,1 0-1,-1 0 1,5 8-1,-5-11 179,1 0 0,-1 0-1,0 0 1,1-1 0,-1 1-1,1-1 1,0 1 0,-1-1-1,1 1 1,0-1 0,0 0-1,0 0 1,0 0 0,0 0 0,0 0-1,0-1 1,0 1 0,0-1-1,1 1 1,-1-1 0,0 0-1,0 0 1,0 1 0,1-2-1,3 1 1,-5-1 120,0 1 0,1-1 0,-1 1 0,0-1 0,0 0 0,0 0 0,0 1 0,0-1 1,0 0-1,0 0 0,0 0 0,0 0 0,0 0 0,-1 0 0,1-1 0,0 1 0,-1 0 0,1 0 0,0 0 0,-1-1 0,0 1 0,1 0 0,-1-1 0,0 1 1,0 0-1,0 0 0,0-3 0,3-42 597,-3 40-335,0 0-187,0-1 312,0 0 0,0 1-1,0-1 1,-1 0 0,0 1-1,0-1 1,-4-7 0,5 12-323,-1 1 0,0-1 0,0 1 0,-1-1 0,1 1 0,0 0 0,0-1 0,-1 1 0,1 0 0,-1 0 1,1 0-1,-1 0 0,0 0 0,1 0 0,-1 0 0,0 1 0,1-1 0,-1 0 0,0 1 0,0 0 0,0-1 0,1 1 0,-1 0 1,0 0-1,0 0 0,0 0 0,0 0 0,1 1 0,-1-1 0,0 0 0,-3 2 0,3-1-75,-1 0 0,1 0 0,-1 0 0,1 1 0,-1-1 0,1 1 0,0-1 0,0 1 0,0 0 0,0 0 0,0 0 0,0 0 0,1 0 0,-1 1 0,1-1 0,-1 0 0,1 1 0,0-1 0,0 1 0,0 0 0,0-1 0,0 1 0,1 0 0,-1 3 0,-2 7-15,1 1 1,0 0 0,1 19-1,1-23-16,0 0 1,0-1-1,2 1 0,-1-1 0,1 1 0,0-1 1,7 18-1,-7-23-78,0 0 0,1 0 0,-1 0 1,1-1-1,0 1 0,0-1 0,0 1 0,0-1 1,1 0-1,-1 0 0,1-1 0,0 1 0,0-1 1,0 0-1,0 0 0,0 0 0,0 0 0,9 2 0,-6-2 78,0 0 0,0-1 0,0 0 0,0 0 0,0 0 0,0-1 0,0 0 0,0-1 0,0 1 0,0-1 0,0-1 0,0 1 0,0-1 0,0 0 0,0-1 0,-1 0 0,0 0 0,1 0 0,-1-1-1,0 0 1,0 0 0,-1 0 0,1-1 0,-1 0 0,0 0 0,7-10 0,-6 8 218,-1-1 1,-1 0-1,1 0 0,-1 0 0,-1 0 1,1-1-1,-2 0 0,1 1 0,-1-1 1,0 0-1,-1 0 0,0 0 0,-1 0 0,0-12 1,-15 53-481,13-24 251,0-1 0,1 1 0,-1 0 0,1 0 0,1-1 0,0 1 0,0 0 0,0 0-1,1 0 1,3 10 0,-3-15-19,0 0 0,0 0-1,0 0 1,1 0-1,0 0 1,-1 0 0,1 0-1,0 0 1,1-1 0,-1 1-1,0-1 1,1 0 0,-1 1-1,1-1 1,0 0-1,0-1 1,-1 1 0,1 0-1,0-1 1,1 0 0,-1 1-1,0-1 1,0 0-1,1-1 1,-1 1 0,4 0-1,-3 0 33,1-1-1,0 1 0,0-1 0,0 0 1,0 0-1,0 0 0,0-1 0,0 1 1,-1-1-1,1-1 0,0 1 1,0-1-1,-1 1 0,1-1 0,-1-1 1,6-3-1,-6 3 63,0-1 0,0 0 0,-1 0 0,0 0 1,0 0-1,0 0 0,0-1 0,-1 0 0,0 1 0,0-1 0,0 0 1,0 0-1,-1 0 0,0 0 0,1-8 0,0 3 609,0 0-1,-1-1 1,0 1 0,-1-1 0,-1 1-1,-2-18 1,3 28-633,0 0-1,0 0 0,0 0 1,0 0-1,0 0 0,0-1 1,0 1-1,0 0 1,0 0-1,0 0 0,0 0 1,0 0-1,0 0 1,0 0-1,0 0 0,0 0 1,0 0-1,0-1 1,0 1-1,0 0 0,0 0 1,0 0-1,0 0 1,0 0-1,0 0 0,-1 0 1,1 0-1,0 0 1,0 0-1,0 0 0,0 0 1,0 0-1,0 0 1,0 0-1,0 0 0,0 0 1,-1 0-1,1 0 1,0 0-1,0 0 0,0 0 1,0 0-1,0 0 1,0 0-1,0 0 0,0 0 1,0 0-1,0 0 1,-1 0-1,1 0 0,0 0 1,0 0-1,0 0 0,0 0 1,0 0-1,0 0 1,0 0-1,0 0 0,0 1 1,0-1-1,0 0 1,-5 8-1,-2 10-182,4-1 153,0 1-1,0 0 1,2 0-1,0 0 1,1 0-1,4 26 1,-4-41-41,1 0 1,-1 1-1,1-1 1,0 0-1,0 0 1,1 0-1,-1 0 0,1 0 1,-1 0-1,1 0 1,0 0-1,0-1 1,0 1-1,1-1 0,-1 1 1,1-1-1,-1 0 1,1 0-1,0 0 1,-1 0-1,1 0 0,0-1 1,0 0-1,0 1 1,1-1-1,-1 0 1,6 1-1,-5-1 41,0-1-1,0 0 1,0 1 0,1-1-1,-1-1 1,0 1-1,0-1 1,0 1 0,0-1-1,0 0 1,0-1-1,0 1 1,0-1 0,0 0-1,-1 0 1,1 0 0,0 0-1,-1 0 1,0-1-1,0 0 1,6-6 0,-2 1 15,0-1 0,-1 0 0,0-1 1,-1 0-1,0 0 0,-1 0 0,0 0 1,0-1-1,2-12 0,-2-1 375,-1 0 0,-1 0 0,-1-27 0,0 50-327,-1-1 0,0 1 1,0 0-1,0 0 0,0-1 1,0 1-1,0 0 1,-1 0-1,1-1 0,0 1 1,-1 0-1,1 0 0,-1 0 1,1-1-1,-1 1 1,1 0-1,-1 0 0,0 0 1,1 0-1,-1 0 0,0 0 1,0 0-1,0 0 0,0 1 1,0-1-1,0 0 1,-2-1-1,2 3-43,0-1 1,0 0-1,0 0 1,0 0-1,0 1 1,0-1-1,1 1 1,-1-1-1,0 1 1,0-1 0,0 1-1,0-1 1,1 1-1,-1 0 1,0-1-1,1 1 1,-1 0-1,0 0 1,1-1-1,-1 1 1,1 0-1,-1 0 1,1 0-1,0 0 1,-1 0-1,1 0 1,0 0-1,0-1 1,0 1-1,-1 0 1,1 0-1,0 0 1,0 0-1,0 0 1,1 1-1,-2 7-134,0 0 0,1 0 0,1 0 0,-1-1 0,2 1 0,-1 0-1,1-1 1,0 1 0,1-1 0,0 1 0,0-1 0,1 0 0,0-1 0,0 1-1,1 0 1,0-1 0,0 0 0,1 0 0,0-1 0,0 0 0,0 0 0,1 0-1,0-1 1,0 0 0,0 0 0,1 0 0,0-1 0,14 5 0,-19-7-10,1-1 0,-1 0 1,1 0-1,0 0 1,-1-1-1,1 1 0,0-1 1,0 1-1,-1-1 0,1-1 1,4 0-1,-6 1 143,0-1 0,0 1 0,0-1 0,0 0 0,0 0 0,-1 0 0,1 0 1,0 0-1,-1-1 0,1 1 0,-1 0 0,1-1 0,-1 1 0,0-1 0,0 1 0,1-1 0,-1 0 0,0 0 0,0 1 1,-1-1-1,2-2 0,19-66 761,-18 55 116,1 0 0,0 1 0,1-1 0,11-20 0,-16 34-852,0 1-1,0-1 1,1 1-1,-1-1 1,0 1 0,0-1-1,1 1 1,-1 0-1,1-1 1,-1 1-1,0-1 1,1 1 0,-1 0-1,1-1 1,-1 1-1,0 0 1,1-1 0,-1 1-1,1 0 1,-1 0-1,1-1 1,0 1-1,-1 0 1,1 0 0,-1 0-1,1 0 1,-1 0-1,1 0 1,0 0 0,12 12 131,4 30-598,-15-37 361,6 28-1169,5 14-1474,-13-44 2324,1-1 0,0 1 0,0-1 0,1 1 0,-1-1 1,0 1-1,1-1 0,0 0 0,-1 0 0,1 0 0,0 0 0,0 0 0,2 1 0,-2-2 224,-1 0-1,0-1 0,1 1 0,-1 0 1,0-1-1,1 1 0,-1-1 0,1 0 1,-1 0-1,1 1 0,-1-1 0,1 0 1,-1 0-1,1 0 0,-1-1 0,0 1 1,1 0-1,-1 0 0,1-1 0,-1 1 1,1-1-1,-1 1 0,0-1 0,1 0 1,-1 0-1,0 1 0,0-1 0,0 0 1,1 0-1,-1 0 0,0 0 0,0 0 1,1-2-1,4-5 416,0 0-1,-1-1 1,0 0-1,5-10 1,4-8 1051,12-10 232,34-51 4012,-60 88-5503,0 0 0,0 0 0,0 0 1,0 1-1,0-1 0,-1 0 0,1 0 0,0 0 0,0 0 0,0 0 0,0 0 1,0 0-1,0 0 0,0 0 0,0 0 0,1 1 0,-1-1 0,0 0 0,0 0 1,0 0-1,0 0 0,0 0 0,0 0 0,0 0 0,0 0 0,0 0 0,0 0 1,0 0-1,0 1 0,0-1 0,0 0 0,0 0 0,0 0 0,0 0 0,0 0 1,1 0-1,-1 0 0,0 0 0,0 0 0,0 0 0,0 0 0,0 0 0,0 0 1,0 0-1,0 0 0,0 0 0,0 0 0,1 0 0,-1 0 0,0 0 0,0 0 1,0 0-1,0 0 0,0 0 0,0 0 0,0 0 0,0 0 0,0 0 0,0 0 1,0 0-1,1 0 0,-1 0 0,0 0 0,0-1 0,2 17 250,-1 18-520,-1-24-12,0 0 1,1 0-1,0 0 0,1 0 0,0-1 0,1 1 1,0 0-1,5 8 0,-7-14-141,1 0-1,0-1 1,0 1-1,0-1 1,1 0 0,-1 0-1,1 0 1,0 0-1,-1 0 1,1 0 0,1-1-1,-1 0 1,0 1-1,1-1 1,-1 0-1,1-1 1,-1 1 0,1-1-1,0 1 1,0-1-1,0 0 1,7 1 0,12-2-2340,3 0-803</inkml:trace>
  <inkml:trace contextRef="#ctx0" brushRef="#br0" timeOffset="16606.28">9644 517 208,'0'0'4744,"5"-17"-2426,17-54 203,-21 65-1949,1 1 1,-1-1-1,-1 1 0,1-1 1,-1 1-1,0-1 0,0 1 1,-1-11-1,0 14-373,1 0 1,-1 0-1,0 0 0,0 0 1,0 0-1,0 0 0,0 0 1,0 0-1,0 0 0,-1 0 1,1 0-1,0 1 1,-1-1-1,0 1 0,-3-3 1,1 1-62,-1 1 0,-1 0 1,1 1-1,0-1 0,0 1 0,0 0 1,-1 0-1,1 0 0,-1 1 1,1 0-1,-1 0 0,1 1 1,-11 1-1,12-1-130,0 0 1,1 0 0,-1 1-1,0-1 1,1 1-1,-1 0 1,1 0-1,0 0 1,0 1-1,0-1 1,0 1-1,0-1 1,0 1 0,0 0-1,1 0 1,0 0-1,-1 1 1,1-1-1,0 0 1,1 1-1,-1 0 1,1-1 0,-1 1-1,0 7 1,-1 0-126,1-1-1,0 1 1,0 0 0,1 0 0,1 0 0,0 0 0,1 0 0,1 11-1,-1-19-75,1 1 0,-1 0-1,0-1 1,1 1-1,0-1 1,0 1-1,0-1 1,1 0-1,-1 0 1,1 0-1,-1 0 1,1-1-1,0 1 1,0-1-1,0 1 1,0-1-1,1 0 1,-1 0 0,1-1-1,-1 1 1,1-1-1,-1 1 1,1-1-1,7 1 1,-7-1 127,-1 0 1,1-1-1,0 1 1,0-1-1,0 0 1,0 0-1,-1 0 0,1 0 1,0-1-1,0 1 1,0-1-1,-1 0 1,1 0-1,0-1 1,-1 1-1,1-1 1,-1 0-1,0 1 1,1-2-1,-1 1 1,0 0-1,0-1 1,0 1-1,4-7 1,-1-2 611,-1 0 0,0-1 0,-1 1 0,0-1 0,-1 0 0,0 0 1,-1-1-1,-1 1 0,0-1 0,0 1 0,-1 0 0,-1-1 1,-3-21-1,4 33-450,-1 0 1,1-1 0,-1 1-1,1-1 1,-1 1 0,1 0-1,-1-1 1,0 1-1,1 0 1,-1 0 0,0 0-1,0 0 1,0-1 0,0 1-1,0 0 1,0 1 0,0-1-1,-1 0 1,1 0 0,0 0-1,0 1 1,-2-2-1,2 2-76,0 0-1,0 0 1,0 0-1,0 0 1,0 0-1,0 0 1,0 0-1,0 0 0,0 0 1,0 0-1,0 1 1,0-1-1,0 0 1,1 1-1,-1-1 1,0 1-1,0-1 0,0 1 1,0-1-1,1 1 1,-1-1-1,0 1 1,0 0-1,1-1 1,-1 1-1,0 0 1,1 0-1,-1 0 0,1-1 1,-1 1-1,1 0 1,0 0-1,-1 2 1,-4 10 5,0 1 1,1 0 0,1 1 0,0-1 0,-2 29-1,6 79 211,1-53-143,-3-19-127,3 0 0,11 64 0,-10-100-368,4 22-903,-10-16-3103</inkml:trace>
  <inkml:trace contextRef="#ctx0" brushRef="#br0" timeOffset="17989.57">10223 293 7876,'0'0'11688,"0"78"-11197,1-46-421,2 0 1,0 0 0,2 0-1,1-1 1,21 60 0,-27-90-76,0-1 1,0 0-1,0 0 1,0 0-1,0 0 1,0 0-1,0 0 1,0 0-1,0 0 1,0 1-1,0-1 1,0 0-1,0 0 1,0 0-1,0 0 1,0 0-1,0 0 1,0 0-1,0 1 1,0-1-1,0 0 1,0 0-1,0 0 1,0 0-1,0 0 1,1 0-1,-1 0 1,0 0-1,0 0 1,0 1-1,0-1 1,0 0-1,0 0 1,0 0-1,0 0 1,0 0-1,0 0 0,1 0 1,-1 0-1,0 0 1,0 0-1,0 0 1,0 0-1,0 0 1,0 0-1,0 0 1,1 0-1,-1 0 1,0 0-1,0 0 1,0 0-1,0 0 1,0 0-1,0 0 1,0 0-1,0 0 1,1 0-1,-1 0 1,0 0-1,0 0 1,0 0-1,0 0 1,0 0-1,0 0 1,0-1-1,0 1 1,1 0-1,1-11 75,1-18 44,-3-52-147,-15-121-1,14 189 68,-2-4 70,1 0 0,1 1-1,1-1 1,2-22 0,-2 39-133,0-1 1,1 1-1,-1-1 1,1 1 0,-1-1-1,1 1 1,-1-1 0,1 1-1,-1-1 1,1 1-1,0 0 1,-1-1 0,1 1-1,-1 0 1,1 0-1,0-1 1,-1 1 0,1 0-1,0 0 1,-1 0 0,1 0-1,0 0 1,0 0-1,0 0 1,21-1-20,-18 1 35,3 1 14,-1 0 1,1 0 0,-1 1 0,0 0 0,1 0 0,-1 0 0,0 1 0,0 0 0,0 0 0,-1 0 0,1 1 0,-1 0 0,1 0 0,-1 0 0,-1 1 0,1-1 0,6 10 0,-5-7-195,0 0 0,-1 1 1,-1-1-1,1 1 0,-1 0 1,-1 0-1,1 1 0,-1-1 0,-1 0 1,1 1-1,-2 0 0,1 0 1,0 9-1,-2-14 82,0 1 1,0 0-1,-1-1 1,0 1-1,1 0 0,-1-1 1,-1 1-1,1-1 0,-1 0 1,0 1-1,-3 5 1,3-7 83,-1 0 0,1 0 0,-1-1 1,1 1-1,-1-1 0,0 0 0,0 0 1,0 0-1,0 0 0,-1 0 0,1-1 1,0 1-1,-1-1 0,1 0 0,-7 1 1,-4-1 749,19-7 1474,21-9-948,-18 13-1245,-1 1 0,1 0-1,0 0 1,0 0 0,0 1-1,-1 0 1,1 0 0,0 1-1,0 0 1,0 1 0,-1-1-1,1 1 1,8 4 0,-12-4-35,0 0 0,0 0 0,0 1 0,0-1 0,-1 1 0,1 0 0,-1 0 0,1 0 0,-1 0 0,0 1 0,0 0 1,-1-1-1,1 1 0,-1 0 0,0 0 0,0 0 0,0 0 0,0 1 0,-1-1 0,1 0 0,-1 1 0,-1-1 0,2 10 0,-1-8-76,-1 0-1,0 0 1,0 0-1,0 0 0,-1 0 1,0 0-1,-2 10 0,2-14 80,-1 1 0,1 0-1,-1 0 1,0-1-1,1 1 1,-1-1-1,0 1 1,-1-1-1,1 0 1,0 0-1,-1 0 1,1 0 0,-1 0-1,0-1 1,1 1-1,-4 1 1,-5 1-177,1-1 0,-1 0 1,0 0-1,0-1 0,0-1 1,0 1-1,0-2 0,-18 0 1,26 0 77,3-1 49,-1 1 0,1 0 1,-1 0-1,1 0 0,-1-1 0,1 1 0,-1 0 0,1-1 1,0 1-1,-1 0 0,1-1 0,0 1 0,-1 0 1,1-1-1,0 1 0,-1-1 0,1 1 0,0-1 1,0 1-1,0 0 0,-1-1 0,1 1 0,0-1 1,0 1-1,0-1 0,0 1 0,0-1 0,0 1 1,0-1-1,0 1 0,0-1 0,0 1 0,0-2 1,6-17-4705,8 9-1464</inkml:trace>
  <inkml:trace contextRef="#ctx0" brushRef="#br0" timeOffset="18514.94">11070 500 10053,'0'0'8550,"-8"6"-8438,-9 6-81,0-1 0,0-1 0,-1 0 0,0-1-1,-1-1 1,0-1 0,0 0 0,-27 5 0,45-13-39,0 1 0,1-1 0,-1 1 0,1-1 0,-1 1 0,1-1 0,-1 1 0,1-1 1,-1 1-1,1-1 0,0 0 0,-1 1 0,1-1 0,0 0 0,0 1 0,-1-1 0,1 0 0,0 1 1,0-1-1,0 0 0,0 0 0,0 1 0,0-1 0,0 0 0,0 0 0,0 1 0,0-1 0,0 0 0,1 1 1,-1-2-1,0 1-6,2-11 64,0 0 0,1 1-1,0 0 1,1-1 0,0 1 0,1 1 0,11-21 0,10-23 338,-17 28-152,0 0-1,-2-1 1,-2 0 0,4-35 0,-2-110 410,-7 171-646,0 0 0,0 1 0,0-1-1,0 0 1,0 1 0,0-1 0,0 1 0,0-1 0,-1 0 0,1 1 0,0-1 0,0 1 0,-1-1 0,1 0 0,0 1 0,-1-1 0,1 1-1,0-1 1,-1 1 0,1-1 0,-1 1 0,1 0 0,-1-1 0,1 1 0,-1 0 0,1-1 0,-1 1 0,1 0 0,-1-1 0,1 1 0,-1 0-1,0 0 1,1 0 0,-1 0 0,0-1 0,1 1 0,-1 0 0,1 0 0,-1 0 0,0 1 0,-1-1-15,0 0 0,0 0 1,0 1-1,0-1 0,0 1 0,0 0 1,0-1-1,0 1 0,1 0 0,-1 0 1,0 0-1,-2 3 0,-1 1 11,0 1 1,1-1-1,0 1 1,0 0-1,1 1 0,-1-1 1,1 1-1,1-1 0,-1 1 1,1 0-1,0 0 1,1 0-1,-1 7 0,-2 16-5,1 51 0,3-70-68,0 0 1,1-1-1,1 1 1,-1 0-1,2-1 1,-1 0 0,2 1-1,-1-1 1,1 0-1,1-1 1,0 1-1,0-1 1,1 0-1,0 0 1,0-1 0,1 1-1,0-1 1,1-1-1,0 0 1,0 0-1,0 0 1,1-1-1,0 0 1,0-1 0,11 5-1,-9-5-674,0-1-1,0 0 1,0-1-1,1 0 1,20 2-1,9-4-4597</inkml:trace>
  <inkml:trace contextRef="#ctx0" brushRef="#br0" timeOffset="19182.27">11418 133 2513,'0'0'13254,"6"0"-10146,37-4-2297,-9 1-559,78-12-571,-98 13 23,0-1-1,-1-1 1,1 0-1,-1-1 1,22-12-1,-34 17 281,0-1-1,1 1 1,-1-1 0,0 0-1,1 1 1,-1-1-1,0 0 1,0 0-1,0 0 1,0 0 0,0 0-1,0 0 1,0 0-1,0-1 1,0 1 0,0 0-1,-1 0 1,1-1-1,-1 1 1,1 0 0,-1-1-1,1 1 1,-1-1-1,0 1 1,1-1 0,-1 1-1,0-1 1,0 1-1,0 0 1,0-1-1,-1 1 1,1-1 0,0 1-1,-1-1 1,1 1-1,0 0 1,-1-1 0,-1-1-1,1 1 6,-1-1-1,0 1 0,0 0 1,0 1-1,0-1 1,0 0-1,0 1 1,0-1-1,0 1 0,-1-1 1,1 1-1,-1 0 1,1 0-1,-1 0 1,1 0-1,-1 1 0,1-1 1,-1 1-1,0-1 1,-3 1-1,1 0 3,0 0 61,-1 0 1,1 0-1,-1 0 1,1 1-1,0 0 1,-9 3-1,12-4 26,0 1 0,1 0-1,-1 0 1,1 0 0,0 0 0,-1 0-1,1 0 1,0 1 0,0-1 0,0 0-1,-1 1 1,1-1 0,1 1 0,-1-1-1,0 1 1,0-1 0,0 1 0,1-1 0,-1 1-1,1 0 1,0-1 0,-1 1 0,1 0-1,0 0 1,0 2 0,-3 33 702,3 0 1,0 0-1,3 0 0,1 0 1,11 49-1,5-14-828,10 50 455,-26-103-1815,-2 1 1,0 23 0</inkml:trace>
  <inkml:trace contextRef="#ctx0" brushRef="#br0" timeOffset="19460.86">11467 654 6643,'0'0'15970,"9"-4"-15068,14-4-797,1 1 0,0 1 0,38-4 0,-35 6-358,0-1 0,42-13 0,-65 16-117,0 1 1,-1 0-1,1-1 1,0 0-1,0 0 1,-1 0-1,1-1 1,-1 1-1,0-1 1,0 1-1,0-1 1,0 0-1,0-1 1,-1 1-1,1 0 1,-1-1-1,3-4 1,3-17-4295</inkml:trace>
  <inkml:trace contextRef="#ctx0" brushRef="#br0" timeOffset="19899.76">11369 118 1761,'0'0'13515,"0"-1"-13235,0 0-1,-1 1 0,1-1 0,0 0 1,0 0-1,0 0 0,0 1 0,0-1 0,0 0 1,0 0-1,0 0 0,0 1 0,0-1 1,0 0-1,0 0 0,1 1 0,0-2 1,6-3-196,1 0 1,0 1-1,0 1 1,0-1-1,1 1 1,-1 1 0,1-1-1,0 1 1,16-1-1,243-33 664,-178 25-418,-84 10 961,-31 0-17829</inkml:trace>
  <inkml:trace contextRef="#ctx0" brushRef="#br0" timeOffset="20253.95">11678 69 5378,'0'0'11782,"-1"6"-11315,-4 30 1807,1 66 1,19 113-442,-2-52-1452,-13-154-355,-1-8-17,1 1 0,0 0 0,0 0 0,0-1 0,0 1 0,0 0 0,0 0 0,0-1 0,1 1 0,-1 0 0,0 0 0,1-1 0,0 1 0,-1 0 1,2 1-1,-2-2-103,9 5-3815,-7 1-1693</inkml:trace>
  <inkml:trace contextRef="#ctx0" brushRef="#br0" timeOffset="20675">11527 709 16,'-7'-4'23448,"55"-5"-22950,83-5-1,-55 7-257,-48 4-147,3 1 90,0-2 0,1-2 0,33-10 0,-64 15-93,0 1-143,-23 0-2823,-21-1-2132,21-6-327</inkml:trace>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8:15.947"/>
    </inkml:context>
    <inkml:brush xml:id="br0">
      <inkml:brushProperty name="width" value="0.05" units="cm"/>
      <inkml:brushProperty name="height" value="0.05" units="cm"/>
      <inkml:brushProperty name="color" value="#00A0D7"/>
    </inkml:brush>
  </inkml:definitions>
  <inkml:trace contextRef="#ctx0" brushRef="#br0">1 119 1569,'0'0'10829,"0"0"-10766,0 0-1,0 0 1,0 0 0,1 0 0,-1 0 0,0 0 0,0 0 0,0-1 0,0 1-1,0 0 1,0 0 0,0 0 0,0 0 0,0 0 0,0 0 0,0 0 0,0-1-1,0 1 1,0 0 0,1 0 0,-1 0 0,0 0 0,0 0 0,0-1-1,0 1 1,0 0 0,0 0 0,-1 0 0,1 0 0,0 0 0,0 0 0,0-1-1,0 1 1,0 0 0,0 0 0,0 0 0,0 0 0,0 0 0,0 0 0,0 0-1,0-1 1,0 1 0,0 0 0,-1 0 0,1 0 0,0 0 0,0 0 0,0 0-1,0 0 1,0 0 0,0 0 0,-1 0 0,586-1 436,-518-3-2415,-26-8-2787,-28 4 183</inkml:trace>
  <inkml:trace contextRef="#ctx0" brushRef="#br0" timeOffset="284.45">612 1 6835,'0'0'8521,"52"34"-7792,-44-28-571,8 5 84,0 1 0,-1 0 0,-1 2 0,14 14 0,-25-24-232,1 1 0,-1-1-1,0 1 1,0 0 0,-1 0 0,1 0-1,-1 0 1,0 1 0,-1-1 0,1 0-1,-1 1 1,0 0 0,0-1 0,-1 1-1,0-1 1,0 1 0,0 0 0,0-1-1,-2 6 1,1-8-6,0 0 0,0-1 0,0 1 0,-1-1 0,1 0 0,0 1 0,-1-1 0,0 0 0,0 0-1,1 0 1,-1 0 0,0 0 0,-1 0 0,1-1 0,-4 3 0,3-2-310,1-1 0,-1 1 0,1 0 0,0 0 0,0 0-1,0 0 1,0 0 0,0 0 0,0 1 0,1-1 0,-1 1 0,-1 3 0,2 2-4430</inkml:trace>
</inkml:ink>
</file>

<file path=xl/ink/ink2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4:58:18.022"/>
    </inkml:context>
    <inkml:brush xml:id="br0">
      <inkml:brushProperty name="width" value="0.05" units="cm"/>
      <inkml:brushProperty name="height" value="0.05" units="cm"/>
      <inkml:brushProperty name="color" value="#00A0D7"/>
    </inkml:brush>
  </inkml:definitions>
  <inkml:trace contextRef="#ctx0" brushRef="#br0">167 386 800,'0'0'8420,"0"-15"-8420,-11 15-3906,4 0 401</inkml:trace>
  <inkml:trace contextRef="#ctx0" brushRef="#br0" timeOffset="312.01">167 386 3970,'-8'-2'850,"7"2"-564,-1 0 0,0-1 0,0 1 0,0 0 0,1-1 0,-1 0 0,0 1 0,1-1 0,-1 0 0,0 0 1,1 0-1,-1 0 0,1 0 0,-8-7 5358,4 10-5733,0 11-5324,5-9 2748</inkml:trace>
  <inkml:trace contextRef="#ctx0" brushRef="#br0" timeOffset="824.22">179 311 176,'0'0'16175,"-5"-9"-15283,-17-28-351,21 36-511,-1 0 0,0 0 1,0-1-1,1 1 0,-1 0 0,0 0 0,0 1 0,0-1 0,0 0 0,0 1 1,0-1-1,0 1 0,0-1 0,0 1 0,0 0 0,0 0 0,0 0 0,0 0 1,-5 1-1,3 0 29,-1 0 0,1 0 0,-1 0 0,1 0 0,-1 1 0,1 0 0,-4 2 0,2 0-49,0 1-1,1 0 0,-1 1 0,1-1 0,1 1 1,-1 0-1,1 0 0,0 0 0,0 0 1,1 1-1,0 0 0,0-1 0,0 1 0,1 1 1,0-1-1,1 0 0,-1 0 0,1 1 1,1-1-1,-1 0 0,1 1 0,1-1 1,2 15-1,-2-19-17,0 1 0,0 0 0,1 0 0,0-1 0,0 1 0,0-1 0,0 0 0,0 0 0,1 0 1,0 0-1,-1 0 0,1 0 0,0 0 0,0-1 0,1 0 0,-1 1 0,7 2 0,7 4-62,1-1-1,25 8 1,-23-9-32,11 4-72,-16-7-156,0 2 0,-1-1 0,1 2 0,-1 0 0,0 0 0,20 16 0,-33-22 301,1 0 1,-1 0-1,0 0 1,0 0-1,1 1 1,-1-1-1,0 0 1,0 1-1,0-1 1,0 1-1,0-1 1,-1 1-1,1 0 1,0-1-1,-1 1 1,1 0-1,-1-1 1,0 1-1,1 0 1,-1-1-1,0 1 1,0 0 0,0 0-1,0 0 1,-1-1-1,1 1 1,0 0-1,-1-1 1,1 1-1,-1 0 1,1-1-1,-1 1 1,0 0-1,-2 2 1,1-1-34,-1 0 0,0 1 0,0-1 0,-1 0 1,1-1-1,0 1 0,-1-1 0,0 1 0,0-1 0,1 0 1,-1 0-1,-6 1 0,1 0-200,-1 0 1,0-1 0,0 0-1,0-1 1,0 0-1,0 0 1,0-1-1,0-1 1,-11-1-1,20 1 272,0 1 0,0-1 0,0 0 0,0 1 1,0-1-1,0 0 0,0 0 0,0 0 0,0 0 0,0 0 0,0 0 0,1 0 0,-1 0 0,0 0 0,1 0 0,-1 0 0,1-1 0,0 1 0,-1 0 0,1 0 0,0 0 0,-1-1 0,1-1 0,2-14-1189,-2 16 922,1 1 0,-1-1 0,0 0-1,1 1 1,-1-1 0,1 0 0,-1 1 0,1-1-1,-1 1 1,1-1 0,-1 1 0,1-1-1,-1 1 1,1-1 0,0 1 0,-1 0-1,1-1 1,0 1 0,0 0 0,19-4-5066</inkml:trace>
  <inkml:trace contextRef="#ctx0" brushRef="#br0" timeOffset="2600.19">506 523 6755,'0'0'9717,"-4"-4"-9640,3 4-76,1-1 1,-1 0-1,0 0 0,1 1 1,-1-1-1,0 0 1,0 1-1,0-1 0,0 1 1,0-1-1,0 1 1,0-1-1,0 1 0,0 0 1,0-1-1,0 1 1,0 0-1,0 0 0,0 0 1,0 0-1,0 0 0,0 0 1,0 0-1,0 0 1,0 0-1,0 0 0,0 1 1,0-1-1,0 0 1,-1 1-1,1 1 2,-1-1 1,1 1-1,0-1 1,-1 1-1,1 0 0,0-1 1,0 1-1,0 0 1,0 0-1,1 0 0,-1 0 1,0 0-1,1 0 1,0 0-1,-1 0 1,1 0-1,0 0 0,0 0 1,0 0-1,0 3 1,0-5-14,0 1 1,0 0 0,0 0 0,0 0 0,0 0 0,0 0-1,0-1 1,0 1 0,0 0 0,1 0 0,-1 0-1,0 0 1,1-1 0,-1 1 0,0 0 0,1 0 0,-1-1-1,1 1 1,-1 0 0,1 0 0,0-1 0,-1 1-1,1-1 1,1 2 0,20 0-259,-15-2 253,-2 0 12,0 0-1,0 0 0,0 0 0,0-1 0,0 0 0,-1 0 1,1 0-1,0-1 0,-1 1 0,9-6 0,-10 6 3,-1-1-1,1-1 1,-1 1-1,0 0 0,1-1 1,-1 1-1,-1-1 1,1 1-1,0-1 1,0 0-1,-1 0 0,0 0 1,0 0-1,0 0 1,0 0-1,0 0 1,0 0-1,0-4 0,0 1 35,-1 0 0,1 0 0,-1 1 0,0-1 0,0 0 0,0 0 0,-1 0 0,0 0 0,-1 0 0,1 1 0,-1-1 0,0 0 0,0 1 0,-1-1 0,1 1 0,-5-6 0,4 7 22,0 1 0,-1-1 0,1 1 0,-1 0 0,0 0 0,0 0 1,0 0-1,0 0 0,0 1 0,-1 0 0,1 0 0,-1 0 0,1 1 1,-1-1-1,0 1 0,0 0 0,1 0 0,-1 1 0,0 0 0,-5 0 0,8 0-40,0 0-1,0 0 1,1 0-1,-1 0 1,0 1-1,0-1 0,1 1 1,-1-1-1,0 1 1,1 0-1,-1 0 0,1-1 1,-1 1-1,1 0 1,-1 1-1,1-1 0,0 0 1,-1 0-1,1 0 1,-2 3-1,1-1-6,0 1 1,0-1-1,1 1 0,-1 0 1,1-1-1,-1 1 1,1 0-1,-1 7 0,1 1-8,0 0-1,1 0 0,0 0 0,1 0 1,3 17-1,-2-23-1,0 1 0,0-1 1,0 1-1,1-1 0,0 0 0,1 0 0,-1 0 0,1 0 1,0-1-1,0 0 0,1 0 0,0 0 0,0 0 1,0-1-1,0 1 0,1-1 0,11 6 0,-6-4-70,0-1 0,1 0 0,0-1-1,-1 0 1,1-1 0,1 0 0,-1-1-1,25 1 1,-27-2 17,0-1 0,0-1 0,0 1 0,0-2 0,0 1-1,0-2 1,11-3 0,-15 4 66,0-1 0,-1 0-1,1-1 1,-1 1 0,1-1 0,-1 0-1,0-1 1,0 1 0,-1-1-1,1 0 1,-1 0 0,4-6 0,-1-1 22,-1 0 0,1 0 0,-2 0 0,0 0 0,0-1 0,-2 0 1,1 0-1,-1-1 0,1-16 0,-1-16 505,-3-61 0,-1 78-230,1 21-127,0 1-1,0-1 1,-1 1-1,0 0 1,0-1-1,-1 1 1,0 0-1,0 0 1,0 0-1,-1 0 1,-6-11-1,8 18-168,1-1 0,0 1 0,-1-1 0,1 1 0,-1-1 0,1 1 0,-1-1 0,1 1 0,-1 0 0,1-1 0,-1 1-1,1 0 1,-1 0 0,0-1 0,1 1 0,-1 0 0,1 0 0,-1 0 0,0 0 0,1 0 0,-1 0 0,1 0 0,-1 0 0,0 0-1,1 0 1,-1 0 0,0 0 0,1 0 0,-1 0 0,1 0 0,-1 1 0,1-1 0,-1 0 0,0 0 0,1 1 0,-1-1 0,1 1 0,-1-1-1,1 0 1,-1 1 0,1-1 0,-1 2 0,-15 19-58,10-8 41,1-1 0,0 1 0,1 0 0,1 0 1,0 0-1,-3 26 0,4 82-125,2-114 105,0 2-109,1-1 0,0 1 1,0-1-1,1 1 0,0-1 0,0 1 1,1-1-1,0 0 0,1 0 1,0-1-1,0 1 0,0-1 0,11 14 1,-10-16-38,0 0 0,0 0 1,1-1-1,-1 1 0,1-1 1,0 0-1,0-1 1,0 1-1,1-1 0,0 0 1,-1-1-1,1 0 0,0 0 1,0 0-1,0-1 0,0 0 1,9 0-1,-12 0 72,-1-1 0,1 0 0,0 0 1,0 0-1,0-1 0,0 1 0,0-1 0,-1 0 0,1 0 0,0 0 0,-1-1 0,1 1 0,0-1 0,-1 0 1,4-2-1,-4 0 128,0 1 1,-1 0 0,1-1 0,-1 1-1,0-1 1,0 1 0,0-1-1,-1 0 1,1 0 0,-1 0 0,0 0-1,0 0 1,0 0 0,0-6 0,3-107 3655,-4 113-2728,0 15-1042,0-7-179,-1 1 0,2 0 0,-1 0 0,0-1-1,1 1 1,2 8 0,-3-12 92,1 0-1,0 0 0,-1 0 0,1 1 0,0-1 1,0 0-1,0 0 0,0 0 0,0 0 0,0 0 1,0-1-1,0 1 0,0 0 0,0 0 0,1-1 1,-1 1-1,0 0 0,0-1 0,1 0 0,-1 1 1,0-1-1,1 0 0,-1 1 0,1-1 0,-1 0 1,0 0-1,1 0 0,0 0 0,0 0 65,0 0-1,-1 0 1,1 0-1,-1 0 1,1-1-1,-1 1 0,1 0 1,0 0-1,-1-1 1,1 1-1,-1-1 1,0 0-1,1 1 1,-1-1-1,1 0 1,-1 0-1,0 0 1,2-1-1,-2 0 108,0 0-1,1 0 1,-1-1 0,0 1-1,0 0 1,-1-1 0,1 1-1,0-1 1,-1 1 0,1-1-1,-1-2 1,1-3 280,0 0 0,0-1 0,-1 1 0,0-1 0,-1 1-1,-3-17 1,4 24-210,0-1 0,-1 0 0,0 1 0,1-1 0,-1 1 0,0-1-1,0 1 1,1-1 0,-1 1 0,-1-1 0,1 1 0,0 0 0,0 0 0,0 0-1,-1-1 1,1 1 0,0 0 0,-1 1 0,1-1 0,-1 0 0,1 0-1,-1 1 1,1-1 0,-1 0 0,0 1 0,1 0 0,-1-1 0,0 1 0,0 0-1,1 0 1,-1 0 0,0 0 0,1 0 0,-1 0 0,0 1 0,1-1 0,-1 0-1,0 1 1,1 0 0,-1-1 0,-2 2 0,2-1-48,-1 1 1,1-1-1,0 1 1,0 0-1,-1 0 1,1 0-1,0 0 1,1 0-1,-1 0 1,0 0-1,1 1 1,-1-1-1,1 1 1,-1-1-1,1 1 1,0-1-1,0 1 0,1 0 1,-1-1-1,0 1 1,0 5-1,-1 8 41,1 0-1,0 22 0,1-34-47,-1 6-11,1-1 0,1 1 0,0-1 0,0 1 0,1-1 0,0 1 0,1-1 0,5 13 0,-6-18-53,0 0 0,1-1-1,-1 1 1,1-1 0,0 0 0,0 0-1,0 0 1,0 0 0,0 0 0,1 0-1,-1-1 1,1 0 0,0 0 0,0 0-1,0 0 1,0 0 0,0-1 0,0 0-1,0 0 1,0 0 0,6 1 0,-2-1-135,-1 0 0,0-1-1,1 0 1,-1 0 0,1 0 0,-1-1 0,0 0 0,12-3 0,-16 3 209,1-1-1,0 1 1,0-1-1,-1 0 1,1-1 0,-1 1-1,0-1 1,0 1-1,0-1 1,0 0 0,0 0-1,0 0 1,-1 0-1,1-1 1,-1 1 0,3-7-1,0-4 419,0-1 0,0 1 0,-2-1 0,0 1 0,-1-1 0,0 0 0,-1 0 0,-2-27 0,1 41-370,-1 2-124,0 1-1,1-1 1,-1 0 0,0 1 0,0-1-1,0 0 1,1 1 0,-1-1-1,1 1 1,-1-1 0,1 1 0,0-1-1,0 1 1,-1-1 0,1 1-1,0-1 1,0 3 0,0-1-341,0 0 0,0-1 0,0 1 0,0 0 0,0 0 0,0-1 0,0 1 0,1 0 0,0-1 0,1 5 0,2-10-563,-2-9 1164,-1-12 996,0 13-690,-4-11 1841,3 22-2323,-1-1-1,1 0 0,-1 1 0,0-1 1,1 1-1,-1-1 0,0 1 0,1-1 1,-1 1-1,0 0 0,0-1 0,0 1 1,1 0-1,-1-1 0,0 1 0,0 0 1,0 0-1,0 0 0,1 0 1,-1 0-1,0 0 0,0 0 0,0 0 1,0 0-1,-1 1 0,0-1-30,1 1-1,-1 0 1,0-1-1,0 1 1,0 0-1,1 0 1,-1 1-1,0-1 1,1 0-1,-1 0 1,1 1-1,-1-1 1,1 1-1,0-1 1,0 1-1,-1 0 1,1-1-1,0 1 1,1 0-1,-1 0 1,0 0-1,0 0 1,1 0-1,-1 0 1,1 0-1,0 0 1,-1 3-1,-1 8-7,1 0-1,-1 23 1,2-32-24,0 1 0,0-1 0,0 0 0,0 0 0,1 0 0,-1 0 0,1 0 0,0 0 0,1 0 0,-1 0 1,1 0-1,-1-1 0,1 1 0,0 0 0,1-1 0,-1 0 0,0 1 0,1-1 0,0 0 0,0 0 0,0 0 0,0-1 0,0 1 0,1-1 0,-1 0 0,1 0 0,-1 0 0,1 0 0,0 0 0,0-1 0,0 0 0,0 0 0,0 0 0,0 0 0,0-1 0,0 1 1,4-1-1,-2 1 7,0-1 1,1 1 0,-1-1 0,0 0 0,0-1-1,0 0 1,0 0 0,0 0 0,0-1 0,0 1 0,0-2-1,0 1 1,-1 0 0,8-5 0,-6 1 64,-1 1 1,0 0 0,0-1-1,-1 0 1,1-1-1,-1 1 1,-1-1-1,1 0 1,-1 0-1,5-12 1,-2-1 263,-1 0 0,0-1 1,-2 1-1,0-1 0,-1 0 0,-2 0 0,0-1 1,-1 1-1,-5-40 0,-9 3 577,13 54-746,-1 1-1,1-1 1,-1 0-1,0 0 1,0 1-1,0-1 1,0 1-1,0 0 1,-1 0-1,0 0 1,1 0-1,-5-3 1,6 5-132,1 1-1,-1 0 1,1-1 0,-1 1-1,1 0 1,-1 0 0,1-1-1,-1 1 1,1 0 0,-1 0-1,1 0 1,-1 0 0,1 0-1,-1 0 1,1 0 0,-1 0-1,1 0 1,-1 0 0,1 0-1,-1 0 1,1 0 0,-1 0-1,1 0 1,-1 1-1,1-1 1,-1 0 0,1 0-1,-1 0 1,1 1 0,-1-1-1,1 1 1,-8 17 38,5 29-58,3-42 14,1 12-203,0 0 0,1 0 0,1 1 0,1-1 0,0-1 0,1 1 0,14 29 0,-2-12-732,2-1-1,35 48 1,-48-73-2230</inkml:trace>
  <inkml:trace contextRef="#ctx0" brushRef="#br0" timeOffset="3223.15">1464 352 2321,'0'0'3202,"12"9"-3387,40 26 137,-48-32 155,0-1 0,0-1 0,0 1 0,0-1 0,0 1 0,1-1 0,-1 0-1,0-1 1,1 1 0,-1-1 0,1 0 0,-1 0 0,1 0 0,-1-1 0,0 1-1,9-3 1,-11 2 38,0 0 1,0 0-1,0 0 0,0 0 0,-1 0 0,1-1 0,0 1 0,0-1 0,-1 1 1,1-1-1,-1 0 0,1 1 0,-1-1 0,0 0 0,0 0 0,0 0 0,0 0 1,0 0-1,0 0 0,0 0 0,-1 0 0,1 0 0,-1-1 0,0 1 0,1-4 1,-1 4-29,0 0 0,1 1 0,-1-1 1,0 0-1,0 0 0,-1 0 0,1 0 1,0 0-1,-1 0 0,1 1 1,-1-1-1,1 0 0,-1 0 0,0 1 1,0-1-1,0 0 0,0 1 0,0-1 1,0 1-1,0-1 0,0 1 1,-1 0-1,1-1 0,-1 1 0,1 0 1,-1 0-1,1 0 0,-1 0 0,1 0 1,-3-1-1,2 2-88,1-1 1,0 1-1,0-1 0,-1 1 1,1 0-1,0 0 0,0 0 1,-1-1-1,1 1 0,0 0 0,-1 0 1,1 1-1,0-1 0,0 0 1,-1 0-1,1 1 0,0-1 1,0 1-1,-1-1 0,1 1 1,0-1-1,0 1 0,0 0 1,0-1-1,0 1 0,0 0 1,0 0-1,0 0 0,0 0 0,0 0 1,-1 1-1,2 1-27,-1-1-1,0 1 1,0 0-1,1-1 1,-1 1-1,1-1 1,0 1 0,0 0-1,0-1 1,0 1-1,1 0 1,-1-1-1,1 1 1,-1-1 0,2 4-1,-1-4-29,1 0 0,-1 0-1,1 0 1,-1 0 0,1 0-1,0 0 1,0 0 0,-1-1 0,1 1-1,1-1 1,-1 1 0,0-1-1,0 0 1,0 0 0,1 0 0,-1 0-1,0 0 1,1 0 0,-1-1 0,1 0-1,-1 1 1,5-1 0,1 1 87,1 0 1,0-1-1,0 0 1,0 0-1,11-3 1,-17 2-47,-1 1 0,1-1 1,-1-1-1,1 1 0,-1 0 0,0-1 1,0 1-1,1-1 0,-1 1 1,0-1-1,0 0 0,-1 0 1,1 0-1,0 0 0,-1-1 0,1 1 1,-1 0-1,0-1 0,1 1 1,-1 0-1,0-1 0,-1 0 1,1 1-1,0-4 0,2-7 376,-1 1 0,-1-1 0,0-21 0,-1 32-349,0 0-1,-1 1 0,1-1 1,0 1-1,-1-1 0,0 1 0,1-1 1,-1 1-1,0-1 0,0 1 0,0-1 1,0 1-1,0 0 0,0 0 0,0 0 1,0-1-1,0 1 0,-1 0 0,1 0 1,0 0-1,-1 1 0,1-1 0,-1 0 1,1 1-1,-1-1 0,1 0 0,-1 1 1,1 0-1,-1-1 0,0 1 0,1 0 1,-1 0-1,0 0 0,1 0 0,-3 0 1,1 0-38,0 0 0,1 0 0,-1 0 0,0 1 0,1-1 0,-1 1 0,0-1 0,1 1 0,-1 0 0,1 0 0,-1 0 0,1 0 0,0 0 0,-1 1 0,1-1 0,0 1 0,0 0 0,0-1 0,0 1 0,0 0 0,0 0 0,-1 3 0,0 1-47,0 0 1,0 0-1,1 1 1,0-1-1,1 1 1,-1 0-1,1-1 1,0 1-1,1 0 1,0 0-1,0 0 1,0 0-1,1-1 1,0 1-1,0 0 1,1-1-1,0 1 1,0-1-1,0 1 1,1-1-1,0 0 0,0 0 1,1 0-1,0 0 1,0-1-1,0 1 1,0-1-1,1 0 1,0-1-1,0 1 1,0-1-1,1 0 1,-1 0-1,10 5 1,-4-4-696,0-1 1,-1 0-1,1-1 1,0 0 0,14 2-1,21 0-4212</inkml:trace>
  <inkml:trace contextRef="#ctx0" brushRef="#br0" timeOffset="3689.75">2041 343 8436,'0'0'11816,"-11"-6"-11368,-39-18-128,49 23-309,-1 1 1,0-1-1,0 1 0,1 0 0,-1 0 0,0 0 0,0 0 0,0 0 1,1 0-1,-1 0 0,0 1 0,0-1 0,1 1 0,-1-1 0,0 1 1,1-1-1,-1 1 0,1 0 0,-1 0 0,1 0 0,-1 0 0,1 0 1,-1 0-1,1 1 0,-2 0 0,-1 4 27,-1-1-1,1 1 1,0-1 0,-4 11 0,5-11-39,0 0-9,1 0 0,-1 0 0,1 1 1,0-1-1,0 1 0,1-1 0,0 1 0,0 0 1,0 0-1,0 8 0,1-12-54,1 0-1,-1 0 1,0 0 0,0 0 0,1 0-1,-1-1 1,1 1 0,0 0-1,-1 0 1,1-1 0,0 1-1,0 0 1,0-1 0,0 1-1,1-1 1,-1 1 0,0-1-1,1 1 1,-1-1 0,0 0 0,1 0-1,0 0 1,-1 0 0,1 0-1,0 0 1,-1 0 0,1-1-1,0 1 1,0 0 0,0-1-1,0 0 1,-1 1 0,5-1-1,-2 1-36,1 0 0,-1-1 0,1 0 0,-1 0 0,1 0 0,0-1 0,-1 1 0,1-1 0,-1 0 0,1 0 0,-1-1 0,0 1 0,0-1 0,1 0 0,-1 0 0,0 0 0,0-1 0,-1 1 0,1-1 0,-1 0 0,1 0-1,-1-1 1,0 1 0,0 0 0,0-1 0,0 0 0,-1 0 0,0 0 0,0 0 0,0 0 0,2-7 0,2-4 91,-1 0 0,-1 0-1,-1-1 1,0 1 0,-1-1 0,0 0 0,-1 0 0,-1 0 0,-1 0-1,0 0 1,-4-19 0,1 15 357,-1 0 1,-1 1-1,-1 0 0,0 0 1,-1 0-1,-1 1 0,-1 0 1,-17-23-1,26 47-157,0 0 1,0 1-1,0-1 0,1 0 1,0 12-1,0 45 111,4-1 1,12 74-1,-9-76-221,-6-22-3110,-2-27-828</inkml:trace>
  <inkml:trace contextRef="#ctx0" brushRef="#br0" timeOffset="4527.37">2450 328 7972,'0'0'5813,"1"3"-5944,2 1-133,0 0-1,0 0 1,0 0-1,0 0 1,1-1-1,0 1 1,-1-1-1,1 0 1,0 0-1,7 3 1,-10-5 243,0 0 0,1 0 0,-1-1 0,1 1 0,-1 0 0,1-1 0,-1 1 0,1-1 0,-1 1 0,1-1 0,-1 0 0,1 0-1,-1 0 1,1 0 0,0 0 0,-1 0 0,1 0 0,-1 0 0,1-1 0,-1 1 0,1 0 0,-1-1 0,1 0 0,-1 1 0,1-1 0,-1 0 0,1 0 0,-1 1 0,0-1 0,0 0 0,1 0 0,-1-1 0,0 1 0,0 0 0,0 0 0,0 0 0,0-1 0,1-2 0,2-6 193,1-1 1,-2 0 0,1 0 0,-2 0-1,1 0 1,-1-1 0,0-11 0,-1-87 3337,-2 62-1695,1-9 3195,-12 84-4583,5 6-324,1 0 0,1 1-1,2-1 1,2 1 0,2 37 0,0-20 80,-1-15-125,2 0 0,2-1 0,1 1 1,1-1-1,2 0 0,2-1 0,1 0 0,16 33 0,-23-61-58,0 1 0,0-1 0,1 0 0,-1 0 0,1 0 0,1-1 0,5 5 0,-10-9 7,0 0 0,0 0 0,0 0-1,0 0 1,0 0 0,0 0 0,0-1-1,0 1 1,0 0 0,0-1 0,1 1 0,-1-1-1,0 1 1,0-1 0,1 0 0,-1 0-1,0 1 1,1-1 0,-1 0 0,0 0 0,0 0-1,1 0 1,-1 0 0,0-1 0,1 1-1,-1 0 1,0-1 0,0 1 0,1-1 0,-1 1-1,0-1 1,0 1 0,0-1 0,0 0-1,0 0 1,1 1 0,-2-1 0,1 0 0,0 0-1,0 0 1,0 0 0,0 0 0,-1 0-1,1-1 1,0 1 0,-1 0 0,1-2 0,3-5-1,-2 0 0,1-1 0,-1 1 0,-1-1 0,0 0 0,0 1 0,0-11 0,-5-62-52,3 68 42,-2 1-1,1 0 1,-1 0 0,-6-12-1,7 18-30,0 0-1,-1 0 0,0 1 1,0-1-1,0 1 0,-1 0 0,0 0 1,0 0-1,-9-8 0,11 12-93,1 0-1,-1 0 0,1 0 0,-1 0 1,1 0-1,-1 0 0,1 1 0,-1-1 1,0 1-1,0-1 0,1 1 0,-1 0 1,0-1-1,0 1 0,1 0 0,-1 0 0,0 0 1,0 1-1,0-1 0,1 0 0,-1 1 1,0-1-1,1 1 0,-3 0 0,2 0-306,1 0-1,-1 0 0,1 0 0,0 0 0,-1 0 0,1 0 0,0 0 0,0 1 1,0-1-1,0 0 0,0 1 0,0-1 0,0 1 0,0-1 0,0 1 0,1-1 1,-1 1-1,1 0 0,-1-1 0,1 1 0,0 0 0,-1-1 0,1 4 0,0 5-5749</inkml:trace>
  <inkml:trace contextRef="#ctx0" brushRef="#br0" timeOffset="5818.69">2813 283 6675,'0'0'8455,"-12"0"-8375,-34 3-16,45-2-61,-1-1 0,1 1 0,0 0 0,0-1 0,-1 1 0,1 0 0,0 0 0,0 0 0,0 0 0,0 0 0,0 0 0,0 0 0,0 1 0,1-1 0,-1 0 0,0 0 0,1 1 0,-1-1 0,1 0 0,-1 1 0,1-1 0,-1 1 1,1-1-1,0 3 0,-1 39-25,2-31 16,-1-9-14,0-1 0,0 1 0,0 0 1,1 0-1,0-1 0,-1 1 0,1 0 0,0-1 1,0 1-1,0-1 0,1 1 0,-1-1 0,1 1 1,-1-1-1,1 0 0,0 0 0,0 0 1,0 0-1,0 0 0,0 0 0,0 0 0,0-1 1,5 3-1,-4-2 52,1 0 1,0-1 0,0 0 0,0 1-1,0-1 1,1-1 0,-1 1-1,0-1 1,0 1 0,1-1-1,-1 0 1,0-1 0,0 1-1,0-1 1,6-1 0,-7 1 8,-1-1 1,0 1 0,0 0 0,0-1-1,0 0 1,0 1 0,0-1 0,0 0-1,-1 0 1,1 0 0,-1 0 0,1 0-1,-1 0 1,0 0 0,1-1 0,-1 1-1,0-1 1,-1 1 0,1 0 0,0-1-1,0-2 1,1-6 355,0 0 0,-1 0-1,0-16 1,0 9 388,0 12-261,-1 0-1,0 1 1,0-1 0,0 0-1,-3-11 1,0 17-136,-1 9-435,0 9-91,2-7 117,2 0 1,-1-1 0,1 1-1,1 0 1,0 0 0,1 0 0,5 20-1,-6-26-168,1 0-1,0 0 1,1 0-1,-1 0 1,1 0 0,0 0-1,0-1 1,0 0-1,1 1 1,0-1-1,-1 0 1,1-1 0,1 1-1,-1-1 1,1 1-1,-1-1 1,9 4-1,-11-6 27,1 0 0,-1 0-1,0-1 1,0 1-1,0 0 1,1-1 0,-1 1-1,0-1 1,1 0 0,-1 1-1,0-1 1,1 0-1,-1-1 1,0 1 0,1 0-1,-1-1 1,0 1-1,0-1 1,1 0 0,-1 0-1,2-1 1,-1 0 72,-1 0 1,1 0 0,-1 0-1,1-1 1,-1 1 0,0-1-1,0 0 1,0 1 0,-1-1-1,1 0 1,0 0-1,-1 0 1,1-4 0,3-11 321,-1 0 1,0 0 0,-2-1-1,1-22 1,-2 30 9,0 2-331,2-39 3417,-3 39-1766,-3 30-1637,1-5 218,0-3-302,0 0 0,1 0 0,1 0 0,0 0 0,3 21 0,-2-31 29,-1 0 0,1 0 0,0-1 0,0 1 0,0 0 0,0-1 0,1 1 0,-1-1 0,1 1 0,-1-1 0,1 0 0,0 1 0,0-1 0,0 0 0,0 0 0,1-1 0,-1 1 0,0 0 0,1-1 0,-1 1 0,1-1 0,-1 0 0,1 0 0,0 0 0,0 0 0,-1 0 0,1-1 0,0 1 0,0-1 0,0 0 0,4 0 0,-2 1 131,-1-1 1,1 1-1,-1-1 0,1-1 1,-1 1-1,1-1 0,-1 1 1,0-1-1,1 0 1,-1-1-1,0 1 0,0-1 1,0 0-1,0 0 0,0 0 1,0-1-1,0 1 0,-1-1 1,1 0-1,-1 0 0,0 0 1,0 0-1,0-1 0,0 1 1,-1-1-1,1 0 0,-1 1 1,0-1-1,0 0 0,2-8 1,0 0 487,-1-1 0,0 0-1,-1 0 1,-1 0 0,0 0 0,-1-25 0,0 20 875,0 18-1341,0-1-1,0 1 1,0-1 0,0 1-1,-1 0 1,1-1 0,0 1 0,0-1-1,0 1 1,0 0 0,-1-1-1,1 1 1,0 0 0,0-1 0,-1 1-1,1 0 1,0 0 0,-1-1-1,1 1 1,0 0 0,-1 0-1,1-1 1,0 1 0,-1 0 0,1 0-1,-1 0 1,1 0 0,0 0-1,-1 0 1,1 0 0,-1-1 0,1 1-1,0 0 1,-1 0 0,1 0-1,-1 1 1,1-1 0,0 0-1,-1 0 1,1 0 0,-1 0 0,1 0-1,0 0 1,-1 1 0,1-1-1,0 0 1,-1 0 0,1 0 0,0 1-1,-1-1 1,1 0 0,0 0-1,0 1 1,-1-1 0,1 0-1,0 1 1,0-1 0,-1 0 0,1 1-1,0-1 1,0 1 0,0-1-1,0 0 1,0 1 0,-1 0 0,0 4-40,-1 0 0,1 0 0,0 0 0,0 1 1,1-1-1,-1 0 0,1 1 0,0-1 0,1 0 1,-1 1-1,1-1 0,0 0 0,0 1 1,1-1-1,0 0 0,-1 0 0,2 0 0,-1 0 1,1-1-1,-1 1 0,1-1 0,1 1 0,-1-1 1,0 0-1,1 0 0,7 5 0,-4-4-148,0-1 0,1 0 0,-1-1-1,1 1 1,0-2 0,0 1 0,0-1-1,0 0 1,0-1 0,1 0 0,-1 0-1,0 0 1,1-1 0,-1-1 0,11-1-1,-17 1 175,1 1 0,-1-1 0,1 0-1,-1 0 1,1 0 0,-1 0 0,0 0-1,0-1 1,0 1 0,0-1 0,0 1-1,0-1 1,0 0 0,0 0 0,-1 0-1,1 0 1,0 0 0,-1 0 0,0 0-1,0-1 1,0 1 0,0 0 0,0-1-1,0 1 1,0-1 0,-1 1 0,1-4-1,2-9 383,-2 0 0,0 0-1,-1-23 1,0 20 417,-3-11 224,3 28-968,0 0 0,0 0 0,0 0 1,0 0-1,0 0 0,-1 0 0,1 0 0,0 0 0,-1 0 1,1 0-1,-1 0 0,1 0 0,-1 0 0,1 1 0,-1-1 1,0 0-1,1 0 0,-1 1 0,0-1 0,0 0 0,0 1 1,1-1-1,-1 0 0,0 1 0,-1-1 0,10 1-409,0 0-1,1 0 1,-1 1-1,0 0 1,0 1-1,0 0 1,0 0-1,13 6 0,-20-8 327,0 1-1,0 0 0,0 0 1,0 0-1,-1 0 0,1 0 1,0 0-1,0 0 0,-1 0 1,1 0-1,-1 0 0,1 0 1,-1 0-1,1 1 0,-1-1 1,0 0-1,1 0 0,-1 0 1,0 2-1,3 29-34,-3-26 41,-1 29 43,0-28-125,0 0-1,1 0 0,0 0 1,0 1-1,0-1 0,1 0 1,0 0-1,3 7 0,-4-13-58,1 0-1,-1 0 1,1 0 0,-1-1-1,1 1 1,0 0 0,-1 0-1,1-1 1,0 1-1,-1 0 1,1-1 0,0 1-1,0-1 1,0 1 0,0-1-1,0 1 1,-1-1-1,2 1 1,13 1-4643,6-2-4414</inkml:trace>
  <inkml:trace contextRef="#ctx0" brushRef="#br0" timeOffset="6492.75">4071 305 7331,'0'0'7481,"-1"9"-7307,-3 42-14,4-50-173,0-1 1,0 1-1,0 0 1,0-1-1,0 1 0,1 0 1,-1-1-1,0 1 1,0 0-1,1-1 1,-1 1-1,0-1 1,1 1-1,-1-1 1,1 1-1,-1-1 1,1 1-1,-1-1 1,1 1-1,-1-1 1,1 0-1,-1 1 1,1-1-1,-1 0 0,1 1 1,0-1-1,24 4 102,-19-3-12,-1-2 1,1 1 0,-1-1-1,1 0 1,0 0-1,7-3 1,-8 2-14,-1-1 0,0 1 1,1-1-1,-1 0 0,0-1 0,-1 1 0,1-1 1,-1 0-1,1 0 0,-1 0 0,0 0 0,0 0 1,-1-1-1,0 1 0,1-1 0,-1 0 0,-1 1 1,3-11-1,0-4 624,-2 0 0,0 0 0,-1-32 0,-1 48-583,0-1 25,0 0 0,0-1 0,-1 1 1,1 0-1,-1 0 0,0 0 1,0 0-1,-1 0 0,1 0 0,-1 0 1,0 1-1,0-1 0,0 0 1,0 1-1,0-1 0,-1 1 0,-5-5 1,8 7-126,-1 1-1,1 0 1,-1-1 0,1 1 0,-1-1 0,0 1 0,1 0 0,-1-1-1,0 1 1,1 0 0,-1 0 0,0-1 0,1 1 0,-1 0 0,0 0 0,1 0-1,-1 0 1,0 0 0,0 0 0,1 0 0,-1 0 0,0 0 0,1 1 0,-1-1-1,0 0 1,1 0 0,-1 0 0,0 1 0,1-1 0,-1 0 0,0 1-1,1-1 1,-1 1 0,1-1 0,-1 1 0,1-1 0,-1 1 0,1-1 0,-1 1-1,1-1 1,0 1 0,-1 1 0,-12 26-105,10-17 82,1 1 0,0-1 0,1 0 0,0 0 0,0 1 1,1-1-1,1 1 0,3 19 0,-3-27-31,0-1 0,-1 1 1,1-1-1,1 1 0,-1-1 1,0 1-1,1-1 0,0 0 1,0 0-1,0 0 0,0 0 1,0 0-1,1 0 0,-1 0 1,1-1-1,0 0 0,0 1 1,-1-1-1,2 0 0,-1 0 1,0 0-1,0-1 0,1 1 1,-1-1-1,0 0 0,1 0 1,0 0-1,-1 0 0,1-1 1,5 1-1,1 0 33,-1-1 0,1 0 1,0-1-1,19-3 0,-26 3 26,1 0 0,-1 0 0,0-1-1,1 0 1,-1 0 0,0 1 0,0-2 0,0 1 0,0 0-1,0-1 1,-1 1 0,1-1 0,-1 0 0,0 0-1,1 0 1,1-5 0,1-2 195,-1-1 0,0 0 0,-1 0 0,0 0-1,-1 0 1,0-1 0,0 1 0,-2-1 0,0-14 0,-1 62-547,0-20-240,1 0 1,0 1-1,4 18 0,-3-30 42,0 0 1,0 0-1,1-1 1,-1 1-1,1 0 1,0-1-1,1 1 0,-1-1 1,1 1-1,0-1 1,0 0-1,0 0 1,1-1-1,5 6 1,13 6-5742</inkml:trace>
  <inkml:trace contextRef="#ctx0" brushRef="#br0" timeOffset="7696.71">4625 145 8820,'0'0'10159,"-17"-4"-9745,-54-9-187,70 13-221,-1 0 1,1 0 0,-1 1 0,1-1-1,-1 0 1,1 0 0,-1 1 0,1-1-1,-1 1 1,1-1 0,0 1 0,-1 0-1,1-1 1,0 1 0,0 0 0,-1 0-1,1 0 1,0 0 0,0 0 0,0 0-1,0 1 1,0-1 0,0 0 0,0 0-1,-1 3 1,-8 34 144,9-30-133,-1 0-9,0 0 0,1 0 1,1 0-1,-1 0 0,1 0 1,0 0-1,1 0 0,0 0 0,3 12 1,-2-16-93,-1-1-1,0 0 1,1 1 0,0-1 0,0 0 0,0 0 0,0 0 0,0 0 0,1 0-1,-1-1 1,1 1 0,0-1 0,0 0 0,0 0 0,0 0 0,0 0-1,0 0 1,0 0 0,1-1 0,-1 0 0,0 0 0,1 0 0,4 1 0,-4-1-13,1 0 0,0 0 1,-1 0-1,1-1 1,0 0-1,-1 1 0,1-2 1,0 1-1,-1-1 1,1 1-1,-1-1 1,1-1-1,-1 1 0,1-1 1,-1 1-1,0-1 1,5-3-1,-6 2 156,1 0 0,-1 0 0,0 0 1,0-1-1,0 0 0,0 1 0,0-1 0,-1 0 0,0 0 1,0-1-1,0 1 0,0 0 0,-1-1 0,1 1 0,-1-1 1,0 1-1,0-7 0,2-8 664,-1-1-1,-1 1 1,-1 0-1,-4-35 1,4 54-700,0-1 1,0 1-1,0-1 1,0 1 0,0-1-1,-1 1 1,1-1-1,0 1 1,0-1 0,0 1-1,0-1 1,-1 1-1,1 0 1,0-1-1,0 1 1,-1-1 0,1 1-1,0 0 1,-1-1-1,1 1 1,-1 0 0,1-1-1,0 1 1,-1 0-1,1 0 1,-1-1 0,1 1-1,-1 0 1,1 0-1,-1 0 1,1 0 0,-1-1-1,1 1 1,-1 0-1,1 0 1,-1 0 0,1 0-1,-1 0 1,0 0-1,0 1-31,1-1 0,-1 0 0,0 1 0,0-1 0,0 1 0,0-1 0,1 1 0,-1 0 0,0-1 0,1 1-1,-1 0 1,0-1 0,1 1 0,-1 0 0,1 0 0,-1-1 0,1 1 0,-1 0 0,1 0 0,-1 1 0,-1 7-63,-1 0 0,1 0 0,1 0-1,0 0 1,0 1 0,1-1 0,0 0 0,0 1 0,1-1 0,0 0 0,1 0 0,4 13 0,-5-18-85,1 0 1,0 0 0,0 0-1,0 0 1,0 0-1,1-1 1,-1 1-1,1-1 1,0 1 0,0-1-1,0 0 1,1 0-1,-1-1 1,1 1 0,-1-1-1,1 1 1,0-1-1,0 0 1,0-1-1,0 1 1,0-1 0,1 1-1,-1-1 1,0-1-1,0 1 1,1 0-1,-1-1 1,6 0 0,-8 0 161,1 0 0,0 0 0,-1 0 0,1-1 0,0 1 0,-1-1 0,1 1 1,-1-1-1,1 0 0,0 0 0,-1 0 0,0 0 0,1 0 0,-1-1 1,3-1-1,-2 0 16,-1 0-1,0 0 1,1 0 0,-1-1 0,0 1 0,-1 0 0,1-1-1,0 1 1,-1-1 0,1-5 0,2-12 533,0-1 0,-1-36 0,-2 14 1139,-1 34 649,0 20-2205,-1 5-390,2 0 0,-1 1-1,2-1 1,0 0 0,5 17-1,-6-28 93,0-1-1,0 0 1,1 0-1,-1 0 1,1 0-1,-1 0 0,1 0 1,0-1-1,0 1 1,0 0-1,1-1 1,-1 0-1,1 1 1,-1-1-1,1 0 1,0 0-1,0-1 0,0 1 1,0 0-1,0-1 1,0 0-1,0 0 1,0 0-1,1 0 1,-1 0-1,0-1 1,1 1-1,-1-1 0,6 0 1,-6 0 165,0 0 1,0 0 0,0-1-1,0 1 1,0-1 0,0 1-1,0-1 1,0 0 0,0 0-1,0-1 1,0 1-1,0 0 1,-1-1 0,1 0-1,0 0 1,-1 0 0,4-3-1,-2 0 137,0 0 1,-1 0-1,0-1 0,0 1 0,0 0 1,-1-1-1,1 0 0,1-9 0,1-4 1184,-1-1 1,-1 0-1,0 0 0,-1-37 0,-3 67-1351,0 0 1,-1 1-1,0-1 1,-3 10-1,-6 35 0,10-41 98,0-2-267,0 0 1,1 0-1,1 0 1,0 0 0,2 13-1,-2-22 99,-1-1 0,1 0 0,0 1-1,0-1 1,0 0 0,0 1 0,0-1-1,0 0 1,1 0 0,-1 0 0,1 0 0,0 0-1,-1 0 1,1 0 0,0-1 0,0 1-1,0-1 1,0 1 0,0-1 0,0 0 0,1 0-1,-1 0 1,0 0 0,1 0 0,-1 0-1,1-1 1,-1 1 0,1-1 0,-1 0 0,4 1-1,-1-1 102,0 0-1,1 0 1,-1-1-1,0 1 1,0-1-1,0 0 1,0-1-1,0 1 0,0-1 1,0 0-1,-1 0 1,1 0-1,0-1 1,-1 0-1,0 0 1,0 0-1,0 0 1,0-1-1,0 1 1,-1-1-1,1 0 1,-1 0-1,0 0 0,0-1 1,2-5-1,3-2 167,-2-2 0,1 1 0,-2-1 0,0 0 0,0 0 0,-1 0 0,-1-1 0,-1 1 0,0-1 0,-1 0 0,0 1 0,-2-25 0,0 36-98,1 0-1,-1 0 0,1-1 0,-1 1 1,0 0-1,0 0 0,0 0 0,-1 0 1,1 0-1,-1 1 0,1-1 0,-1 0 1,0 1-1,0-1 0,0 1 0,0-1 0,-1 1 1,1 0-1,-1 0 0,1 0 0,-1 1 1,0-1-1,0 0 0,0 1 0,1 0 1,-1 0-1,-1 0 0,-5-2 0,8 8-42,1-1 0,-1 1 0,1 0 0,0-1 0,0 1 0,1-1 0,1 8 1,4 1 49,1-1 0,0 0 0,1 0 1,0 0-1,1-1 0,0-1 1,0 1-1,17 12 0,10 13 13,-20-20-121,21 25 145,-35-38-158,0-1 1,0 1 0,0 0-1,-1 0 1,1 0 0,-1 0-1,1 0 1,-1 0-1,0 1 1,0-1 0,0 0-1,0 5 1,-2-7 4,1 0 0,0-1 1,-1 1-1,1 0 0,0-1 0,-1 1 0,1 0 0,-1-1 1,1 1-1,-1-1 0,0 1 0,1-1 0,-1 1 0,1-1 1,-1 1-1,0-1 0,0 0 0,1 1 0,-1-1 0,0 0 1,1 1-1,-1-1 0,0 0 0,0 0 0,0 0 0,1 0 0,-1 0 1,0 0-1,0 0 0,0 0 0,1 0 0,-1 0 0,0 0 1,0 0-1,1-1 0,-2 0 0,-5 1-112,-16 0-203,-49-1-3174,57 0 1167,0-1 0,-25-5-1,0-4-5919</inkml:trace>
  <inkml:trace contextRef="#ctx0" brushRef="#br0" timeOffset="8890.12">4809 595 7171,'0'0'12980,"-2"-8"-11476,-7-22-770,5 24-372,3 12-398,1-6 51,-4 51 459,6 78-1,0-80-235,5 44 10,5-1 0,27 105 0,-27-141-274,-9-33-708,-4-13-7633</inkml:trace>
  <inkml:trace contextRef="#ctx0" brushRef="#br0" timeOffset="9044.42">4781 1148 3089,'0'0'4210</inkml:trace>
  <inkml:trace contextRef="#ctx0" brushRef="#br0" timeOffset="9712.26">4839 875 3009,'0'0'10485,"6"0"-9829,85-5 577,40-2-450,-117 5-979,0-1 1,0 0-1,0-1 0,0 0 0,-1-1 1,23-11-1,-33 15-94,-1 0-1,0-1 1,0 1-1,-1 0 1,1-1-1,0 1 1,0-1-1,-1 0 1,1 0-1,-1 1 1,1-1-1,-1 0 1,0 0-1,0 0 1,0 0-1,0-1 1,0 1-1,0 0 1,-1 0 0,1-1-1,-1 1 1,1 0-1,-1-1 1,0-2-1,0-12-3561</inkml:trace>
  <inkml:trace contextRef="#ctx0" brushRef="#br0" timeOffset="9932.75">5174 695 3217,'0'0'10114,"-3"-3"-9305,-7-8-329,20 35 979,39 44-653,-34-49-739,0 2 1,-1-1-1,18 38 1,-31-56-112,0 0 0,0 0 0,-1-1 0,1 1 0,0 0 0,-1 0 0,1 0 0,-1 0 0,0 0 0,0 0 0,0 0 0,0 0 0,0 0 0,0 0 0,0 0 0,-1 0 0,0 3 0,0-4-145,0 0 0,0 0 1,0 1-1,0-1 0,0 0 1,0-1-1,-1 1 1,1 0-1,0 0 0,-1 0 1,1-1-1,0 1 0,-1-1 1,1 1-1,-1-1 1,1 0-1,-1 1 0,1-1 1,-1 0-1,1 0 0,-1 0 1,-1 0-1,-22 0-5000</inkml:trace>
  <inkml:trace contextRef="#ctx0" brushRef="#br0" timeOffset="11430.78">5699 689 3265,'0'0'12315,"0"-4"-10786,0-11 112,-1 18 256,3 33-1286,10 40-506,24 81 1,-26-118-66,-1-12-243,-9-27 187,0 0 0,0 0 0,0 0 0,0 0 0,0 0 0,0 0 0,0 0-1,0 0 1,0 0 0,0 0 0,0 0 0,0 0 0,1 0 0,-1 0 0,0 0 0,0 0 0,0 0 0,0 0 0,0 0 0,0 0 0,0 0 0,0 0 0,0 0 0,0 0 0,0 0 0,1 0 0,-1 0 0,0 0 0,0 0 0,0 0 0,0 0 0,0 0 0,0 0-1,0 0 1,0 0 0,0 1 0,0-1 0,0 0 0,0 0 0,-9-45-204,-6 3 453,2-1-1,2 0 1,2-1-1,2 0 1,-3-72-1,10 110-192,0 0 0,0 0 0,0 0 0,1 0 0,0 0 0,0 0 0,4-9-1,-5 14-47,1 0 0,0-1 0,0 1 0,0 0 0,0-1 0,0 1 0,1 0 0,-1 0 0,0 0 0,0 0 0,1 0 0,-1 0 0,1 0 0,-1 1 0,1-1 0,-1 0 0,1 1-1,-1-1 1,1 1 0,0 0 0,-1-1 0,1 1 0,-1 0 0,1 0 0,0 0 0,-1 0 0,1 0 0,0 0 0,-1 1 0,1-1 0,-1 1 0,4 0 0,-3 0 9,1 0 0,-1 1 0,0-1 0,1 0 0,-1 1 0,0 0 0,0-1 0,0 1 0,0 0 0,-1 0 0,1 0 0,0 0 0,-1 0 0,1 1 0,-1-1 0,0 0 0,2 5 0,14 46-121,-13-34 37,-1 0 0,-1 0 1,-1 0-1,-1 20 0,-1-28-11,0-1-1,0 0 1,-1 1 0,0-1 0,-1 0 0,0 0 0,-1 0 0,-9 17-1,15-26 204,0-1 0,1 0 0,-1 1 0,0-1 1,0 0-1,1-1 0,-1 1 0,0 0 0,0-1 0,1 1 0,2-2 0,5 0-113,8 0 3,-1 0 1,0 1-1,1 1 1,34 4-1,-50-3-5,0 0-1,0 0 1,0-1 0,0 1-1,0 1 1,0-1-1,0 0 1,0 0-1,-1 1 1,1-1 0,0 1-1,-1-1 1,1 1-1,-1 0 1,1-1-1,-1 1 1,0 0 0,0 0-1,0 0 1,0 0-1,0 0 1,0 0-1,-1 1 1,2 3 0,0 5-47,-1-1 1,0 1 0,0 19 0,-1-22 50,-1-5 3,1-1-1,0 0 0,-1 1 0,1-1 0,-1 0 1,0 1-1,0-1 0,0 0 0,0 0 0,0 0 1,0 0-1,0 0 0,-1 0 0,1 0 0,-1 0 1,0 0-1,1-1 0,-1 1 0,0-1 0,0 1 1,0-1-1,0 0 0,0 0 0,0 0 0,0 0 1,-1 0-1,1 0 0,0 0 0,-1-1 0,-3 1 1,-8 2-649,-1-1 0,1-1 0,-27 0 0,33-1-371,7 0 827,1 0 96,0 0 0,0 0 0,-1 0 0,1 0 0,0 0 0,0 0 0,0 0 1,0 0-1,-1 0 0,1 0 0,0 0 0,0 0 0,0 0 0,0 0 0,0 0 0,-1 0 0,1 0 1,0 0-1,0 0 0,0 0 0,0 0 0,0-1 0,-1 1 0,1 0 0,0 0 0,0 0 0,0 0 1,0 0-1,0 0 0,0 0 0,0-1 0,0 1 0,-1 0 0,1 0 0,0 0 0,0 0 1,0-1-1,0 1 0,0 0 0,0 0 0,0 0 0,0 0 0,0 0 0,0-1 0,0 1 0,0 0 1,0 0-1,0 0 0,0 0 0,0-1 0,0 1 0,0 0 0,0 0 0,0 0 0,1 0 0,-1-1 1,0-12-5684</inkml:trace>
  <inkml:trace contextRef="#ctx0" brushRef="#br0" timeOffset="11914.03">6145 578 7379,'0'0'15178,"-2"-5"-14914,2 4-263,0 0 0,-1 0-1,1 0 1,0 0 0,0 1 0,-1-1 0,1 0-1,0 0 1,-1 1 0,1-1 0,-1 0 0,1 0-1,-1 1 1,1-1 0,-1 1 0,0-1 0,1 0-1,-2 0 1,-4 13 14,1 46 75,4-39-20,-2 58 67,5 83 0,-2-155-134,1 0-1,0 0 1,0-1-1,0 1 1,0 0-1,1 0 1,0-1 0,0 1-1,0-1 1,0 1-1,4 4 1,-4-7-10,0 0-1,0 0 1,0 0 0,0 0 0,0 0 0,1 0 0,-1-1 0,1 1 0,-1-1-1,1 1 1,-1-1 0,1 0 0,0 0 0,0 0 0,0 0 0,-1-1 0,1 1-1,0-1 1,6 0 0,-5 0 46,1 1 1,-1-2-1,1 1 0,-1-1 0,1 1 0,-1-1 0,0 0 0,9-4 0,-10 4-14,-1-1 0,1 0 0,-1 0-1,1-1 1,-1 1 0,0 0 0,1-1 0,-1 1-1,-1-1 1,1 0 0,0 0 0,-1 0-1,3-4 1,2-9 169,-1 0 0,0 0 1,-1 0-1,0 0 0,-1-1 0,-1 1 0,-1-24 0,-1 40 11,0 10-357,1 19 170,0-1 1,7 34-1,-6-49-304,1 0 1,1-1 0,0 1 0,1-1-1,0 1 1,0-1 0,9 13 0,-13-25-12,-1 1 0,0-1 0,0 1 0,1-1 0,-1 1 0,0-1 0,1 0 0,-1 1 0,1-1 0,-1 1 0,0-1 0,1 0 0,-1 1 0,1-1 0,-1 0 0,1 1 1,-1-1-1,1 0 0,0 0 0,-1 0 0,1 0 0,0 1 0,8-1-5575</inkml:trace>
  <inkml:trace contextRef="#ctx0" brushRef="#br0" timeOffset="12162.29">6513 747 7780,'0'0'10901,"38"-7"-10261,-10 7-560,4-2 0,6 0-80,3-4-64,1 1-1009,-3-1-1600,-9-3-1457,-9-1-80,-8 1-3121</inkml:trace>
  <inkml:trace contextRef="#ctx0" brushRef="#br0" timeOffset="12395.66">6828 633 4882,'0'0'15418,"-5"-7"-14228,1 1-1047,-8-10-37,8 19-167,2 13-63,3-6 135,1 1 1,0-1 0,1 0-1,0 0 1,0 0-1,1 0 1,0-1-1,1 1 1,0-1-1,1 0 1,7 9 0,-7-9-23,0 0 1,0 0-1,-1 0 1,0 1-1,-1-1 1,0 1-1,0 0 1,-1 1 0,-1-1-1,1 0 1,0 14-1,-3-23-39,0 0 0,0 0 0,-1 0 0,1 0 0,0 1 0,-1-1-1,1 0 1,0 0 0,-1 0 0,1 0 0,-1 0 0,0 0 0,1 0 0,-1 0-1,0 0 1,0 0 0,1-1 0,-1 1 0,0 0 0,0 0 0,0-1 0,0 1 0,0 0-1,0-1 1,0 1 0,0-1 0,0 0 0,-1 1 0,1-1 0,0 0 0,0 0 0,-2 1-1,-45 0-2130,33-2 814,-15-2-2643,4-16-2422</inkml:trace>
  <inkml:trace contextRef="#ctx0" brushRef="#br0" timeOffset="12877.47">7072 510 10213,'0'0'9289,"0"5"-9273,0 0-43,1 0 0,0 1 0,0-1-1,0 0 1,0 0 0,1 0 0,-1 0 0,1 0 0,1 0-1,-1-1 1,1 1 0,0 0 0,0-1 0,0 0-1,0 0 1,1 0 0,0 0 0,-1-1 0,2 1-1,6 4 1,-4-4-316,-1 0-1,1 0 1,0-1-1,0 0 1,0-1 0,0 1-1,1-1 1,-1-1-1,1 1 1,-1-1-1,1-1 1,0 1 0,-1-1-1,14-2 1,-18 1 329,1 0 0,-1-1 1,1 1-1,-1-1 1,0 0-1,0 0 0,1 0 1,-1 0-1,-1-1 1,1 1-1,0-1 0,0 1 1,-1-1-1,0 0 1,0 0-1,1 0 0,-2-1 1,1 1-1,0 0 1,-1-1-1,1 1 0,-1-1 1,1-7-1,2-3 1605,0-1 0,-2 0 0,0-1-1,0-23 906,-2 51-2128,-9 62-483,-4 79 323,12-117-272,1-2 104,3 34 1,-2-58-444,1 0 0,0 0 0,0 0 0,1 0 0,0 0 0,1-1 0,9 17 0,-12-24-26,0 0 0,0 1 0,1-1 1,-1 0-1,1 0 0,0 0 0,0 0 0,0 0 0,0-1 0,0 1 0,0 0 0,0-1 0,0 0 0,0 1 0,1-1 0,-1 0 0,4 1 0,15 0-9255</inkml:trace>
  <inkml:trace contextRef="#ctx0" brushRef="#br0" timeOffset="13797.97">7539 698 4274,'0'0'13174,"-3"2"-13105,2-1-60,0 0 1,0 0-1,-1 0 0,1 0 0,0 1 0,0-1 0,0 0 0,0 1 0,1-1 0,-1 1 0,0-1 0,1 1 0,-1-1 1,1 1-1,-1 0 0,1-1 0,0 1 0,-1 0 0,1-1 0,0 1 0,0-1 0,1 4 0,-1-4-16,0 1 0,0-1 0,0 0-1,0 1 1,1-1 0,-1 0-1,0 1 1,1-1 0,-1 0 0,1 0-1,0 0 1,-1 1 0,1-1-1,0 0 1,0 0 0,-1 0 0,1 0-1,0 0 1,0 0 0,0 0-1,0 0 1,1-1 0,-1 1 0,0 0-1,0-1 1,0 1 0,1 0-1,-1-1 1,0 0 0,1 1 0,1-1-1,0 1-59,1-1 0,-1 1 0,0-1 0,1 0 0,-1 0-1,1-1 1,-1 1 0,0-1 0,1 0 0,-1 0 0,0 0 0,0 0-1,1 0 1,-1-1 0,0 1 0,0-1 0,4-3 0,-4 2 44,-1 0 0,1 0 0,-1 0 0,0-1 0,0 1 1,0-1-1,0 1 0,-1-1 0,1 0 0,-1 1 0,0-1 1,0 0-1,0 0 0,-1 0 0,1-6 0,0 2 238,-1-1-1,0 1 1,0 0-1,0 0 1,-4-17-1,3 23-125,1 0 0,-1 0 1,0 0-1,0 0 0,1 0 0,-2 1 0,1-1 0,0 0 1,0 0-1,0 1 0,-1-1 0,1 1 0,-1-1 0,1 1 1,-1 0-1,0-1 0,0 1 0,1 0 0,-1 0 0,0 0 1,0 0-1,0 1 0,0-1 0,0 0 0,0 1 0,0 0 1,0-1-1,0 1 0,-3 0 0,3 0-55,-1-1 0,1 1 0,-1 0 1,0 0-1,1 1 0,-1-1 0,1 0 0,-1 1 0,1 0 0,-1-1 1,1 1-1,-1 0 0,1 0 0,-1 1 0,1-1 0,0 0 0,0 1 0,-3 2 1,2-1-26,1 1 0,0-1 0,0 1 0,0-1 0,0 1 0,0 0 0,0 0 0,1 0 0,0 0 1,0 0-1,0 4 0,-2 7 41,1-1 1,0 0-1,2 0 1,-1 1-1,2-1 1,0 1-1,1-1 1,0 0 0,1 0-1,0 0 1,9 19-1,-10-26-99,1-1-1,1 0 1,-1 0-1,1 0 1,0 0-1,0 0 1,1-1-1,-1 0 1,1 0-1,0 0 1,1-1-1,-1 1 1,1-1-1,0-1 1,0 1-1,0-1 1,1 0-1,-1 0 1,1-1-1,-1 0 1,1 0-1,0 0 1,0-1-1,0 0 1,9 0-1,-11-1 16,-1 1-1,0-1 0,1 0 1,-1 0-1,0-1 0,1 1 1,-1-1-1,0 0 0,0 0 1,0-1-1,0 1 0,0-1 1,0 0-1,0 0 0,0 0 1,-1 0-1,1-1 0,-1 1 1,1-1-1,-1 0 0,0 0 0,0 0 1,0 0-1,-1-1 0,1 1 1,3-8-1,2-4 27,0-1-1,-1 0 1,0 0 0,-1-1-1,-1 0 1,-1 0 0,4-28-1,-4 12 405,-2 0-1,-2 0 1,-3-38-1,3 66-117,-1-1-1,0 1 1,0-1-1,0 1 1,0-1-1,-1 1 1,0 0-1,0 0 1,-1 0-1,1 0 0,-5-7 1,6 12-272,1 0-1,-1 0 1,1 0 0,-1 0 0,1 0-1,-1 0 1,1 0 0,0 0-1,-1 0 1,1 0 0,-1 0 0,1 1-1,0-1 1,-1 0 0,1 0-1,-1 1 1,1-1 0,0 0 0,-1 0-1,1 1 1,0-1 0,-1 0-1,1 1 1,0-1 0,0 0 0,-1 1-1,1-1 1,0 0 0,0 1-1,0-1 1,-1 1 0,1-1 0,0 1-1,0-1 1,0 0 0,0 1-1,-8 17-40,8-18 38,-6 23 6,1 1 0,2 0 1,0-1-1,1 1 0,1 0 1,1 0-1,5 32 0,-4-49-74,0-1 0,0 1 1,1-1-1,0 1 0,1-1 0,-1 0 0,1 0 0,0 0 0,1 0 0,0-1 0,-1 1 0,2-1 0,-1 0 0,6 6 0,-7-9-26,-1 0-1,1 0 1,-1 0 0,1 0 0,0 0-1,0-1 1,0 1 0,0-1-1,0 0 1,0 0 0,0 0-1,0 0 1,1 0 0,-1-1 0,0 1-1,0-1 1,1 0 0,-1 0-1,0 0 1,1-1 0,-1 1 0,0-1-1,0 0 1,0 0 0,1 0-1,-1 0 1,0 0 0,0-1 0,-1 1-1,6-4 1,-1 0 27,-1-1-1,1 0 1,-1-1 0,-1 1 0,1-1 0,-1 0-1,0-1 1,-1 1 0,1-1 0,-2 0-1,1 0 1,-1 0 0,0 0 0,-1-1-1,0 1 1,1-10 0,2-18 348,-1 0 1,-2-54-1,-2 73-16,-1-44 1264,0 56-630,-2 7-611,0 11-326,-1 62 207,7 97 0,-1-150-179,1 0 1,5 21-1,-6-35-454,0 1 0,1-1 1,0 0-1,0 0 0,1-1 0,0 1 0,1-1 0,4 7 0,7-2-3450,4-9-2345</inkml:trace>
  <inkml:trace contextRef="#ctx0" brushRef="#br0" timeOffset="14810.21">8282 659 7507,'0'0'12892,"-15"-7"-12433,-47-22-243,60 28-206,1 0 0,-1 1 1,0-1-1,1 1 1,-1-1-1,0 1 0,0 0 1,0 0-1,0-1 1,1 1-1,-1 0 0,0 1 1,0-1-1,0 0 1,1 1-1,-1-1 0,0 1 1,0-1-1,1 1 1,-1 0-1,0-1 0,1 1 1,-1 0-1,1 0 1,-1 0-1,1 1 0,-1-1 1,1 0-1,0 0 0,0 1 1,-2 2-1,-1 2-2,1 0-1,-1 1 1,2-1-1,-1 1 1,-3 12-1,6-18-11,-3 13 11,0 0 0,1-1 0,0 1 0,2 0 0,-1 0 0,3 22 0,-1-29-64,0-1 0,0 1-1,0 0 1,1 0 0,0-1-1,1 1 1,-1-1 0,1 1-1,0-1 1,1 0-1,-1 0 1,1 0 0,1-1-1,8 10 1,-10-12-58,0-1-1,0 1 1,0-1 0,1 0-1,-1 0 1,1 0 0,0 0-1,-1 0 1,1-1 0,0 0-1,0 0 1,0 0 0,0 0-1,0 0 1,0-1 0,0 0-1,0 0 1,0 0 0,0 0 0,0-1-1,0 1 1,0-1 0,5-2-1,-4 1 90,0 0 0,-1-1 0,1 0 0,-1 0-1,0 0 1,0 0 0,0-1 0,0 1 0,0-1 0,-1 0-1,0 0 1,0-1 0,0 1 0,0-1 0,-1 1 0,0-1-1,3-7 1,1-10 471,0 0 0,-2 0-1,0 0 1,-2-1 0,-1 1-1,0-1 1,-2 1-1,-3-24 1,4 45-419,0 1-1,0-1 0,0 0 1,-1 0-1,1 0 1,0 1-1,0-1 1,-1 0-1,1 0 1,-1 1-1,1-1 0,0 0 1,-1 0-1,1 1 1,-1-1-1,0 1 1,1-1-1,-1 0 1,1 1-1,-1-1 0,0 1 1,0-1-1,1 1 1,-1 0-1,0-1 1,0 1-1,1 0 1,-1 0-1,0-1 0,0 1 1,0 0-1,1 0 1,-1 0-1,0 0 1,0 0-1,0 0 1,0 0-1,1 0 0,-1 0 1,0 1-1,0-1 1,0 0-1,1 0 1,-1 1-1,0-1 1,0 0-1,1 1 0,-1-1 1,0 1-1,1-1 1,-1 1-1,0 0 1,1-1-1,-1 1 1,1-1-1,-1 1 0,1 0 1,-1 0-1,1-1 1,-1 1-1,1 0 1,0 0-1,0-1 1,-1 1-1,1 0 0,0 1 1,-3 7-104,1 1 1,1 0-1,0 0 1,0 0-1,0 0 1,2 0-1,-1 0 1,1 0-1,1 0 1,0 0-1,0 0 1,1-1-1,0 1 1,0-1-1,1 0 1,10 17-1,-12-22-126,1 0 0,0-1 0,0 1 0,1-1 0,-1 0 0,1 0 0,-1 0 0,1 0 0,0-1 0,0 1-1,0-1 1,0 0 0,1 0 0,7 2 0,-9-3 163,-1-1-1,1 0 0,-1 1 0,1-1 1,-1 0-1,1 0 0,-1-1 0,1 1 1,-1 0-1,1-1 0,-1 0 0,1 1 1,-1-1-1,0 0 0,1 0 0,-1-1 1,0 1-1,0 0 0,0-1 0,0 1 1,0-1-1,0 0 0,0 1 0,-1-1 1,1 0-1,-1 0 0,1 0 0,1-3 1,1-4 52,0 1 0,0-1 0,0 1 0,-1-1 0,-1 0 0,0 0 1,2-17-1,0-66 3495,-4 70-1128,-11 96-2658,9-40 249,0-18-239,1 0 0,1 0 0,0 0 0,1-1 0,1 1 0,6 24 0,-7-38 208,-1 0-1,1 0 1,0 0-1,0-1 1,0 1-1,0 0 1,0 0-1,1-1 1,-1 1-1,1-1 1,-1 1-1,1-1 1,-1 1-1,1-1 1,0 0-1,0 0 1,-1 0-1,1 0 1,0 0-1,0 0 1,0-1-1,0 1 1,0-1-1,0 1 1,0-1-1,0 0 1,0 1-1,0-1 1,1 0-1,-1-1 1,0 1-1,0 0 1,0 0-1,0-1 1,0 0-1,0 1 1,0-1-1,0 0 1,0 0-1,0 0 1,-1 0-1,1 0 1,0 0-1,-1 0 1,1-1-1,-1 1 1,1-1-1,-1 1 1,1-1-1,-1 0 1,0 1-1,0-1 1,1-2-1,5-11 75,-2 0-1,0-1 0,-1 1 1,0-1-1,-1 0 1,-1 0-1,1-17 0,-2-31 3641,-12 118-3390,11-50-280,-1 12 36,0 0 0,1 0 0,1 0 0,4 24 0,-5-36-89,1 0 0,0-1 0,0 1 0,1 0 0,-1-1 1,1 1-1,0-1 0,0 0 0,0 1 0,0-1 0,0 0 0,1 0 1,-1 0-1,1-1 0,0 1 0,0-1 0,0 1 0,0-1 0,0 0 1,1 0-1,-1 0 0,1-1 0,-1 1 0,7 1 0,-2-1-53,1 0-1,0-1 0,0 1 1,-1-2-1,1 1 0,0-1 1,0-1-1,0 0 0,0 0 1,11-3-1,-13 2 115,-1 0 0,0-1 1,-1 1-1,1-1 0,0-1 0,-1 1 0,1-1 1,-1 0-1,0 0 0,-1 0 0,1 0 1,-1-1-1,1 0 0,6-11 0,-5 4 16,1 0-1,-1-1 0,-1 0 1,-1 0-1,0 0 0,0-1 1,-1 1-1,-1-1 0,0 0 1,-1 0-1,-1 0 0,-1-22 1,1 33-2,0 1 0,-1 0 1,1-1-1,0 1 0,-1 0 1,0 0-1,1-1 1,-1 1-1,0 0 0,0 0 1,0 0-1,0 0 1,-1 0-1,1 0 0,0 0 1,-1 0-1,0 0 0,1 1 1,-1-1-1,0 1 1,0-1-1,0 1 0,0 0 1,0 0-1,0 0 0,0 0 1,-3-1-1,-5-1-423,1 1 0,-1 1 0,1 0 0,-1 0 0,-13 1-1,20 0 185,-39 0-4925</inkml:trace>
  <inkml:trace contextRef="#ctx0" brushRef="#br0" timeOffset="15759.75">4860 1272 2465,'0'0'14948,"0"-3"-13576,0-11-137,0 11 5,0 6-1141,7 47 699,3-1-1,25 78 1,6 24-64,-11-2-519,14 232-1,-44-381-210,2 20-1594,6-42-13383</inkml:trace>
  <inkml:trace contextRef="#ctx0" brushRef="#br0" timeOffset="16039.69">5018 1887 6451,'0'0'6115,"105"-3"-6003,-54 3 48,9 0-160,8-2-1009,5-2-1344,-5-5 80,-10-5-1056</inkml:trace>
  <inkml:trace contextRef="#ctx0" brushRef="#br0" timeOffset="16303.1">5539 1720 2417,'0'0'11064,"-10"-8"-10149,-32-22-462,42 30-437,0 0-1,0 0 0,-1 0 0,1-1 0,0 1 0,0 0 0,-1 0 0,1 0 0,0 0 0,0 0 1,-1 0-1,1-1 0,0 1 0,-1 0 0,1 0 0,0 0 0,0 0 0,-1 0 0,1 0 0,0 0 0,0 0 1,-1 0-1,1 0 0,0 0 0,-1 1 0,1-1 0,0 0 0,0 0 0,-1 0 0,1 0 0,0 0 1,0 0-1,-1 1 0,1-1 0,0 0 0,0 0 0,0 0 0,-1 1 0,1-1 0,0 0 0,0 0 1,0 0-1,0 1 0,-1-1 0,1 0 0,0 1 0,0-1 0,0 0 0,0 0 0,0 1 0,0-1 0,0 0 1,0 0-1,0 1 0,0-1 0,0 0 0,0 1 0,0-1 0,0 0 0,0 0 0,0 1 0,0-1 1,1 1-1,0 16 622,1-11-565,1 0 1,0 0-1,0 0 1,1 0-1,-1-1 1,1 1-1,0-1 0,1 0 1,-1 0-1,1-1 1,7 6-1,26 31 451,-35-38-506,-1 0 1,0 0-1,-1 0 1,1 1-1,-1-1 1,1 0-1,-1 1 1,0 0-1,0-1 1,0 1-1,-1-1 1,1 7-1,-1-8-96,0 0 0,0-1 0,0 1 0,-1-1 0,1 1-1,0 0 1,-1-1 0,1 1 0,-1-1 0,0 1 0,1-1 0,-1 0-1,0 1 1,0-1 0,0 0 0,0 1 0,0-1 0,0 0 0,0 0-1,0 0 1,-1 0 0,1 0 0,0 0 0,-1 0 0,1 0 0,-1-1-1,1 1 1,-3 0 0,-2 1-689,-1 0-1,1-1 0,-1 0 0,0 0 1,-11-1-1,4 0-4777</inkml:trace>
  <inkml:trace contextRef="#ctx0" brushRef="#br0" timeOffset="16814.72">5862 1632 4738,'0'0'11123,"10"0"-10307,35 1-310,52-5-1,-83 2-614,0 1 1,0-2-1,0 0 0,-1 0 0,0-2 0,1 1 1,-1-2-1,22-12 0,-34 17 112,1 1 0,-1-1 0,1 0 0,-1 0 0,0 0 0,0 0 0,1 0 0,-1-1 0,0 1 1,0 0-1,0 0 0,0-1 0,0 1 0,-1-1 0,1 1 0,0-1 0,-1 1 0,1-1 0,-1 1 0,1-1 0,-1 0 0,0 1 0,0-1 0,1 0 0,-1 1 0,0-1 0,-1 0 1,1 1-1,0-1 0,0 0 0,-2-2 0,1 2 42,0 0 0,0 0 1,-1 0-1,1 0 0,-1 0 0,1 1 1,-1-1-1,0 0 0,0 1 1,0 0-1,1-1 0,-1 1 0,-1 0 1,1 0-1,0 0 0,0 0 0,0 0 1,0 1-1,-1-1 0,1 1 1,-4-1-1,4 0 18,-1 1 0,0 0 1,0 0-1,1 0 0,-1 0 0,0 0 1,0 0-1,1 0 0,-1 1 1,0 0-1,0-1 0,1 1 0,-1 0 1,1 0-1,-3 2 0,2-1-27,1 1-1,0-1 0,0 1 1,0-1-1,0 1 1,0 0-1,1 0 0,-1 0 1,1 0-1,-1 0 1,1 0-1,-1 5 0,-3 16 154,0 0-1,2 1 0,0-1 0,2 1 1,1 0-1,1-1 0,0 1 0,7 24 1,-3-23-360,1 0 0,2-1 0,1 0 1,0 0-1,2-1 0,1 0 0,1-1 1,21 28-1,-33-49-112,0-1 1,1 1 0,0 0-1,-1-1 1,1 1-1,0-1 1,0 1-1,0-1 1,0 0 0,0 0-1,0 0 1,0 0-1,0 0 1,0 0-1,0-1 1,1 1 0,-1-1-1,0 1 1,1-1-1,-1 0 1,4 0-1,10 0-4804</inkml:trace>
  <inkml:trace contextRef="#ctx0" brushRef="#br0" timeOffset="17873.16">6348 1814 6163,'0'0'11378,"0"-3"-10866,0 4-514,-1 0 2,1 1 0,-1-1 0,1 1 0,0 0 1,0-1-1,0 1 0,0 0 0,0-1 0,0 1 0,0 0 0,0-1 0,1 1 0,-1 0 1,1-1-1,-1 1 0,1-1 0,0 1 0,0-1 0,-1 1 0,1-1 0,0 1 1,0-1-1,0 0 0,1 0 0,-1 1 0,0-1 0,2 1 0,2 0-67,-1-1-1,0 0 1,1 0-1,-1 0 0,1 0 1,-1-1-1,1 0 1,-1 0-1,9-1 1,-11 0 51,0 1-1,0-1 1,-1 0 0,1 0 0,0 0 0,-1 0 0,1 0 0,-1 0 0,1 0-1,-1-1 1,0 1 0,1 0 0,-1-1 0,0 1 0,0-1 0,0 0 0,0 1-1,0-1 1,-1 0 0,1 1 0,0-1 0,-1 0 0,1 0 0,-1 0 0,0 0-1,1 1 1,-1-1 0,0 0 0,0-3 0,1-4 23,-1-1-1,0 1 1,0-1-1,-3-14 1,1 19 4,0 0 1,0 0 0,0 0 0,-1 1-1,0-1 1,0 1 0,0-1 0,-1 1-1,1 0 1,-1 1 0,0-1 0,0 1-1,0-1 1,-5-1 0,6 3 14,0 0-1,1 1 1,-1-1 0,0 1 0,0 0 0,0 0-1,0 0 1,0 0 0,-1 0 0,1 1 0,-3-1-1,4 1-5,0 0-1,1 1 1,-1-1-1,1 0 0,-1 1 1,0-1-1,1 1 0,-1-1 1,1 1-1,-1 0 0,1 0 1,0-1-1,-1 1 1,1 0-1,0 0 0,0 0 1,-1 1-1,1-1 0,0 0 1,0 0-1,0 1 0,-1 1 1,-1 4 18,0 1 0,0 0 0,0-1 0,1 1-1,0 0 1,0 0 0,1 0 0,0 11 0,0-5 13,1 0 1,1 0-1,0 0 0,3 15 0,-1-21-43,-1-1 0,1 0 0,0-1 0,1 1 0,0 0 0,0-1 0,0 0 0,1 0 0,-1 0 0,2-1-1,5 6 1,-8-8-40,0 0 0,1 0 0,-1 0-1,1-1 1,-1 1 0,1-1 0,0 0 0,0 0-1,0 0 1,0-1 0,0 1 0,0-1 0,1 0-1,-1 0 1,0-1 0,1 1 0,-1-1-1,0 0 1,1 0 0,5-1 0,-8 0 54,0 0 0,-1 0 0,1 1 0,-1-2 1,1 1-1,-1 0 0,0 0 0,1 0 0,-1-1 0,0 1 0,0-1 0,0 1 1,0-1-1,0 1 0,0-1 0,1-2 0,11-33 292,-9 26-150,7-25 363,-8 25-112,0 0 0,1-1 0,0 2 0,0-1 0,2 0 1,-1 1-1,1 0 0,8-10 0,-14 19-406,1 1 0,-1 0 0,0 0 0,1 0 1,-1-1-1,0 1 0,1 0 0,-1 0 0,1 0 0,-1 0 0,0 0 1,1 0-1,-1 0 0,0 0 0,1 0 0,-1 0 0,1 0 1,-1 0-1,0 0 0,1 0 0,-1 0 0,0 1 0,1-1 0,-1 0 1,0 0-1,1 0 0,-1 0 0,0 1 0,1-1 0,-1 0 0,0 0 1,1 1-1,-1-1 0,0 0 0,0 1 0,1-1 0,-1 0 0,0 1 1,0-1-1,0 0 0,0 1 0,1-1 0,-1 1 0,8 16-94,-7-15 117,5 16-18,0 0-1,5 37 0,-8-35-706,1-1 1,11 30-1,-15-48 609,0-1 0,1 1 0,-1 0 0,0 0-1,0 0 1,1-1 0,-1 1 0,0 0 0,1 0 0,-1-1 0,1 1 0,-1 0-1,1-1 1,-1 1 0,1-1 0,0 1 0,-1-1 0,1 1 0,0-1-1,-1 1 1,1-1 0,0 1 0,0-1 0,-1 0 0,1 1 0,0-1 0,0 0-1,0 0 1,0 0 0,-1 0 0,2 0 0,0 0 53,0-1 1,0 0-1,-1 0 0,1 0 1,0 0-1,-1 0 1,1 0-1,-1 0 0,1 0 1,-1-1-1,0 1 1,1-1-1,0-1 0,6-8 177,-1-1-1,11-20 1,-18 31-196,13-28 146,-7 15 549,1 0-1,0 0 1,11-15 0,-18 29-633,0 0 0,0 0 0,1 0 0,-1 0 0,0 0 0,0 0 0,0 0 0,1 0 0,-1 0 0,0 0 0,0 0 0,1 0 0,-1 0 0,0 1-1,0-1 1,0 0 0,0 0 0,1 0 0,-1 0 0,0 0 0,0 0 0,0 0 0,0 1 0,1-1 0,-1 0 0,0 0 0,0 0 0,0 0 0,0 1 0,0-1-1,0 0 1,1 0 0,-1 0 0,0 1 0,0-1 0,0 0 0,0 0 0,0 0 0,0 1 0,0-1 0,0 0 0,0 0 0,0 0 0,0 1 0,0-1 0,0 0-1,0 0 1,-1 1 0,5 16 368,-3-15-355,4 22-351,15 41-1,-17-58 235,-1-1 1,1 0-1,1 1 0,-1-1 1,1 0-1,0 0 0,0-1 0,1 1 1,0-1-1,9 8 0,-11-11 50,-1-1 0,0 1 1,1-1-1,-1 0 0,1 0 0,-1 0 0,1 0 1,-1 0-1,1 0 0,0-1 0,-1 0 0,1 1 0,0-1 1,0 0-1,-1 0 0,1 0 0,0-1 0,0 1 1,-1-1-1,1 0 0,-1 1 0,1-1 0,3-2 1,-2 1 60,1-1 1,-1 0 0,1 0 0,-1 0 0,0 0 0,0-1 0,0 0 0,-1 0 0,0 0 0,6-8 0,-3 2 41,-1 0 0,0-1 0,-1 0 0,0 0 0,-1 0 0,0 0 0,-1 0 0,2-21 0,-2-2 537,-5-56 0,3 82-458,-1 0 0,-1 0 1,1 0-1,-1 0 1,-1 0-1,1 1 1,-1-1-1,-1 1 0,1-1 1,-10-12-1,13 20-134,0-1 0,0 1 0,0 0 0,-1-1-1,1 1 1,0 0 0,0 0 0,0-1 0,-1 1 0,1 0 0,0 0-1,0-1 1,-1 1 0,1 0 0,0 0 0,0 0 0,-1-1 0,1 1-1,0 0 1,-1 0 0,1 0 0,0 0 0,-1 0 0,1 0-1,0-1 1,-1 1 0,1 0 0,0 0 0,-1 0 0,1 0 0,0 0-1,-1 0 1,1 1 0,0-1 0,-1 0 0,1 0 0,0 0 0,-1 0-1,1 0 1,0 0 0,-1 1 0,1-1 0,0 0 0,0 0-1,-1 0 1,1 1 0,0-1 0,0 0 0,-1 0 0,1 1 0,0-1-1,0 0 1,0 0 0,-1 1 0,1-1 0,0 0 0,0 1-1,0-1 1,0 0 0,0 1 0,0-1 0,-6 22-123,4-4 127,0 0 0,1 0 0,1 1 0,1-1 0,0 0 0,1 1 1,1-1-1,1 0 0,7 20 0,-6-26-554,0 0 1,1 0-1,1 0 0,12 17 0,-14-24-1818</inkml:trace>
  <inkml:trace contextRef="#ctx0" brushRef="#br0" timeOffset="18062.4">6959 1769 4370,'0'0'9060,"83"9"-9060,-58-9-208,5 0-1713,5 0-3954</inkml:trace>
  <inkml:trace contextRef="#ctx0" brushRef="#br0" timeOffset="18341.88">7345 1601 9973,'0'0'11173,"3"-1"-10389,53-2 140,64 4 0,-35 1-4615,-84-2 3456,0 0 1,0 0-1,0 0 1,0-1-1,0 1 1,-1 0-1,1 0 1,0 0-1,0-1 1,0 1 0,0 0-1,0-1 1,-1 1-1,1-1 1,0 1-1,0-1 1,-1 0-1,1 1 1,0-1-1,-1 1 1,1-1-1,-1 0 1,1 0 0,-1 1-1,1-1 1,-1 0-1,1 0 1,-1 0-1,0 0 1,1 1-1,-1-1 1,0 0-1,0 0 1,0 0 0,0 0-1,0 0 1,0 0-1,0 0 1,0 0-1,0 1 1,0-3-1,0-14-6146</inkml:trace>
  <inkml:trace contextRef="#ctx0" brushRef="#br0" timeOffset="18574.73">7603 1477 1121,'0'0'15612,"-4"-4"-14566,-9-15-457,9 60 449,5-33-903,0 0 0,1 0 0,-1 0 0,2 0 0,-1-1 0,1 1 0,0-1 0,1 1 0,7 10 1,-7-11-396,0 1 1,0-1-1,0 1 1,-1 0 0,0 0-1,-1 0 1,0 0 0,0 0-1,1 15 1,-3-22-246</inkml:trace>
  <inkml:trace contextRef="#ctx0" brushRef="#br0" timeOffset="19369.07">7919 1506 8628,'0'0'15007,"2"21"-14247,-2 1-724,-1 18 31,7 49 0,-4-77-59,0 0 0,0-1 0,1 1-1,1-1 1,0 0 0,1 0 0,0-1 0,11 20-1,-16-30-19,1 1-1,-1-1 0,0 0 1,0 1-1,0-1 1,0 0-1,1 1 0,-1-1 1,0 0-1,0 1 1,1-1-1,-1 0 0,0 1 1,0-1-1,1 0 1,-1 0-1,0 1 0,1-1 1,-1 0-1,0 0 1,1 0-1,-1 1 0,1-1 1,-1 0-1,0 0 0,1 0 1,-1 0-1,1 0 1,-1 0-1,0 0 0,1 0 1,-1 0-1,1 0 1,-1 0-1,0 0 0,1 0 1,0 0-1,5-16-16,-4-26 130,-2 40-137,-11-130 64,6 98 104,2-1 0,1 1-1,3-45 1,-1 78-116,0 0 0,0-1-1,0 1 1,0 0 0,1 0 0,-1-1-1,0 1 1,0 0 0,1 0-1,-1-1 1,1 1 0,-1 0-1,1 0 1,0 0 0,-1 0 0,1 0-1,0 0 1,0 0 0,0 0-1,1-1 1,-1 2-14,0-1 1,-1 1-1,1 0 1,0 0-1,0 0 0,0 0 1,-1 1-1,1-1 1,0 0-1,0 0 0,0 0 1,-1 1-1,1-1 0,0 0 1,0 1-1,-1-1 1,1 0-1,0 1 0,-1-1 1,1 1-1,-1-1 1,2 2-1,4 4-11,0 1 1,-1 0-1,0 0 0,5 9 1,-4-5-77,0 0-1,-1 0 1,-1 1 0,0 0 0,0 0 0,-2 0 0,1 0-1,-1 0 1,-1 1 0,0-1 0,-1 1 0,-2 17 0,2-30 84,0 1-5,0-1 1,0 1 0,0 0-1,0-1 1,0 1 0,0-1-1,0 1 1,0 0 0,0-1-1,0 1 1,-1 0 0,1-1 0,0 1-1,0-1 1,-1 1 0,1-1-1,0 1 1,-1-1 0,1 1-1,-1-1 1,1 1 0,0-1-1,-1 1 1,1-1 0,-1 0-1,1 1 1,-1-1 0,0 0 0,1 1-1,-1-1 1,1 0 0,-1 0-1,1 0 1,-1 1 0,0-1-1,1 0 1,-1 0 0,0 0-1,1 0 1,-1 0 0,0 0 389,16 0-528,-12 0 120,1 1 0,0-1 0,0 1-1,0 0 1,-1 0 0,1 0 0,-1 1 0,1-1 0,-1 1-1,1 0 1,-1 0 0,0 0 0,0 1 0,0-1 0,0 1-1,0-1 1,0 1 0,-1 0 0,0 0 0,1 0 0,-1 1-1,2 2 1,-2-1-81,1 0 0,-1 0-1,0 0 1,0 0 0,0 0-1,-1 0 1,0 1 0,0-1-1,0 0 1,-1 1 0,0-1-1,0 0 1,0 1 0,0-1-1,-3 9 1,2-12 82,0 1 0,0-1 0,-1 0 0,1 0 0,-1 0 1,1 0-1,-1 0 0,0-1 0,0 1 0,0 0 0,0-1 0,0 1 0,0-1 0,0 0 0,-1 0 1,1 0-1,0 0 0,-1 0 0,1 0 0,0-1 0,-1 1 0,-3-1 0,-9 3-9,0-1 0,-20 0 0,30-2 15,-38 0-1684,38 0-2569,24 0-1277</inkml:trace>
  <inkml:trace contextRef="#ctx0" brushRef="#br0" timeOffset="20103.59">8384 1633 6243,'0'0'11522,"-17"-5"-10801,-54-19-174,68 23-532,1 0 1,-1 0 0,1 0-1,-1 1 1,1-1 0,-1 1-1,1 0 1,-1 0 0,1 0-1,-1 0 1,0 0 0,1 1-1,-1-1 1,1 1 0,-1-1-1,1 1 1,-1 0 0,1 0-1,0 0 1,0 0-1,-1 1 1,1-1 0,0 1-1,0-1 1,0 1 0,0 0-1,0 0 1,1-1 0,-1 1-1,0 1 1,1-1 0,0 0-1,-1 0 1,1 0 0,0 1-1,0-1 1,0 1 0,1-1-1,-2 4 1,1-2-15,0 1 0,0 0 1,0-1-1,1 1 0,-1 0 0,1 0 1,1-1-1,-1 1 0,0 0 0,1 0 0,0-1 1,0 1-1,1 0 0,-1-1 0,1 1 1,0-1-1,4 7 0,-2-7-61,-1-1 0,1 0-1,-1 0 1,1-1 0,0 1 0,0-1-1,0 0 1,0 0 0,0 0 0,1 0-1,-1-1 1,0 0 0,6 1 0,6 0-317,0 0 1,23-1-1,-31-1 370,-6 0 6,-1-1 0,1 1 0,0 0 0,-1 0 0,1 0 0,-1-1 0,1 1 0,-1-1 0,1 1 0,-1-1 0,0 0 0,1 0 0,-1 1 0,0-1 0,1 0 0,-1 0 0,0 0-1,0 0 1,2-3 0,-1 1 18,0 0-1,-1 0 0,1 0 1,0 0-1,-1-1 0,0 1 1,0-1-1,1-4 1,0-9 320,0 0 1,-1 0 0,-2-17 0,1 16 417,0 15-600,-1 1-1,1 0 0,-1-1 0,1 1 1,-1-1-1,1 1 0,-1 0 0,0 0 0,0 0 1,-1-1-1,1 1 0,-2-2 0,3 3-121,0 1-1,-1 0 1,1-1 0,0 1-1,0 0 1,-1 0-1,1-1 1,0 1 0,-1 0-1,1 0 1,0 0-1,-1-1 1,1 1-1,0 0 1,-1 0 0,1 0-1,0 0 1,-1 0-1,1 0 1,0-1-1,-1 1 1,1 0 0,-1 0-1,1 0 1,0 0-1,-1 1 1,0-1 0,1 0-38,-1 1 0,0 0 1,1-1-1,-1 1 0,0 0 1,1-1-1,-1 1 0,1 0 1,-1 0-1,1 0 0,0 0 1,-1-1-1,1 1 0,0 0 1,0 0-1,-1 0 0,1 1 1,-1 5-63,0-1 1,0 0 0,1 1-1,0 0 1,0-1 0,1 1-1,0-1 1,0 0-1,0 1 1,1-1 0,0 0-1,0 1 1,5 8 0,-6-13-80,0 1 1,1 0-1,0-1 1,0 1-1,-1-1 1,2 0-1,-1 1 1,0-1-1,0 0 1,1 0 0,-1-1-1,1 1 1,-1 0-1,1-1 1,0 1-1,-1-1 1,1 0-1,0 0 1,0 0-1,0-1 1,0 1-1,0-1 1,0 1 0,0-1-1,0 0 1,0 0-1,0 0 1,1-1-1,-1 1 1,0-1-1,3 0 1,-4 0 135,0 0 0,0-1-1,0 1 1,0 0 0,0 0 0,-1-1 0,1 1 0,0-1-1,-1 0 1,1 1 0,-1-1 0,1 0 0,-1 0-1,0 0 1,0 0 0,0 0 0,0 0 0,0 0 0,0-4-1,11-46 145,-11 47-134,6-57 1229,-3 0 0,-7-100 0,3 151-903,-3-11 727,0 14-7,0 12 526,-1 23-1608,1 1 1,1-1-1,4 54 1,-1-35 54,0-25 37,1 0 0,0 0 0,2 0 0,7 22-1,-9-34-458,0-1-1,1 0 1,1 0-1,-1 0 0,1 0 1,1-1-1,-1 0 1,1 1-1,1-2 0,-1 1 1,1-1-1,12 11 1,-2-10-2617,0-5-2543</inkml:trace>
  <inkml:trace contextRef="#ctx0" brushRef="#br0" timeOffset="20615.27">8841 1573 7732,'0'0'14700,"-10"-5"-14316,4 2-326,3 1-42,1 0 0,0 1 0,0-1 0,0 1 0,-1 0 0,1 0 0,-1 0 0,1 0 0,-1 0 0,1 0 0,-1 1 0,1-1 0,-1 1 0,0 0 0,1 0 0,-1 0 0,0 0 0,1 0 0,-1 0 0,1 1 0,-1-1 1,0 1-1,1 0 0,-5 2 0,0 1 5,1 2 1,0-1 0,0 0 0,1 1 0,-1 0 0,1 1 0,0-1-1,1 1 1,0 0 0,-4 8 0,5-9-25,1 0-1,-1-1 1,2 1 0,-1 0 0,1 0 0,-1 0-1,2 0 1,-1 0 0,1 0 0,0 0 0,0 1-1,0-1 1,1 0 0,2 7 0,-2-10-41,0-1 1,0 0 0,1 1 0,-1-1-1,1 0 1,-1 0 0,1 0-1,0 0 1,0 0 0,0 0-1,0 0 1,0-1 0,1 1-1,-1-1 1,0 0 0,1 1 0,-1-1-1,1 0 1,-1-1 0,1 1-1,0 0 1,-1-1 0,1 1-1,0-1 1,-1 0 0,1 0 0,3 0-1,-3 0 33,1 0 1,0 0-1,0 0 0,-1-1 0,1 1 1,0-1-1,-1 0 0,1 0 1,-1 0-1,1 0 0,-1-1 0,0 0 1,1 1-1,-1-1 0,0 0 0,0-1 1,0 1-1,-1 0 0,5-5 0,-2-3 46,0-1 0,0 1 0,-1-1 0,0 0 0,-1 1 0,-1-2-1,0 1 1,0 0 0,0-18 0,-5-105 1131,2 128-1091,0-8 174,0 0 0,-2 0 0,0 0 0,0 1 1,-7-19-1,5 27 431,2 12-672,1 14-259,2-21 280,-1 34-17,1 0 0,1-1-1,2 1 1,1-1-1,14 51 1,-5-42-504,9 34-1129,-16-23-9814</inkml:trace>
  <inkml:trace contextRef="#ctx0" brushRef="#br0" timeOffset="20990">8156 2068 4114,'0'0'12280,"-3"0"-11471,16 0 1827,47 0 648,125-10-2551,-64-9-483,204-27-60,-286 43-204,-18 2-108,0 0-1,0-2 1,-1-1-1,38-11 1,-57 15 62,0 0 0,0-1 0,0 1 0,0 0 0,0-1 0,0 1 0,0-1 0,0 0 0,0 1 0,0-1 0,0 0 0,-1 0 0,1 1 0,0-1 0,1-1 0,-2 1-23,0 1 1,0-1-1,0 1 0,0 0 1,0-1-1,0 1 1,0-1-1,0 1 0,0 0 1,0-1-1,0 1 1,-1 0-1,1-1 1,0 1-1,0-1 0,0 1 1,0 0-1,-1-1 1,1 1-1,0 0 0,0 0 1,-1-1-1,1 1 1,0 0-1,0-1 1,-1 1-1,1 0 0,-1 0 1,-2-2-591,0 0 0,0 0-1,-1 1 1,1-1 0,0 1 0,-1 0 0,-4-1 0,-37-4-7374</inkml:trace>
  <inkml:trace contextRef="#ctx0" brushRef="#br0" timeOffset="21285.65">8099 2027 7828,'0'0'12600,"17"0"-11325,27 0-646,210-5 1578,-30-21-1591,-179 18-517,0-2 0,81-29 0,-125 38-174,20-9 22,-18 3-2115,-14 1-3858,-13 1-3452</inkml:trace>
</inkml:ink>
</file>

<file path=xl/ink/ink2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6:07.489"/>
    </inkml:context>
    <inkml:brush xml:id="br0">
      <inkml:brushProperty name="width" value="0.05" units="cm"/>
      <inkml:brushProperty name="height" value="0.05" units="cm"/>
      <inkml:brushProperty name="color" value="#00A0D7"/>
    </inkml:brush>
  </inkml:definitions>
  <inkml:trace contextRef="#ctx0" brushRef="#br0">93 41 1745,'0'0'7835,"-1"-1"-7779,-1 0-1,0 0 0,1 0 0,-1 0 1,0 0-1,0 0 0,0 0 0,1 1 0,-5-2 1,1 9-3066,-3 0-1552</inkml:trace>
  <inkml:trace contextRef="#ctx0" brushRef="#br0" timeOffset="903.33">110 2 768,'-3'-1'11893,"-17"1"-11615,16 1-226,1 0-1,0 0 1,-1 0-1,1 1 1,0 0-1,0-1 1,0 1-1,0 0 1,0 1-1,1-1 1,-1 0-1,1 1 1,-1 0-1,1-1 1,0 1-1,0 0 1,-3 6-1,0-1 18,1 1 0,0 0 0,0 0-1,1 0 1,-3 15 0,2 1-30,2 1 1,0-1-1,2 0 0,4 38 1,-3-56-40,0 0 1,1 0-1,-1 0 1,1 0-1,0-1 0,1 1 1,0-1-1,0 1 1,0-1-1,1 0 0,0 0 1,0 0-1,0-1 1,9 9-1,-8-10 9,0 0-1,0-1 1,0 0-1,0 0 1,0 0-1,1 0 1,-1-1 0,1 0-1,0 0 1,-1-1-1,1 1 1,0-1-1,0 0 1,0-1-1,0 0 1,0 0-1,8-1 1,-11 1 4,0-1-1,-1 0 1,1 0-1,-1 0 1,0 0 0,1-1-1,-1 1 1,0-1-1,0 1 1,0-1 0,0 0-1,0 0 1,0 0 0,-1 0-1,1 0 1,0 0-1,-1 0 1,0-1 0,1 1-1,-1 0 1,0-1-1,0 1 1,-1-1 0,1 1-1,0-1 1,-1 0-1,1 1 1,-1-4 0,1 2 13,-1 0 1,1 0 0,-1 0-1,0 0 1,0 0 0,0 0-1,0 0 1,-1 0 0,0 0-1,0 0 1,0 1 0,0-1-1,-1 0 1,1 0 0,-1 1-1,0-1 1,0 1 0,-2-4-1,1 5-30,1 0-1,0 0 0,0 0 0,-1 0 0,0 0 0,1 1 0,-1-1 0,0 1 0,1 0 1,-1 0-1,0 0 0,0 0 0,0 0 0,0 0 0,0 1 0,0 0 0,0 0 0,0-1 1,0 2-1,0-1 0,-4 1 0,5-1-130,-1 1-1,1 0 1,0 0 0,0 1-1,0-1 1,0 0 0,0 1-1,0-1 1,0 1 0,0-1-1,1 1 1,-1 0 0,0 0 0,1 0-1,0 0 1,-1 0 0,1 0-1,0 0 1,0 1 0,0-1-1,0 0 1,1 1 0,-1-1-1,1 0 1,-1 6 0,0 18-3240,1-2-1611</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6:10.372"/>
    </inkml:context>
    <inkml:brush xml:id="br0">
      <inkml:brushProperty name="width" value="0.05" units="cm"/>
      <inkml:brushProperty name="height" value="0.05" units="cm"/>
      <inkml:brushProperty name="color" value="#00A0D7"/>
    </inkml:brush>
  </inkml:definitions>
  <inkml:trace contextRef="#ctx0" brushRef="#br0">4 135 2657,'0'0'6278,"-1"-1"-5836,1-1 1,-1 0 0,1 0-1,-1 1 1,1-1 0,0 0-1,-1 0 1,1 1-1,0-1 1,0-2 0,7-3-292,1 1 0,-1 0 1,1 0-1,14-8 1,6-3 179,45-39 1182,-72 56-1495,-1 0 0,1-1 0,0 1-1,0 0 1,0 0 0,0 0 0,0-1 0,0 1 0,0 0 0,0 0 0,0 1 0,0-1-1,0 0 1,0 0 0,0 0 0,0 1 0,0-1 0,0 0 0,0 1 0,0-1 0,0 1 0,0-1-1,-1 1 1,1-1 0,0 1 0,0 0 0,0 0 0,0 1 0,22 24-32,-20-22 58,12 16 25,56 68 110,-61-77-161,1 0 0,0-1 0,0 0 0,1-1-1,17 11 1,-28-20-43,-1 1-1,0-1 1,0 0-1,1 0 0,-1 0 1,0 1-1,1-1 1,-1 0-1,0 0 0,0 0 1,1 0-1,-1 1 1,0-1-1,1 0 1,-1 0-1,0 0 0,1 0 1,-1 0-1,0 0 1,1 0-1,-1 0 0,1 0 1,-1 0-1,0 0 1,1 0-1,-1 0 1,0 0-1,1-1 0,-1 1 1,0 0-1,0 0 1,1 0-1,-1 0 0,0-1 1,1 1-1,-1 0 1,0 0-1,0-1 1,1 1-1,-1 0 0,0 0 1,0-1-1,0 1 1,1 0-1,-1-1 0,0 1 1,0 0-1,0 0 1,0-1-1,0 1 1,0 0-1,0-1 0,1 0 1,-2-20-4479,0 18 3693,-2-10-5016</inkml:trace>
  <inkml:trace contextRef="#ctx0" brushRef="#br0" timeOffset="248.03">187 195 1505,'0'0'9060,"37"-37"-8532,-20 22-144,0 0-160,0 0-224,-2 2 0,-2 1-80,-3 3-864,-3 1-1345,-3 3-1521</inkml:trace>
</inkml:ink>
</file>

<file path=xl/ink/ink2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6:13.628"/>
    </inkml:context>
    <inkml:brush xml:id="br0">
      <inkml:brushProperty name="width" value="0.05" units="cm"/>
      <inkml:brushProperty name="height" value="0.05" units="cm"/>
      <inkml:brushProperty name="color" value="#00A0D7"/>
    </inkml:brush>
  </inkml:definitions>
  <inkml:trace contextRef="#ctx0" brushRef="#br0">216 469 2993,'0'0'6849,"1"5"-2765,5-14-3840,-1 0-1,-1 0 1,0-1-1,0 1 1,-1-1-1,0 0 1,-1 0-1,3-18 1,-3-5 102,-2-48 0,-1 72-318,0 0-1,-1 0 1,-1 0-1,1 1 1,-2-1-1,1 1 0,-1-1 1,0 1-1,0 0 1,-1 1-1,-1-1 1,1 1-1,-1 0 1,-11-10-1,-4-3 18,0 1 0,-2 1 0,-32-20 1,49 34-45,0 0 1,1 1 1,-1-1 0,1 1 0,-1 1 0,0-1 0,0 1 0,-11-2 4100,17 5-4142,-1 0 26,1 0 0,-1 0 0,1 0 0,-1 0 0,1 0 0,0 0 0,-1 0 0,1 0 0,0 0 0,0 0 0,0 0 0,0 0 0,0 0 0,0 2 0,0 2 260,1-18-180,-1 9 17,3 10-5105,-3-5 4669,1 0 1,-1 0 0,1 0 0,0 0 0,0 0 0,-1 0 0,1 0 0,2 1 0,14 4-4051</inkml:trace>
</inkml:ink>
</file>

<file path=xl/ink/ink2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2:26.744"/>
    </inkml:context>
    <inkml:brush xml:id="br0">
      <inkml:brushProperty name="width" value="0.05" units="cm"/>
      <inkml:brushProperty name="height" value="0.05" units="cm"/>
      <inkml:brushProperty name="color" value="#00A0D7"/>
    </inkml:brush>
  </inkml:definitions>
  <inkml:trace contextRef="#ctx0" brushRef="#br0">6 805 1553,'0'0'7699,"-1"-5"-7136,-3-23 1748,17 25-1823,48-7-259,0 1-1,0 4 1,101 3 0,-113 2-146,110 14-75,-20-1 88,-18-9 119,262 5 374,-2-26-284,-296 7-296,532-50 399,4 32-91,-433 28-312,268-33 1,0-40 6,105-15 8,-376 61 5,221-29-100,3 30 119,893 26-129,-371 54 91,-876-49-1,659 71-144,-406-37 139,332-1 0,32-20 60,112 1-53,-511-19-45,1192-17 52,-998 5-29,157-6 104,55 4-201,-672 13 128,0 0 0,0-1 0,-1 0-1,1 0 1,-1 0 0,1-1-1,-1 0 1,11-7 0,21-9-40,2 5 17,1 3-1,0 1 1,74-8 0,130 5-15,-153 10-2,160-8 3,468-13-25,234-20 62,-306-4-28,92-8 62,303-23 3,-670 62-75,436-9-60,-659 26 80,704-11-33,-249-3 40,60-3 11,127 1-40,77-5-37,135-9 129,-533 21-35,1725-6-38,-1098 82 3,-837-44-15,938 93 30,-290-24-31,688 33-16,-1472-116 33,684 24 37,1-28 7,-684-5-42,292-12 34,0 1 74,128-22-246,-48 0 215,525 30 45,-800 21-4,-2-1-27,66-14 518,160 5 2043,-422-8-2206,-17 0-676,-14 0-2156,-22 0-2430,-10-3-4371</inkml:trace>
</inkml:ink>
</file>

<file path=xl/ink/ink2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2:36.471"/>
    </inkml:context>
    <inkml:brush xml:id="br0">
      <inkml:brushProperty name="width" value="0.05" units="cm"/>
      <inkml:brushProperty name="height" value="0.05" units="cm"/>
      <inkml:brushProperty name="color" value="#F6630D"/>
    </inkml:brush>
  </inkml:definitions>
  <inkml:trace contextRef="#ctx0" brushRef="#br0">0 961 4674,'0'0'7425,"0"2"-7452,2 2 17,-1 0 0,0-1 0,1 1 0,0-1 0,0 0 0,0 1 0,0-1 0,0 0 0,1 0 0,-1 0 0,6 4 0,-7-6-41,0 0 1,0 0-1,0 0 1,0 0-1,0 0 1,0 0-1,1 0 1,-1 0-1,0-1 1,1 1-1,-1-1 1,1 1-1,-1-1 0,0 1 1,1-1-1,-1 1 1,1-1-1,-1 0 1,1 0-1,-1 0 1,1 0-1,0 0 1,-1 0-1,1-1 1,-1 1-1,0 0 0,1-1 1,-1 1-1,1-1 1,-1 1-1,1-1 1,-1 0-1,0 0 1,0 0-1,2-1 1,1-3-220,0 0 1,-1 0 0,0-1 0,0 1 0,0-1-1,-1 0 1,0 0 0,0 1 0,0-1-1,-1-1 1,1-8 0,4-74-1919,-6 88 2180,1-37 285,-7-66 0,4 92 599,0 0 0,-1 0 0,0 0 0,-1 0 0,-1 1 0,0-1 0,0 1 0,-1 0 0,-11-16 0,17 27-834,0 0 1,0 0 0,0-1 0,0 1-1,-1 0 1,1 0 0,0 0 0,0-1-1,0 1 1,0 0 0,0 0 0,-1 0-1,1-1 1,0 1 0,0 0 0,0 0-1,-1 0 1,1 0 0,0-1-1,0 1 1,0 0 0,-1 0 0,1 0-1,0 0 1,0 0 0,-1 0 0,1 0-1,0 0 1,0 0 0,-1 0 0,1 0-1,0 0 1,0 0 0,-1 0 0,1 0-1,0 0 1,-1 0 0,1 0-1,0 0 1,0 0 0,0 0 0,-1 1-1,1-1 1,0 0 0,0 0 0,-1 0-1,1 0 1,0 0 0,0 1 0,0-1-1,0 0 1,-1 0 0,1 0 0,0 1-1,0-1 1,0 0 0,0 0-1,0 1 1,0-1 0,0 0 0,-1 0-1,1 1 1,0-1 0,0 0 0,0 0-1,0 1 1,-4 21-367,4-18 541,-6 60 164,3 0 1,2 1-1,13 101 1,52 188 1947,-59-330-2211,-1-6-60,0 1 0,1 0 1,1-1-1,0 0 0,2 0 0,10 19 0,-17-37-52,-1 1 0,0 0-1,1 0 1,-1-1 0,1 1-1,-1 0 1,1-1 0,-1 1-1,1 0 1,0-1 0,-1 1-1,1-1 1,0 1 0,-1-1-1,1 1 1,0-1 0,-1 0-1,1 1 1,0-1 0,0 0-1,0 1 1,-1-1 0,1 0 0,0 0-1,0 0 1,0 0 0,0 0-1,-1 0 1,1 0 0,1 0-1,0-1 4,-1 0 0,1 0 0,-1 0 0,0 0 0,0 0 0,1-1 0,-1 1 0,0 0-1,0-1 1,0 1 0,0 0 0,0-1 0,1-2 0,2-7 11,0 0-1,0 0 1,2-14-1,-2-5-117,-1-1 0,-1-56 1,-3 53 9,0 16 43,0-1 0,-2 1 0,0 0 1,-1-1-1,-1 1 0,-1 1 0,-1-1 0,0 1 1,-1 1-1,-1-1 0,0 1 0,-1 1 1,-19-23-1,28 36 38,0 1 1,0 0 0,0 0 0,0 0 0,0 0-1,0 0 1,0 0 0,0 0 0,0 0-1,-1 0 1,1 0 0,0 1 0,-1-1-1,1 0 1,0 1 0,-4-1 0,5 1-15,-1 0 1,1 0-1,-1 0 1,1 1 0,-1-1-1,1 0 1,-1 1-1,1-1 1,-1 0-1,1 1 1,-1-1 0,1 1-1,0-1 1,-1 1-1,1-1 1,-1 0 0,1 1-1,0 0 1,0-1-1,-1 1 1,1-1-1,0 1 1,0-1 0,0 1-1,0-1 1,0 1-1,-1 1 1,1 6-105,-1 0 0,1 0 0,0 0 1,2 14-1,-1-18 59,0 0 1,-1-1-1,1 1 0,1 0 1,-1 0-1,1-1 1,-1 1-1,1-1 0,0 0 1,0 1-1,0-1 1,1 0-1,-1 0 0,1 0 1,0-1-1,0 1 0,0-1 1,0 1-1,0-1 1,0 0-1,1 0 0,3 1 1,2 1-153,0-1 1,0-1-1,0 1 1,0-1-1,1-1 0,-1 0 1,18 0-1,-24-1 217,-1 0-1,1 0 0,-1-1 0,1 1 0,-1-1 1,1 0-1,-1 1 0,0-1 0,1 0 1,-1 0-1,0-1 0,0 1 0,0 0 1,0-1-1,0 1 0,0-1 0,2-2 1,0-1 3,-1 1 1,1-1 0,-1 0 0,0-1 0,0 1 0,-1 0 0,3-7 0,0-6 187,0-1 0,-1 0 0,3-30 1,-5-44 3007,-13 151-3270,10-42 69,1 1-1,0 0 1,1-1-1,1 1 0,0 0 1,8 24-1,-9-36-47,1-1-1,-1 1 0,1-1 1,0 1-1,1-1 1,-1 0-1,1 0 0,0 0 1,0-1-1,0 1 1,0-1-1,0 1 0,1-1 1,0 0-1,0 0 1,0-1-1,0 1 0,0-1 1,0 0-1,0 0 1,1 0-1,-1 0 0,1-1 1,0 0-1,-1 0 1,1 0-1,8 0 0,-9-1 25,-1 1 0,0-1 0,1 0-1,-1 0 1,1-1 0,-1 1 0,1-1-1,-1 1 1,0-1 0,1 0 0,-1-1-1,0 1 1,0 0 0,0-1 0,0 0-1,0 1 1,0-1 0,0 0 0,-1-1-1,1 1 1,-1 0 0,1-1 0,-1 0-1,0 1 1,0-1 0,0 0 0,0 0-1,-1 0 1,1 0 0,-1 0 0,0-1-1,0 1 1,0 0 0,0-1-1,0 1 1,-1-7 0,3-8 248,-1-1-1,-1 0 1,0 1-1,-2-1 1,-3-22-1,-8 15 1097,3 21-523,3 19-877,4 1 78,1 1 0,0 0 0,1 0 0,1 0 1,0-1-1,1 1 0,1 0 0,7 23 0,-7-31-13,0 0 1,0-1-1,0 1 1,1-1-1,1 0 0,-1 0 1,1 0-1,0 0 0,1-1 1,-1 0-1,1 0 0,1 0 1,-1-1-1,1 0 1,0 0-1,0-1 0,0 0 1,9 4-1,-14-7-23,1 0 0,-1 0-1,1 0 1,0 0 0,0 0 0,-1-1-1,1 1 1,0-1 0,0 0 0,0 0-1,-1 0 1,1 0 0,0 0 0,0-1 0,0 1-1,-1-1 1,5-1 0,-5 1 32,0-1 0,0 1 0,0-1 0,0 1 0,0-1-1,0 0 1,0 0 0,-1 0 0,1 0 0,-1 0 0,0 0 0,1 0 0,-1 0 0,0-1 0,1-3 0,2-9 86,-1 0 1,0 0 0,-2 0-1,0-1 1,0-18-1,-1 11 9,-1 5 88,1 12-78,-1 0 0,1 1 0,0-1 0,1 1 0,-1-1 0,1 1 0,0-1 0,3-8 0,-3 14-95,-1-1-1,0 1 1,1-1 0,-1 1 0,1 0 0,-1 0 0,1-1 0,-1 1 0,0 0 0,1 0 0,-1-1 0,1 1 0,-1 0-1,1 0 1,0 0 0,-1 0 0,1 0 0,-1 0 0,1 0 0,-1 0 0,1 0 0,-1 0 0,1 0 0,-1 0 0,1 0-1,-1 1 1,1-1 0,-1 0 0,1 0 0,-1 1 0,1-1 0,-1 0 0,1 1 0,15 11-150,-4 4 0,-1 0-1,0 1 0,-1 0 1,-1 1-1,10 29 0,9 15-3092,-28-62 3201,0 1 0,0-1 0,0 0-1,1 1 1,-1-1 0,0 0 0,0 1 0,0-1 0,0 0 0,1 0 0,-1 1 0,0-1 0,0 0 0,1 0 0,-1 1 0,0-1 0,0 0 0,1 0 0,-1 0 0,0 1 0,1-1 0,-1 0 0,0 0 0,1 0-1,-1 0 1,0 0 0,1 0 0,-1 0 0,0 0 0,1 1 0,-1-1 0,0-1 0,1 1 0,-1 0 0,1 0 0,9-11-276,5-23 642,-13 30-456,9-25 195,-5 11 153,0 0 1,2 0-1,0 0 1,1 2-1,1-1 1,0 1-1,19-22 0,-28 37-205,-1 0-1,1 1 1,-1-1-1,1 1 1,0-1-1,-1 1 1,1 0-1,-1-1 1,1 1-1,0 0 0,-1-1 1,1 1-1,0 0 1,0 0-1,-1-1 1,1 1-1,0 0 1,0 0-1,-1 0 1,1 0-1,0 0 0,0 0 1,-1 0-1,1 0 1,0 0-1,0 1 1,-1-1-1,1 0 1,0 0-1,-1 1 1,1-1-1,0 0 0,-1 1 1,1-1-1,0 1 1,-1-1-1,1 1 1,-1-1-1,1 1 1,-1-1-1,1 1 1,-1 0-1,1-1 0,-1 1 1,0-1-1,1 1 1,-1 0-1,0 0 1,1 0-1,14 41-210,-14-38 239,10 44-70,-7-30-153,0 0-1,1-1 1,9 21 0,-13-36 129,0 0 0,-1-1 0,1 1 0,0-1 0,0 1 1,0-1-1,0 1 0,0-1 0,0 0 0,1 1 0,-1-1 0,0 0 0,1 0 0,-1 0 0,1 0 1,-1 0-1,1 0 0,-1-1 0,1 1 0,0 0 0,-1-1 0,1 1 0,0-1 0,-1 0 1,1 1-1,0-1 0,0 0 0,-1 0 0,1 0 0,0 0 0,3-1 0,-2 0 35,1 0-1,-1-1 1,0 1 0,0-1-1,0 1 1,0-1-1,-1 0 1,1 0-1,0 0 1,-1-1 0,1 1-1,-1 0 1,0-1-1,0 0 1,3-4-1,6-15 178,-1-1 0,-2 0-1,0 0 1,-1-1 0,6-44 0,3-7 1819,-13 83-2256,0 0 0,0 0-1,1 0 1,0-1 0,1 1-1,9 11 1,-13-21 317,0-1 0,0 1 0,-1-1 0,1 0 0,-1 1 0,1-1 0,-1 0 0,0 1 0,0-1 0,0 0 0,0 1 0,-1-1 0,1 0-1,-1 1 1,1-1 0,-2-3 0,1 5-23,-1-1-1,1 1 0,0 0 0,-1 0 0,1-1 0,-1 1 0,0 0 0,1 0 0,-1 0 0,0 1 0,1-1 0,-1 0 0,0 1 0,0-1 1,0 1-1,0-1 0,0 1 0,1 0 0,-1 0 0,0 0 0,0 0 0,0 0 0,0 0 0,0 1 0,0-1 0,1 1 0,-1-1 0,0 1 1,0 0-1,0-1 0,1 1 0,-1 0 0,0 0 0,1 0 0,-1 0 0,1 1 0,0-1 0,-1 0 0,1 1 0,0-1 0,-1 1 0,1-1 1,0 1-1,0 0 0,1-1 0,-1 1 0,0 0 0,0 0 0,1-1 0,-1 4 0,-3 12-33,2 1 0,0 0 0,1-1 0,2 34 0,-1-42-1,0-5-5,0 0 0,0 0 0,1 0 0,0-1-1,-1 1 1,2 0 0,-1-1 0,0 1-1,1 0 1,-1-1 0,1 1 0,0-1 0,0 0-1,0 0 1,1 0 0,-1 0 0,1 0 0,0 0-1,-1-1 1,1 1 0,0-1 0,1 0 0,-1 0-1,0 0 1,8 3 0,-1-1-136,1-1 1,0 0-1,0-1 1,0 0-1,1-1 1,-1 0-1,20-1 1,-26-1 156,1 0 0,-1 0 1,0-1-1,0 1 0,0-1 0,0-1 0,0 1 1,-1-1-1,1 1 0,-1-1 0,1 0 1,-1-1-1,0 1 0,0-1 0,-1 0 1,1 0-1,-1 0 0,0 0 0,0-1 0,4-7 1,2-4 40,-1 1 1,-1-2 0,0 1-1,-1-1 1,4-19 0,-4 7 264,-2-1 0,0 1 0,-2-1 0,-1 0 1,-2 0-1,-7-53 0,-5 31 618,12 48-745,0 0 0,-1 0 0,0 0-1,0 0 1,0 0 0,0 0 0,-1 0-1,1 0 1,-6-5 0,8 9-169,0 0 0,-1 0 0,1 0 0,0-1 0,0 1 0,-1 0 0,1 0 0,0 0 0,0 0 0,-1 0 0,1 0 0,0 0 0,-1 0-1,1-1 1,0 1 0,0 0 0,-1 0 0,1 0 0,0 0 0,-1 0 0,1 1 0,0-1 0,-1 0 0,1 0 0,0 0 0,0 0 0,-1 0 0,1 0 0,0 0 0,0 1 0,-1-1 0,1 0 0,0 0 0,0 0 0,-1 0 0,1 1 0,0-1 0,0 0-1,0 0 1,-1 1 0,1-1 0,0 0 0,0 0 0,0 1 0,0-1 0,0 0 0,0 1 0,0-1 0,-1 0 0,1 0 0,0 1 0,0-1 0,0 0 0,0 1 0,0-1 0,-2 22-136,1-19 153,-1 40-24,1-1 1,1 0-1,8 48 1,-4-65-129,1 0 1,1 0-1,1 0 1,1-1-1,2 0 1,17 33-1,-25-53 40,0-1 0,0 0-1,0 0 1,1 0 0,-1 0 0,1-1 0,0 1-1,0-1 1,0 1 0,0-1 0,0 0-1,0 0 1,7 2 0,-8-3 90,0-1-1,-1 1 1,1-1-1,-1 0 1,1 1 0,0-1-1,-1 0 1,1 0-1,0 0 1,0 0-1,-1-1 1,1 1 0,0 0-1,-1-1 1,1 1-1,-1-1 1,1 0-1,-1 1 1,1-1 0,-1 0-1,1 0 1,-1 0-1,0 0 1,1 0 0,-1 0-1,0 0 1,0 0-1,0-1 1,0 1-1,0 0 1,0-1 0,1-2-1,4-7 32,-1-1 0,0 0 0,-1-1 0,0 1 0,-1-1 0,0 1 0,1-20 0,-1-90 1383,-4 89-18,0 72-1551,0-16 139,1 0 1,1 0-1,4 31 0,-4-49-84,0 1-1,0-1 0,1 0 1,0 0-1,0 0 0,0 0 1,0 0-1,1 0 0,0-1 1,0 1-1,0-1 0,0 1 1,1-1-1,-1 0 0,1-1 1,0 1-1,1-1 0,-1 1 1,8 3-1,-9-5 54,0-1 0,1 1 0,-1-1 0,0 0 0,1 0 0,-1 0 0,1 0 1,-1-1-1,1 0 0,0 1 0,-1-1 0,1 0 0,-1-1 0,1 1 0,-1-1 0,1 1 0,-1-1 0,5-2 0,-3 1 37,0-1 1,0 0-1,-1 0 0,1 0 0,-1 0 1,0-1-1,1 0 0,-2 0 0,1 0 0,5-8 1,4-8 148,-2 0 0,0-1 1,-1-1-1,9-29 0,-18 48-123,5-12 429,0-1 0,-2 0 0,0 0 0,-1 0 0,2-27 0,5 50-1321,-4 4 734,22 30-1058,-27-39 1070,1 0 1,0 0-1,0 0 0,0-1 0,0 1 1,0-1-1,0 0 0,0 1 0,0-1 0,1 0 1,-1 0-1,0 0 0,1-1 0,-1 1 1,1 0-1,-1-1 0,5 1 0,-7-2 135,1 1 0,-1-1 0,1 1 0,-1-1 0,1 0 0,-1 1 0,1-1 0,-1 1 0,1-1 0,-1 0 0,0 1 0,1-1 0,-1 0 0,0 1 0,0-1 0,0 0-1,1 0 1,-1 1 0,0-1 0,0 0 0,0 1 0,0-1 0,0 0 0,0 0 0,-1 0 0,0-26 407,1 25-362,0 0-11,0 0-1,-1 0 1,1 0-1,-1-1 1,0 1 0,0 0-1,0 0 1,0 0-1,0 1 1,0-1-1,0 0 1,0 0-1,-1 0 1,1 1-1,-1-1 1,1 1 0,-1-1-1,0 1 1,0 0-1,1 0 1,-1 0-1,0 0 1,0 0-1,0 0 1,0 0 0,-3 0-1,-1-1 86,-1 0-1,0 0 1,0 1-1,0 0 1,0 1-1,-13 0 1,18 1-128,0-1 0,-1 1 0,1 0 1,0 0-1,0 0 0,0 1 0,0-1 0,0 0 0,0 1 1,0-1-1,1 1 0,-1 0 0,1-1 0,-1 1 0,1 0 1,-1 0-1,1 0 0,0 0 0,0 0 0,0 0 1,0 1-1,0-1 0,1 0 0,-1 0 0,0 5 0,-2 7-24,0 0 0,-1 27 0,3-28-5,0 0 39,0 1-1,1-1 1,1 0 0,4 27-1,-5-37-33,1 0-1,0-1 0,0 1 0,0 0 0,0 0 0,1-1 0,-1 1 0,1 0 1,0-1-1,-1 0 0,1 1 0,0-1 0,0 0 0,1 0 0,-1 0 0,0 0 1,1 0-1,-1-1 0,1 1 0,-1-1 0,1 0 0,0 1 0,0-1 1,0 0-1,-1-1 0,1 1 0,6 0 0,-6 0 17,1-1 1,-1 0-1,1 0 0,0 0 0,-1 0 1,1 0-1,-1-1 0,0 0 0,1 0 1,-1 0-1,1 0 0,-1 0 0,0-1 1,0 1-1,0-1 0,0 0 1,0 0-1,4-3 0,-2 0 9,-1 0 1,0 1-1,-1-2 1,1 1-1,-1 0 0,0 0 1,0-1-1,-1 0 1,4-11-1,0-5 307,-2-1 0,0 0 0,-2 0 0,0-38 0,-5 33 224,3 28-532,0-1 1,0 1-1,0-1 0,-1 1 0,1-1 1,0 1-1,0-1 0,0 1 0,0-1 1,0 1-1,0-1 0,-1 1 1,1-1-1,0 1 0,0 0 0,-1-1 1,1 1-1,0-1 0,-1 1 0,1 0 1,0-1-1,-1 1 0,1 0 0,-1-1 1,1 1-1,0 0 0,-1 0 0,1-1 1,-1 1-1,1 0 0,-1 0 0,1 0 1,-1 0-1,1 0 0,-1 0 0,1 0 1,-1 0-1,1 0 0,-1 0 0,1 0 1,-1 0-1,1 0 0,-1 0 1,1 0-1,0 0 0,-1 0 0,1 1 1,-1-1-1,1 0 0,-1 0 0,1 0 1,-1 1-1,0 0 0,0 0-9,0 1-1,0-1 1,0 1 0,0-1 0,0 1-1,0 0 1,1 0 0,-1-1-1,1 1 1,-1 0 0,1 0-1,-1 0 1,1-1 0,0 1-1,0 2 1,1 36-165,-1-24 10,1-8 14,0-1 0,0 1 0,1-1 0,0 0 0,1 1 0,-1-1 0,1 0 0,0-1 0,1 1 0,0-1 0,0 1 0,9 9 0,-11-13 84,0 0 0,1 0 0,-1 0 0,1 0 0,0 0 0,0-1 0,0 1 0,0-1 1,1 0-1,-1 0 0,1 0 0,-1-1 0,1 1 0,0-1 0,-1 0 0,1 0 0,0 0 0,0 0 0,0-1 0,0 1 0,-1-1 0,1 0 1,0 0-1,0-1 0,0 1 0,6-2 0,-8 0 105,0 1 1,1-1-1,-1 0 0,0 1 1,0-1-1,0 0 0,-1 0 1,1 0-1,0-1 1,-1 1-1,1 0 0,-1-1 1,0 1-1,0-1 0,0 1 1,0-1-1,1-3 1,11-48 1737,-13 50-1554,25-120 3704,-21 116-3206,1 12-739,2 15-283,-7-19 360,11 44-119,-7-28-308,0 1 1,1 0-1,1-1 0,0 0 1,1 0-1,13 21 0,-20-36 317,1 0 0,0 0 0,0 0 0,0 0-1,-1 0 1,1 0 0,0 0 0,0-1-1,0 1 1,0 0 0,1-1 0,-1 1 0,0 0-1,0-1 1,0 1 0,0-1 0,1 0 0,-1 1-1,0-1 1,0 0 0,1 0 0,-1 0-1,0 0 1,0 0 0,1 0 0,-1 0 0,0 0-1,0-1 1,1 1 0,-1 0 0,0-1-1,0 1 1,0-1 0,1 1 0,-1-1 0,0 1-1,2-3 1,1 0 53,-1 0 0,1 0 0,-1-1 0,1 1 1,-1-1-1,0 0 0,5-8 0,29-68 240,-28 57 588,1 1 0,1 1 1,21-32-1,-32 53-826,0 0-1,0 0 1,0-1-1,0 1 1,1 0-1,-1 0 1,0 0 0,0 0-1,0 0 1,1-1-1,-1 1 1,0 0-1,0 0 1,0 0-1,1 0 1,-1 0 0,0 0-1,0 0 1,1 0-1,-1 0 1,0 0-1,0 0 1,1 0 0,-1 0-1,0 0 1,0 0-1,0 0 1,1 0-1,-1 0 1,0 0-1,0 0 1,1 0 0,-1 0-1,0 0 1,0 1-1,0-1 1,1 0-1,-1 0 1,0 0-1,0 0 1,0 1 0,0-1-1,0 0 1,1 0-1,-1 0 1,0 0-1,0 1 1,0-1-1,0 0 1,0 0 0,0 1-1,0-1 1,0 0-1,0 0 1,1 0-1,-1 1 1,0-1-1,5 18-90,-4-16 113,8 33-47,-6-20-169,1-1 0,0 1 1,1-1-1,1 0 0,0-1 0,14 24 1,-19-35 137,0-1 1,0 1 0,1-1 0,-1 0 0,0 0 0,0 1 0,0-1 0,1 0 0,-1 0 0,1 0 0,-1-1 0,1 1-1,-1 0 1,1 0 0,-1-1 0,1 1 0,0-1 0,-1 0 0,1 1 0,0-1 0,-1 0 0,1 0 0,2 0 0,-1-1 35,0 0 0,-1 0 0,1 0 0,-1 0 0,1 0 0,-1-1 0,0 1 0,1-1 0,-1 1 0,0-1 0,0 0 0,0 0 0,2-2 0,5-9 58,0 1 0,-1-1 0,14-28 0,-21 39-61,7-17 320,-1-1 0,-1 0 0,-1 0 1,0-1-1,-2 0 0,0 1 0,-1-1 1,-2 0-1,-2-36 0,-1 44 573,-1 18-676,-1 21-290,4-16 104,0 0-1,1 0 0,0-1 0,1 1 0,0 0 1,1 0-1,0-1 0,1 1 0,-1-1 0,2 0 1,-1 0-1,7 11 0,12 11 36,1 0-1,38 38 1,-53-55-662,-8-13 543,0-1 1,0 1-1,0-1 0,0 0 0,-1 1 1,1-1-1,0 0 0,0 1 0,0-1 1,0 0-1,-1 0 0,1 1 1,0-1-1,0 0 0,-1 0 0,1 1 1,0-1-1,0 0 0,-1 0 1,1 1-1,0-1 0,-1 0 0,1 0 1,0 0-1,-1 0 0,1 0 1,-1 1-1,-31 0-4304,23-1 4006,-35 0-4560</inkml:trace>
  <inkml:trace contextRef="#ctx0" brushRef="#br0" timeOffset="418.52">1357 836 4194,'0'0'2177,"103"0"-5667</inkml:trace>
  <inkml:trace contextRef="#ctx0" brushRef="#br0" timeOffset="931.5">3349 780 3906,'0'0'8276,"6"38"-8164,7-14-112,2 0 0,0-3 0,0-2-1745,-2-10-1217,-2-7-2672</inkml:trace>
  <inkml:trace contextRef="#ctx0" brushRef="#br0" timeOffset="1257.57">3731 422 5122,'0'0'11216,"0"0"-11207,0 0 0,1 0 0,-1-1-1,0 1 1,0 0 0,1 0 0,-1 0 0,0-1 0,1 1-1,-1 0 1,0 0 0,1 0 0,-1 0 0,0 0-1,1 0 1,-1-1 0,0 1 0,1 0 0,-1 0 0,0 0-1,1 0 1,-1 0 0,0 0 0,1 1 0,-1-1-1,1 0 1,-1 0 0,0 0 0,1 0 0,-1 0 0,0 0-1,1 1 1,-1-1 0,0 0 0,1 1 0,1 2-14,-1 0 1,1 1 0,-1-1 0,1 1-1,-1 0 1,0-1 0,0 1-1,0 7 1,2 3 11,16 92 115,-12-59-87,2-1 0,17 53-1,-11-69-548,-14-28 209,-1-1-1,1 0 1,0 0 0,0 0-1,0 0 1,0 0-1,1-1 1,-1 1-1,0 0 1,0 0-1,0-1 1,1 1-1,-1-1 1,0 1 0,1-1-1,-1 1 1,0-1-1,1 0 1,-1 0-1,3 1 1,7-1-5423</inkml:trace>
  <inkml:trace contextRef="#ctx0" brushRef="#br0" timeOffset="2418.39">3990 441 5282,'0'0'10861,"-8"7"-10556,-15 14-287,0 1 0,1 1 0,1 1 0,1 1 0,2 1 0,0 0 0,-14 31 0,29-50-46,-1 1 1,1 0 0,1 0-1,-2 10 1,3-16-13,1 0 0,-1 0 1,1 0-1,0 0 0,0 0 0,0 0 1,0 0-1,0 0 0,0 0 0,0 0 0,1 0 1,-1 0-1,1 0 0,-1 0 0,1-1 1,0 1-1,0 0 0,0 0 0,0 0 1,0-1-1,0 1 0,1 0 0,0 1 0,3 0-27,0-1-1,-1 1 1,1-1-1,0 0 1,0-1-1,0 1 1,1-1-1,-1 0 1,0 0-1,7 0 0,59 0-565,-42-2 118,-18 1 244,0 0 0,1-1 0,-1-1 0,0 0 0,0-1 0,-1 0 0,1 0-1,0-1 1,18-10 0,-25 11 291,1 1-1,-1-1 0,0-1 1,0 1-1,0 0 1,0-1-1,0 0 0,-1 0 1,1 0-1,-1 0 0,0-1 1,-1 1-1,1-1 1,-1 1-1,0-1 0,0 0 1,0 0-1,-1 0 0,0 0 1,0-1-1,0 1 0,0-9 1,-1 12 157,-1-13 1815,1 15-1980,0 0 1,0-1 0,0 1 0,0 0-1,-1 0 1,1 0 0,0-1 0,0 1 0,0 0-1,0 0 1,0 0 0,-1-1 0,1 1-1,0 0 1,0 0 0,0 0 0,-1 0-1,1-1 1,0 1 0,0 0 0,-1 0 0,1 0-1,0 0 1,0 0 0,-1 0 0,1 0-1,0 0 1,0 0 0,-1 0 0,1 0-1,0 0 1,0 0 0,-1 0 0,1 0 0,0 0-1,0 0 1,0 0 0,-1 0 0,1 0-1,0 0 1,0 0 0,-1 0 0,1 1-1,0-1 1,0 0 0,0 0 0,-1 0 0,1 0-1,0 1 1,0-1 0,-1 2-14,0 1 0,0-1 1,0 1-1,1-1 0,-1 1 1,1-1-1,0 1 0,0-1 1,0 1-1,0 0 0,0-1 0,1 1 1,-1-1-1,1 1 0,-1-1 1,1 1-1,0-1 0,2 4 0,0-4-5,0 0 0,0 0 0,0-1 0,0 1 0,0-1 0,0 0 0,0 0 0,1 0-1,-1 0 1,0 0 0,1-1 0,-1 0 0,1 0 0,-1 0 0,7-1 0,-8 1 11,1 0 0,-1 0 0,1-1 0,0 1 0,-1-1 1,0 1-1,1-1 0,-1 0 0,1 0 0,-1-1 1,0 1-1,0 0 0,0-1 0,0 1 0,0-1 0,0 1 1,0-1-1,0 0 0,0 0 0,-1 0 0,3-4 0,-1-3 173,0 0 0,-1-1 0,0 1 0,-1-1 0,0 0 0,0 1-1,-1-1 1,0 0 0,-1 1 0,0-1 0,-3-12 0,4 21-145,-1 0 0,1-1 1,-1 1-1,0-1 0,0 1 1,0 0-1,1 0 0,-1-1 1,0 1-1,-1 0 0,1 0 1,0 0-1,0 0 0,0 0 1,-1 1-1,1-1 0,0 0 1,-1 0-1,1 1 0,-1-1 1,1 1-1,-1-1 0,1 1 0,-1 0 1,1 0-1,-1-1 0,1 1 1,-1 0-1,1 0 0,-1 1 1,-1-1-1,0 0-36,1 1 1,-1-1-1,1 1 1,-1 0-1,1 0 0,-1-1 1,1 1-1,-1 1 0,1-1 1,0 0-1,0 1 1,0-1-1,0 1 0,0 0 1,0-1-1,0 1 1,-2 3-1,0 2-3,0 0 1,1 1-1,-1-1 1,1 1-1,1 0 0,-1 0 1,2 0-1,-1 0 1,1 0-1,0 1 1,0-1-1,1 0 0,1 1 1,-1-1-1,1 0 1,4 15-1,-4-17 11,1 0 1,1-1-1,-1 1 1,1-1-1,0 1 0,0-1 1,0 0-1,1 0 1,0 0-1,0-1 0,0 1 1,0-1-1,1 0 1,0 0-1,0-1 0,0 1 1,0-1-1,0 0 1,1 0-1,-1-1 0,1 0 1,11 3-1,-6-2-43,-1-1 0,1 0 1,-1-1-1,1 0 0,0-1 0,-1 0 0,13-2 0,-19 1 20,1 0 0,-1 0-1,1 0 1,-1-1 0,0 1-1,1-1 1,-1 0 0,0-1-1,0 1 1,0-1 0,0 1-1,-1-1 1,1 0 0,-1 0 0,0-1-1,0 1 1,0-1 0,3-4-1,-1-1 32,0-1 0,0 1-1,-1-1 1,-1 0 0,1 0-1,-2 0 1,4-16 0,-4-4 1481,0-40 1,-2 60-808,0 36-765,-1-13-78,0-1-1,2 0 1,-1 0-1,2 1 1,4 20-1,-5-30 73,0 0 0,0 0 0,1 0 0,-1-1 0,1 1 0,-1 0 0,1-1 0,0 1 0,0-1 0,1 1 0,-1-1 0,0 0 0,1 0 0,-1 0 0,1 0 0,0 0 0,-1-1 0,1 1 0,0-1 0,0 0 0,0 0 0,0 0 0,0 0 0,0 0 0,0-1 0,1 1 0,4-1-1,-5 1 43,1-1-1,0 0 0,0 0 0,-1 0 1,1-1-1,0 1 0,-1-1 0,1 0 0,-1 0 1,1 0-1,-1 0 0,1 0 0,-1-1 0,1 0 1,-1 0-1,0 0 0,5-4 0,-4 2 68,0-1 0,-1 1 0,0-1 0,1 0 0,-2 0 0,1 0 0,0 0 0,-1-1-1,0 1 1,2-12 0,0-4 1051,-1 1 0,-1-1 0,-1-39 0,-1 48-308,0 12-755,0 0 0,0 0 1,0 0-1,0-1 0,0 1 0,0 0 0,0 0 1,0 0-1,0 0 0,0 0 0,0-1 0,0 1 0,0 0 1,0 0-1,0 0 0,0 0 0,-1 0 0,1 0 1,0 0-1,0-1 0,0 1 0,0 0 0,0 0 1,0 0-1,0 0 0,-1 0 0,1 0 0,0 0 1,0 0-1,0 0 0,0 0 0,0 0 0,0 0 1,-1 0-1,1 0 0,0 0 0,0 0 0,0 0 1,0 0-1,0 0 0,-1 0 0,1 0 0,0 0 1,0 0-1,0 0 0,0 0 0,0 0 0,-1 0 1,1 0-1,0 0 0,0 0 0,0 0 0,0 0 1,0 0-1,0 1 0,-1-1 0,-6 6-162,4 2 129,-1 1 0,1-1 1,1 0-1,0 1 0,0 0 0,1-1 1,-1 13-1,2 67 15,1-59 2,-1-14 10,2-1 0,0 1 0,1 0-1,0-1 1,1 0 0,1 1-1,0-2 1,9 18 0,8 9 18,36 49 0,-7-12-7,-48-72-99,-1-1 0,1 1 0,-1 0 0,0 0 0,-1 1 0,1-1 0,-1 0 0,0 1 0,0-1 0,-1 0 0,0 10 0,0-15 69,0 1-1,0-1 0,0 0 1,-1 0-1,1 0 1,0 1-1,0-1 0,-1 0 1,1 0-1,0 0 0,0 0 1,-1 0-1,1 0 0,0 0 1,-1 1-1,1-1 0,0 0 1,0 0-1,-1 0 0,1 0 1,0 0-1,-1 0 1,1 0-1,0 0 0,0 0 1,-1-1-1,1 1 0,0 0 1,-1 0-1,1 0 0,0 0 1,0 0-1,-1 0 0,1-1 1,0 1-1,0 0 1,-1 0-1,1 0 0,0-1 1,0 1-1,-1 0 0,-12-9-397,8 4-1,1 0 0,0-1 0,0 0 0,0 1 0,1-1 1,0 0-1,0-1 0,0 1 0,1-1 0,-3-8 0,-3-42-5437,7 18-1366</inkml:trace>
  <inkml:trace contextRef="#ctx0" brushRef="#br0" timeOffset="3066.79">4856 562 6211,'0'0'12352,"-2"-5"-11704,-6-8-581,5 15-102,2 27-102,2-8 160,-1-2-7,0 0 0,2-1 1,7 35-1,-8-46-26,1 0 1,1 0-1,0 0 0,0-1 1,0 1-1,0-1 1,1 0-1,0 0 0,1 0 1,-1 0-1,1-1 1,0 0-1,6 5 0,-9-8-34,-1-1-1,0 0 1,1 1-1,0-1 1,-1 0-1,1 0 0,0 0 1,-1 0-1,1 0 1,0-1-1,0 1 1,0 0-1,0-1 1,0 1-1,0-1 0,0 0 1,0 0-1,0 0 1,0 0-1,0 0 1,-1 0-1,1 0 0,0-1 1,4 0-1,-3-1 38,-1 0 0,0 0 0,1 0 0,-1 0-1,0 0 1,0 0 0,0 0 0,-1-1 0,1 1-1,0-1 1,-1 1 0,0-1 0,1 0 0,0-4-1,3-10 119,0 0 0,-2 0 0,0 0 0,1-23 0,-4-53 2573,0 91-2345,0 9-427,0 17 81,-1-3-178,1 0 0,1 0 0,1 0 0,8 34 0,-9-51 50,0 1 0,0-1 0,1 0 0,0 0 0,0 0 0,0 0 0,0 0 0,0 0 0,1 0 0,0-1 1,0 0-1,0 1 0,0-1 0,0 0 0,0 0 0,1-1 0,0 1 0,0-1 0,-1 1 0,1-1 0,0 0 1,1-1-1,-1 1 0,0-1 0,0 0 0,1 0 0,-1 0 0,6 0 0,-5-1 68,0 1 0,-1-1 0,1 0 0,0-1 1,0 1-1,0-1 0,-1 0 0,1 0 0,0 0 0,-1-1 0,1 0 0,-1 0 0,1 0 0,-1 0 0,6-4 0,-5 1 74,-1 1 0,1-1-1,-1 0 1,0-1-1,0 1 1,0 0 0,-1-1-1,0 0 1,0 0 0,4-11-1,-2-3 299,0 1 0,-1-1 0,-1 0 0,-1 0 0,-1-1 0,-2-22 0,1 40-238,0-1 1,0 1-1,0 0 1,-1-1-1,0 1 1,0 0-1,0 0 1,0 0-1,0 0 1,-3-6 0,3 8-83,0 0 0,0 0 1,0 0-1,0 0 1,0 0-1,0 0 1,0 0-1,0 0 1,0 0-1,0 1 1,-1-1-1,1 0 1,0 1-1,0-1 1,-1 1-1,1-1 0,-1 1 1,1 0-1,0-1 1,-1 1-1,1 0 1,0 0-1,-1 0 1,1 0-1,-1 0 1,1 0-1,0 1 1,-1-1-1,-1 1 1,2 0-84,-1-1 1,1 1 0,0 0 0,-1 0 0,1 0 0,0 0 0,-1 0 0,1 0 0,0 0 0,0 1 0,0-1 0,0 0 0,0 1 0,1-1 0,-1 0 0,0 1 0,0-1 0,1 1 0,-1-1 0,1 1 0,0 0 0,-1-1 0,1 1-1,0 1 1,-2 46-4217,2-38 2178,0 13-2847</inkml:trace>
  <inkml:trace contextRef="#ctx0" brushRef="#br0" timeOffset="4872.35">5441 582 4274,'0'0'12902,"-9"-9"-12040,-30-27-524,38 35-335,1 1-1,-1-1 0,1 1 0,-1-1 0,0 1 1,0-1-1,1 1 0,-1-1 0,0 1 0,0 0 1,1-1-1,-1 1 0,0 0 0,0 0 0,0 0 1,0-1-1,0 1 0,1 0 0,-1 0 0,0 0 1,0 1-1,0-1 0,0 0 0,0 0 0,1 0 0,-1 1 1,0-1-1,0 0 0,0 1 0,1-1 0,-1 0 1,0 1-1,1-1 0,-1 1 0,0-1 0,1 1 1,-2 1-1,-13 26-29,12-22 34,-1 4 2,1-1 0,0 1 0,0 0 0,1 0-1,0 1 1,1-1 0,0 0 0,1 1-1,0-1 1,0 0 0,4 16 0,-4-21-50,1-1 0,0 0-1,0 1 1,1-1 0,-1 0 0,1 0 0,0 0 0,0 0 0,0 0 0,1-1 0,-1 1 0,1-1 0,0 1 0,0-1 0,0 0 0,0 0-1,1 0 1,-1-1 0,1 1 0,0-1 0,0 0 0,0 0 0,0 0 0,0 0 0,0-1 0,0 1 0,0-1 0,9 1 0,-5-1-113,0 0 0,0-1 0,-1 0 0,1 0 0,0-1 0,8-1 0,-14 1 136,1 0 0,0 0 0,-1 0 0,1 0 0,-1 0 0,1-1 0,-1 1 0,0-1 0,0 0 0,1 1 0,-1-1 0,0 0 0,-1 0 0,1-1 0,0 1 0,-1 0 0,1 0 0,-1-1 0,2-3 0,2-8 161,-1 0 0,-1 0 1,0 0-1,-1-1 0,-1 1 1,0-1-1,-1 1 0,-1 0 1,0-1-1,-4-21 0,-9 4 794,14 30-895,-1 1 1,0 0-1,0 0 0,1-1 0,-1 1 1,0 0-1,0 0 0,0 0 0,0 0 1,-1 0-1,1 0 0,0 0 1,0 0-1,-1 0 0,1 1 0,0-1 1,-1 1-1,1-1 0,-3 0 0,3 1-53,1 1 0,-1-1 0,1 1 0,-1 0 0,1-1 0,-1 1 0,1-1 0,0 1 0,-1 0 0,1-1 0,0 1 0,-1 0 0,1 0 0,0-1 0,0 1 0,0 0 0,0 0 0,0-1 0,0 1 0,0 0 0,0 0 0,0 0 0,0 23-79,0-21 47,0 3-25,1 0 1,0 0-1,0 0 0,0 0 1,1 0-1,0 0 1,0-1-1,0 1 1,1-1-1,0 1 1,0-1-1,0 0 1,1 0-1,0-1 1,0 1-1,0-1 0,0 1 1,1-1-1,0-1 1,-1 1-1,1-1 1,1 0-1,-1 0 1,0 0-1,1 0 1,-1-1-1,1 0 1,0-1-1,0 1 0,0-1 1,0 0-1,0 0 1,0-1-1,0 0 1,0 0-1,0 0 1,9-2-1,-13 0 69,1 1 0,-1-1 0,0 1 0,1-1 0,-1 0 0,0 0 0,0 0 0,0 0 1,0 0-1,-1 0 0,1-1 0,-1 1 0,1 0 0,-1-1 0,0 0 0,0 1 0,0-1 0,0 1 0,1-6 0,10-57 484,-12 62-433,2-91 4803,-2 113-5071,0-4 153,0 1 0,1-1-1,1 1 1,1-1 0,5 20-1,-7-31-34,0 0 1,1 0-1,-1 0 0,1-1 0,0 1 0,0-1 0,0 1 0,1-1 0,-1 0 1,1 0-1,-1 0 0,1 0 0,0 0 0,0-1 0,1 1 0,-1-1 0,0 0 0,1 0 1,0 0-1,-1 0 0,1-1 0,0 0 0,0 1 0,0-1 0,-1-1 0,7 2 0,-4-2 0,-1 1 0,0-1 0,0 0 0,1 0 0,-1 0 0,0-1 0,0 0 0,0 0 0,0 0 0,0-1-1,0 0 1,0 0 0,6-3 0,-8 2 98,0 1 0,0-1 0,0 0 0,0 0 0,0-1 0,-1 1 0,1 0 0,-1-1 0,0 0 0,0 1 0,0-1 0,-1 0 0,1 0 0,-1 0 0,0 0 0,0 0 0,0-6 0,4-27 1957,-2-69 1,-3 99-1367,-2 5-409,-3 6-207,-4 9-47,6-2 55,1-1 0,0 0 0,0 1 0,1-1 0,1 1 0,0-1 1,0 1-1,1-1 0,0 1 0,1-1 0,0 1 0,4 10 0,-4-16-111,0 0 0,0 0-1,0 0 1,1 0 0,0 0 0,0 0 0,0-1-1,0 1 1,1-1 0,0 0 0,0 0-1,0-1 1,0 1 0,1-1 0,-1 0-1,1 0 1,0 0 0,0 0 0,0-1 0,0 0-1,0 0 1,1-1 0,-1 1 0,11 0-1,-11-1-2,0 0-1,1-1 0,-1 0 0,0 0 0,1 0 0,-1-1 1,1 1-1,6-3 0,-9 2 125,0-1-1,0 1 1,-1-1-1,1 0 1,-1 0 0,1 0-1,-1 0 1,0 0 0,0 0-1,1-1 1,-2 1-1,1-1 1,0 1 0,0-1-1,1-4 1,5-12 243,-1 1 1,-1-1-1,0 0 0,-2 0 1,0-1-1,1-23 1,4-19 1544,-9 61-1728,0 0-1,0 0 1,0 0 0,1 0-1,-1 0 1,0 0-1,0 0 1,1 0 0,-1 1-1,0-1 1,1 0 0,-1 0-1,1 0 1,-1 0 0,1 1-1,0-1 1,-1 0 0,2-1-1,-1 2-45,-1 0 0,1 0 0,-1 1-1,1-1 1,-1 0 0,1 0 0,-1 0 0,1 0 0,-1 0-1,1 1 1,-1-1 0,1 0 0,-1 0 0,0 1-1,1-1 1,-1 0 0,1 1 0,-1-1 0,0 0-1,1 1 1,-1-1 0,0 0 0,1 1 0,-1-1 0,0 1-1,22 43-470,-16-30 610,1 0-435,-5-10-52,0 1 0,0-1-1,0 0 1,1 0 0,-1 0 0,1 0 0,0 0 0,0-1 0,7 7 0,-9-12 374,0 0 0,0 0 0,-1 0 1,1-1-1,-1 1 0,1 0 0,-1 0 1,0-1-1,0 1 0,0 0 0,0 0 1,-1-3-1,1 2 50,-1 0 0,0 1 1,1-1-1,-1 1 0,0-1 0,0 1 0,-1-1 0,1 1 1,0 0-1,-1-1 0,1 1 0,-1 0 0,0 0 1,0 0-1,0 0 0,0 1 0,0-1 0,0 0 1,0 1-1,-1 0 0,-2-2 0,1 1 0,-1 0 0,0 0-1,0 1 1,0-1 0,-1 1-1,1 0 1,0 0 0,0 1-1,-11 0 1,14 1-82,0-1 1,1 1-1,-1 0 0,0 0 0,0 0 1,1 0-1,-1 0 0,0 0 0,1 0 1,-1 1-1,1-1 0,0 1 0,-1-1 1,1 1-1,0-1 0,0 1 0,0 0 1,0-1-1,0 1 0,0 0 0,1 0 1,-1 0-1,0 2 0,-11 47-95,10-37 68,0-1 1,1 1-1,1-1 0,0 1 0,1 0 1,3 16-1,-3-27-25,-1 1 1,1-1-1,0 0 1,0 0-1,1 0 1,-1 0 0,1 0-1,-1 0 1,1 0-1,0 0 1,0-1-1,0 1 1,1-1-1,-1 1 1,0-1-1,1 0 1,0 0-1,-1 0 1,1 0-1,0-1 1,0 1 0,0-1-1,0 1 1,0-1-1,1 0 1,-1 0-1,0-1 1,1 1-1,-1-1 1,5 1-1,-5-1 45,0 0 0,1 0-1,-1 0 1,0-1 0,0 1-1,0-1 1,0 0 0,0 0-1,0 0 1,0 0 0,0 0 0,0-1-1,0 1 1,-1-1 0,1 0-1,-1 0 1,1 0 0,3-3-1,-2 0 12,0 0 0,-1-1 1,1 1-1,-1-1 0,0 1 0,-1-1 0,1 0 0,2-11 0,0-7 131,-1 1 1,-1-1 0,-1 1-1,-1-25 1,-1 24 111,-5-122 960,3 127-903,-1 0-1,-1 0 1,0 0 0,-2 0-1,-11-26 1,17 44-286,0 1-1,0 0 1,0-1 0,0 1 0,0 0-1,-1-1 1,1 1 0,0 0 0,0-1-1,0 1 1,0 0 0,0 0 0,0-1-1,-1 1 1,1 0 0,0 0 0,0-1 0,0 1-1,-1 0 1,1 0 0,0 0 0,0-1-1,-1 1 1,1 0 0,0 0 0,-1 0-1,1 0 1,0 0 0,0 0 0,-1 0 0,1-1-1,0 1 1,-1 0 0,1 0 0,-1 0-1,-4 12-1,1 24-314,4-33 377,-3 42-90,2-1 1,6 55-1,-4-84-136,1-1 0,1 1-1,0-1 1,1 0 0,0 0-1,1 0 1,1-1 0,0 1-1,1-1 1,15 21 0,-20-31 116,1-1 1,0 1-1,0 0 1,0-1 0,0 1-1,0-1 1,0 0-1,1 0 1,-1 0-1,1-1 1,0 1 0,-1-1-1,1 0 1,0 0-1,0 0 1,-1 0 0,1-1-1,0 1 1,0-1-1,0 0 1,0-1 0,0 1-1,0 0 1,0-1-1,-1 0 1,1 0 0,0 0-1,0-1 1,-1 1-1,1-1 1,-1 0 0,1 0-1,-1 0 1,0 0-1,0 0 1,0-1 0,0 0-1,0 1 1,-1-1-1,1 0 1,-1 0 0,0-1-1,1 1 1,1-6-1,1-7 209,-1 0 0,0 0 0,-2 0-1,0 0 1,0 0 0,-2-1 0,-2-29 0,1 3 317,1 39-410,0-1 1,-1 1 0,1-1-1,-1 1 1,0 0 0,-1-1 0,-1-3-1,-3-13 707,9 47-716,-3-20-78,0 0 1,1-1-1,0 1 0,0 0 1,0-1-1,1 1 0,2 5 1,30 54-2,14 30-2,-43-84-320,-1 0 0,-1 0 0,0 0 0,0 0 0,-1 0 0,1 23 0,-3-33 182,0 0-1,0 0 0,0 0 0,0 1 0,-1-1 1,1 0-1,0 0 0,0 0 0,-1 0 0,1 0 0,-1 0 1,1 0-1,-1 0 0,1 0 0,-1 0 0,0 0 1,1 0-1,-1 0 0,0 0 0,0-1 0,0 1 0,0 0 1,0-1-1,1 1 0,-1 0 0,0-1 0,0 1 0,-1-1 1,0 1-1,-34 3-7066,35-4 6876,-11 0-6516</inkml:trace>
  <inkml:trace contextRef="#ctx0" brushRef="#br0" timeOffset="5101.3">6901 535 8948,'0'0'8932,"24"81"-8900,-14-58-32,-1-4-48,-3-4-2209,-6-8-2945</inkml:trace>
  <inkml:trace contextRef="#ctx0" brushRef="#br0" timeOffset="6906.29">7211 289 3714,'0'0'9884,"-10"-5"-9217,5 2-580,-25-10 68,29 13-145,0-1-1,0 1 0,0 0 1,0 0-1,0 0 0,0 0 1,0 0-1,0 0 0,0 0 1,0 0-1,0 1 1,0-1-1,0 0 0,1 1 1,-1-1-1,0 0 0,0 1 1,0-1-1,0 1 0,0-1 1,0 1-1,1 0 1,-1-1-1,0 1 0,1 0 1,-1 0-1,0-1 0,1 1 1,-1 0-1,1 0 0,-1 0 1,1 0-1,-1 1 0,-4 11 83,1 1-1,1 0 1,0 0-1,0 0 0,0 22 1,4 73 168,-1-96-225,0-5-32,1 0 0,0-1 0,0 1 1,1 0-1,0-1 0,0 1 0,0-1 1,1 1-1,1-1 0,-1 0 0,1 0 1,0-1-1,1 1 0,-1-1 0,1 0 1,0 0-1,10 8 0,-7-8-43,0 0-1,0-1 1,1 0-1,-1-1 1,1 0 0,0 0-1,0-1 1,0 0 0,0-1-1,1 0 1,-1 0-1,1-1 1,18 0 0,-19 0 32,-1-1 0,1-1 0,-1 0-1,1 0 1,-1 0 0,0-1 0,16-6 0,-20 6 35,0 0-1,0-1 0,0 0 0,0 0 0,-1 0 0,1 0 1,-1 0-1,0-1 0,0 0 0,0 0 0,0 0 1,-1 0-1,1 0 0,-1 0 0,3-8 0,0-4 285,-1 1-1,0-1 1,-1 0-1,-1 0 1,0 0-1,-1-23 1,5-46 1741,-6 84-2048,0 0 0,1 0 0,-1-1 0,0 1 0,0 0 0,1 0 0,-1 0 0,0 0 0,1 0 0,-1 0 0,1 0 0,0 0 0,-1 0 0,1 0 0,0 0 0,-1 0 0,1 0 0,0 0 0,0 1-1,0-1 1,0 0 0,0 1 0,0-1 0,0 1 0,0-1 0,0 1 0,0-1 0,0 1 0,0-1 0,0 1 0,0 0 0,0 0 0,1 0 0,-1 0 0,0 0 0,0 0 0,0 0 0,0 0 0,0 0 0,1 0 0,-1 1-1,0-1 1,0 0 0,0 1 0,0-1 0,1 1 0,4 2-49,-1-1-1,0 1 1,0 0-1,0 0 0,-1 1 1,1-1-1,7 8 1,-3-1-436,1 0 1,-2 1-1,1 0 0,-1 0 1,-1 1-1,0 0 1,7 19-1,-14-38 95,-1 2 466,1 1 1,-1-1-1,0 1 0,0-1 0,0 1 1,0-1-1,-1 1 0,0 0 0,-4-9 0,4 10-10,-1 0 0,1 0-1,-1 0 1,0 1-1,0-1 1,0 1-1,0 0 1,0-1 0,-1 1-1,1 1 1,0-1-1,-1 0 1,0 1-1,1 0 1,-1 0 0,0 0-1,0 0 1,-4 0-1,4 1-65,1 0 0,0 0 0,0 1 0,0-1 0,0 1 0,0 0-1,0-1 1,0 2 0,0-1 0,0 0 0,0 0 0,1 1 0,-1 0 0,1-1 0,-1 1-1,1 0 1,-1 0 0,1 0 0,0 1 0,0-1 0,0 1 0,-3 4 0,0 4-29,0-1 0,1 1 0,0 0 0,1 0 0,0 1 0,1-1 0,0 0 0,1 1 1,0-1-1,1 1 0,1 18 0,0-28-4,-1 0 0,0 1 0,1-1 1,-1 0-1,1 0 0,-1 0 0,1 0 0,0 0 0,0 1 1,0-1-1,0-1 0,1 1 0,-1 0 0,0 0 0,1 0 1,-1-1-1,1 1 0,0-1 0,-1 1 0,1-1 0,0 0 1,0 1-1,0-1 0,0 0 0,0 0 0,0-1 0,0 1 1,1 0-1,2 0 0,7 1-169,0 0 1,1 0 0,-1-2-1,15 0 1,-16 0 27,-8 0 163,0 0 0,0 0 0,0-1 1,0 0-1,0 1 0,0-1 0,-1 0 0,1-1 1,0 1-1,0 0 0,-1-1 0,1 1 1,-1-1-1,1 0 0,-1 0 0,0 0 0,0 0 1,0 0-1,0-1 0,0 1 0,0 0 1,0-1-1,-1 0 0,0 1 0,1-1 0,-1 0 1,0 0-1,0 1 0,0-1 0,-1 0 1,1-4-1,3-12 508,-2 1 0,0-1 0,-2-36 0,-1 33 508,1 22-1014,-1 0 1,1 0 0,-1 0 0,1 0 0,-1 1 0,1-1-1,-1 0 1,1 0 0,-1 0 0,1 0 0,-1 1-1,1-1 1,-1 0 0,1 0 0,0 1 0,-1-1 0,1 0-1,0 1 1,-1-1 0,1 0 0,0 1 0,-1-1-1,1 1 1,0-1 0,-1 0 0,1 1 0,0-1 0,0 1-1,0 0 1,-3 6-67,2-1 0,-1 1 0,1 0 0,0 0 0,0 0 0,1 0 1,0 0-1,0-1 0,0 1 0,1 0 0,0 0 0,4 13 0,-4-17 16,1 0 1,-1 1-1,0-1 0,1 0 1,0 0-1,0 0 1,0-1-1,0 1 1,0 0-1,0-1 0,1 1 1,-1-1-1,1 0 1,0 0-1,-1 0 1,1 0-1,0 0 0,0-1 1,0 1-1,1-1 1,-1 0-1,0 0 1,0 0-1,1 0 0,-1-1 1,1 1-1,-1-1 1,4 0-1,-4 0 64,-1 0-1,0 0 0,1 0 1,-1 0-1,1 0 1,-1-1-1,0 1 1,0-1-1,1 0 1,-1 1-1,0-1 1,0 0-1,0 0 1,0-1-1,3 0 1,-3-1 62,0 0 0,0 0 0,0 0 0,0 0 0,0 0 0,-1 0 0,1 0 0,-1 0 0,1-5 0,6-19 1484,7-47 1,-7 33 290,-8 41-1841,0-1 1,0 1-1,0 0 0,1-1 1,-1 1-1,0 0 1,0 0-1,1-1 1,-1 1-1,0 0 0,0 0 1,1-1-1,-1 1 1,0 0-1,0 0 1,1 0-1,-1 0 0,0-1 1,1 1-1,-1 0 1,0 0-1,1 0 0,-1 0 1,0 0-1,1 0 1,-1 0-1,0 0 1,1 0-1,-1 0 0,0 0 1,1 0-1,-1 0 1,0 0-1,1 0 1,-1 0-1,0 1 0,1-1 1,-1 0-1,0 0 1,0 0-1,1 0 1,-1 1-1,0-1 0,1 0 1,-1 0-1,0 1 1,0-1-1,0 0 1,1 0-1,-1 1 0,0-1 1,0 1-1,14 13-175,4 15 194,15 36 0,8 13-1481,-37-76 945,-1-10 532,-1-8 126,-2-27 179,0 20 219,4-39 0,-3 56-399,1 0 1,-1-1-1,1 1 1,0 0 0,0 0-1,1 0 1,-1 0-1,1 1 1,1-1 0,6-8-1,-9 13-143,-1 0 0,1 0-1,0 1 1,0-1 0,0 1 0,-1-1-1,1 1 1,0-1 0,0 1-1,0-1 1,0 1 0,0 0-1,0-1 1,0 1 0,0 0-1,0 0 1,0 0 0,0 0 0,0 0-1,0 0 1,0 0 0,0 0-1,0 0 1,0 0 0,0 1-1,0-1 1,0 0 0,0 1 0,0-1-1,-1 0 1,1 1 0,1 0-1,1 1-4,0 0 0,0 0 0,0 0 0,0 1 0,-1-1 0,1 1 0,3 4 0,6 13-418,-1 1 0,0 0-1,-2 1 1,0-1 0,10 45-1,0-6-254,-19-60 664,0 0 0,0 1 0,0-1 0,0 0 0,0 0 0,0 0 0,0 0 0,0 0 0,0 0-1,0 1 1,0-1 0,0 0 0,0 0 0,0 0 0,0 0 0,0 0 0,0 0 0,1 0 0,-1 1 0,0-1 0,0 0 0,0 0 0,0 0-1,0 0 1,0 0 0,0 0 0,0 0 0,1 0 0,-1 0 0,0 0 0,0 0 0,0 0 0,0 1 0,0-1 0,0 0 0,1 0 0,-1 0-1,0 0 1,0 0 0,0 0 0,0 0 0,0 0 0,1-1 0,-1 1 0,0 0 0,0 0 0,0 0 0,0 0 0,0 0 0,0 0 0,1 0-1,-1 0 1,0 0 0,6-9 66,2-11 197,7-40 641,-9 30-180,12-31-1,-14 52-494,-1 1 0,1-1 0,1 1 0,-1 0 0,1 0 0,1 0-1,11-13 1,-16 21-214,0-1 0,-1 1 0,1-1 0,0 1 0,-1-1 0,1 1 0,0 0 0,0-1 0,-1 1 0,1 0 0,0 0-1,0-1 1,-1 1 0,1 0 0,0 0 0,0 0 0,0 0 0,-1 0 0,1 0 0,0 0 0,0 0 0,0 0 0,-1 1 0,1-1 0,0 0 0,0 0 0,-1 1-1,1-1 1,0 0 0,0 1 0,-1-1 0,1 1 0,0-1 0,-1 1 0,1-1 0,-1 1 0,1 0 0,-1-1 0,2 2 0,19 30 5,-19-28-8,8 13-895,-2-1 0,0 1 0,-2 0 0,1 1 1,-2-1-1,0 1 0,-2 0 0,0 1 0,1 18 1</inkml:trace>
  <inkml:trace contextRef="#ctx0" brushRef="#br0" timeOffset="7556.14">8489 430 8660,'0'0'13558,"3"-11"-13198,12-34-320,-15 45-41,0-1 0,0 1-1,0 0 1,0 0 0,0 0-1,0-1 1,0 1-1,0 0 1,0 0 0,0-1-1,0 1 1,0 0 0,0 0-1,0 0 1,0-1 0,0 1-1,0 0 1,1 0-1,-1-1 1,0 1 0,0 0-1,0 0 1,0 0 0,0 0-1,1-1 1,-1 1 0,0 0-1,0 0 1,0 0 0,1 0-1,-1 0 1,0 0-1,0-1 1,0 1 0,1 0-1,-1 0 1,0 0 0,0 0-1,0 0 1,1 0 0,-1 0-1,0 0 1,0 0-1,1 0 1,-1 0 0,0 0-1,0 0 1,0 0 0,1 0-1,-1 0 1,0 1 0,0-1-1,1 0 1,-1 0-1,0 0 1,0 0 0,0 0-1,0 0 1,1 0 0,-1 1-1,0-1 1,0 0 0,0 0-1,0 0 1,1 1 0,-1-1-1,6 15-15,-6-14 8,61 167-1154,-61-169 1142,0 1 0,0 0 0,0 0 0,0 0 1,0 0-1,0 0 0,0 0 0,0 0 0,0 0 0,0 0 0,0 0 1,0 0-1,0-1 0,1 1 0,-1 0 0,0 0 0,0 0 0,0 0 1,0 0-1,0 0 0,0 0 0,0 0 0,0 0 0,0 0 0,0 0 1,0 0-1,0 0 0,0 0 0,0 0 0,1 0 0,-1 0 1,0 0-1,0 0 0,0 0 0,0 0 0,0 0 0,0 0 0,0 0 1,0 0-1,0 0 0,0 0 0,0 0 0,1 0 0,-1 0 0,0 0 1,0 0-1,0 0 0,0 0 0,0 0 0,0 0 0,0 0 1,0 0-1,0 0 0,0 0 0,0 0 0,0 0 0,0 0 0,0 0 1,1 0-1,-1 0 0,0 1 0,0-1 0,0 0 0,4-14-382,3-30 757,-4 25-443,-1 3 381,1 0-1,1 0 0,0 0 1,1 1-1,1-1 1,0 1-1,11-18 1,-17 33-285,0-1 0,0 1 1,1-1-1,-1 1 0,0 0 0,1-1 0,-1 1 1,0 0-1,1-1 0,-1 1 0,0 0 1,1-1-1,-1 1 0,1 0 0,-1 0 1,0-1-1,1 1 0,-1 0 0,1 0 0,-1 0 1,1 0-1,-1 0 0,1 0 0,-1 0 1,1-1-1,-1 1 0,0 1 0,1-1 1,-1 0-1,1 0 0,-1 0 0,1 0 0,-1 0 1,1 0-1,-1 0 0,1 1 0,-1-1 1,0 0-1,1 0 0,-1 1 0,1-1 0,-1 0 1,0 0-1,1 1 0,-1-1 0,0 0 1,1 1-1,-1-1 0,0 1 0,14 21-189,-13-20 206,14 32-229,-2 1 0,12 48 0,-1-6-2331,-19-84 2050,0-21 881,0-54-1,-5 62 42,1-1 0,1 1 0,1 0 0,0 0 0,13-38-1,-16 56-379,1-1 0,0 1 0,0 0 0,1 0-1,-1-1 1,0 1 0,1 0 0,-1 0 0,1 0-1,-1 1 1,1-1 0,0 0 0,0 1 0,0-1-1,0 1 1,3-2 0,-3 2-49,0 1 0,0-1 0,0 1 0,0 0 0,-1-1 0,1 1 0,0 0 0,0 0 0,0 1 0,0-1 0,0 0 0,-1 1 0,1-1 0,0 1 0,0-1 0,0 1 0,1 1 0,3 1-23,1 2 0,-1-1 0,0 1 0,-1-1 0,1 2 0,-1-1 0,0 0 0,0 1 0,4 7 1,23 49-536,-4-8-1679,-25-48 1405,1 0 0,0-1 0,1 1 0,-1-1 0,1 0 0,9 7 0,10 4-4610</inkml:trace>
  <inkml:trace contextRef="#ctx0" brushRef="#br0" timeOffset="8413.18">9185 328 7684,'0'0'10220,"-16"-8"-9916,-49-23-178,63 30-123,1 1 0,-1 0 0,1-1 1,-1 1-1,0 0 0,1 0 0,-1 0 0,1 0 1,-1 0-1,1 1 0,-1-1 0,1 0 0,-1 1 1,1-1-1,-1 1 0,1-1 0,0 1 0,-1 0 1,1-1-1,0 1 0,-1 0 0,1 0 1,0 0-1,0 0 0,0 0 0,-1 2 0,-2 1 8,1 1 0,0-1 0,0 1-1,1 0 1,-3 6 0,2-4-8,-1 4-9,0 0-1,0 1 0,2 0 0,-1 0 0,1 0 0,1 0 0,0 0 0,1 0 0,1 13 0,-1-23-1,1 1-1,-1-1 1,1 1-1,0-1 1,0 1-1,0-1 1,0 0-1,0 1 1,1-1-1,-1 0 1,1 0-1,-1 0 1,1 0-1,0 0 1,0-1-1,0 1 1,0-1-1,0 1 0,0-1 1,0 1-1,0-1 1,1 0-1,-1 0 1,1 0-1,-1 0 1,0-1-1,4 1 1,0 1-117,1-1-1,-1 1 1,0-2 0,1 1-1,-1-1 1,1 0 0,-1 0-1,1 0 1,-1-1 0,8-2-1,-12 2 126,1 0 0,-1-1 0,1 1-1,-1-1 1,0 1 0,0-1 0,1 0-1,-1 0 1,-1 0 0,1 0 0,0 0-1,0 0 1,-1-1 0,1 1 0,-1 0 0,0-1-1,1 1 1,-1-1 0,-1 0 0,1 1-1,0-1 1,0 0 0,-1-5 0,2-8 372,0-1 1,-3-31 0,1 26 313,0 18-500,-2-27 740,3 31-881,-1-1 0,0 0 0,0 0 0,0 1 0,-1-1 0,1 0 0,0 0-1,0 0 1,0 1 0,-1-1 0,1 0 0,0 1 0,-1-1 0,1 0 0,0 1 0,-1-1 0,1 0-1,-1 1 1,1-1 0,-1 1 0,1-1 0,-1 1 0,0-1 0,1 1 0,-1-1 0,0 1 0,1-1-1,-1 1 1,0-1 0,-1 38-456,2-26 401,1 0 0,0 0 0,1 0-1,0-1 1,1 1 0,0-1-1,0 0 1,8 16 0,-8-20-107,0-1 0,1 1 0,-1 0 1,1-1-1,0 0 0,1 0 0,-1 0 1,1-1-1,0 1 0,0-1 0,1 0 1,-1 0-1,1-1 0,0 0 0,8 4 1,-12-6 113,0 0 0,0-1 0,0 1 1,0-1-1,1 1 0,-1-1 0,0 0 1,0 0-1,0 0 0,0 0 0,0 0 1,0 0-1,0-1 0,0 1 0,0-1 1,0 1-1,0-1 0,0 0 0,0 0 1,0 0-1,0 0 0,0 0 0,0 0 1,-1-1-1,1 1 0,-1 0 1,1-1-1,-1 1 0,1-1 0,-1 0 1,0 1-1,0-1 0,0 0 0,2-4 1,2-5 269,0-1 0,-1 0 1,-1-1-1,4-21 0,-3 13 261,-1 4 12,-1 7 162,0 0 0,1 0 0,7-18 1,-9 28-704,-1 0 0,0 0 1,0 0-1,1-1 1,-1 1-1,0 0 1,0 0-1,1 0 0,-1 0 1,0 0-1,0 0 1,1 0-1,-1 0 1,0 0-1,0 0 0,1 1 1,-1-1-1,0 0 1,0 0-1,1 0 1,-1 0-1,0 0 0,0 0 1,0 0-1,1 1 1,-1-1-1,0 0 1,0 0-1,0 0 0,1 0 1,-1 1-1,0-1 1,0 0-1,0 0 1,0 0-1,0 1 0,0-1 1,1 0-1,-1 0 1,0 1-1,0-1 1,6 15-7,-1 1-1,0-1 1,4 25 0,8 28-34,-16-67 34,-1 0 0,0-1 0,0 1 0,0 0 0,1-1-1,-1 1 1,0 0 0,1-1 0,-1 1 0,0 0 0,1-1 0,-1 1 0,1-1 0,-1 1-1,1-1 1,-1 1 0,1-1 0,-1 0 0,1 1 0,0-1 0,-1 1 0,1-1-1,0 0 1,-1 0 0,1 1 0,0-1 0,-1 0 0,1 0 0,0 0 0,0 0 0,-1 0-1,1 0 1,0 0 0,-1 0 0,1 0 0,0 0 0,0 0 0,-1 0 0,1-1-1,0 1 1,-1 0 0,1 0 0,0-1 0,-1 1 0,1 0 0,-1-1 0,1 1-1,-1-1 1,1 1 0,0-1 0,-1 1 0,1-2 0,26-29 227,-16 13-188,-1-1 1,8-23 0,-9 23 88,-1 0 0,14-20 0,-21 38-86,1 14-334,1 5 239,0 0 0,1 0 1,1 0-1,13 31 0,-16-44-163,1 0 1,0 0 0,1 0-1,-1 0 1,1 0 0,0-1 0,0 0-1,6 5 1,-6-6-224,0 0 0,0-1-1,0 0 1,1 1 0,-1-1 0,1-1 0,0 1 0,0-1-1,-1 1 1,1-1 0,6 0 0,19 0-3468,2-1-1803</inkml:trace>
  <inkml:trace contextRef="#ctx0" brushRef="#br0" timeOffset="9147.09">9881 319 6019,'0'0'13259,"-18"-12"-11874,-58-34-534,73 44-813,0 1 0,0-1 1,0 1-1,0-1 0,0 1 0,0 0 1,-1 1-1,1-1 0,0 0 0,0 1 1,-1 0-1,1-1 0,0 2 0,-1-1 1,1 0-1,0 0 0,-4 2 0,4-1-35,0 0 0,1 1-1,-1-1 1,1 1 0,-1-1 0,1 1-1,0 0 1,0 0 0,0 0 0,0 1-1,0-1 1,0 0 0,0 1 0,1-1-1,-2 4 1,-2 4-35,1 1-1,0-1 0,1 1 1,1 0-1,-1 1 1,0 21-1,2-23 19,0 1 0,1-1 0,0 1-1,1-1 1,0 1 0,1-1 0,6 20 0,-7-26-89,1 0 1,0 0-1,0 0 0,1 0 1,-1-1-1,1 1 1,0-1-1,0 1 1,0-1-1,1 0 0,-1 0 1,1-1-1,-1 1 1,1-1-1,0 1 0,0-1 1,0 0-1,0-1 1,0 1-1,9 1 0,-8-1-91,0-1-1,0 0 1,0 0-1,0-1 1,1 1-1,-1-1 1,0 0-1,0-1 0,0 1 1,1-1-1,-1 0 1,6-2-1,-7 1 151,-1 1 0,1-1 0,-1 0 0,0-1 1,0 1-1,0 0 0,0-1 0,0 0 0,0 0 0,-1 0 0,1 0 0,-1 0 0,0 0 0,0 0 0,0-1 0,2-5 0,1-4 89,0-1-1,-1 0 0,0 0 1,-1-1-1,1-23 1,-2-76 1105,-2 72-379,-2 5 130,-1-1-1,-2 1 1,-1 0 0,-16-47-1,17 115-492,2 188-427,4-133 81,-1-66-143,4 39 0,-3-54-9,0 0 0,1 1 0,-1-1 0,1 0 0,0 0 0,0 0 0,0 0 0,1 0 1,0 0-1,0-1 0,0 1 0,4 4 0,-5-8 57,0 1 0,0 0 0,1-1 0,-1 0 0,0 1 0,1-1 0,-1 0 0,0 0 0,1 0 0,0-1 0,-1 1 0,1 0 0,-1-1 0,1 0 0,0 0 0,-1 0 0,1 0 0,0 0 0,-1 0 0,1-1 0,4 0 0,-3 0 37,0 0 0,0-1 0,0 1 0,-1-1 0,1 0 0,0 0 0,-1 0-1,1 0 1,-1-1 0,0 1 0,0-1 0,5-5 0,-1-2 0,0 0 1,-1-1-1,0 0 1,-1 0-1,0 0 1,0-1-1,-2 0 1,1 0-1,2-16 1,-2-6 841,-1-1-1,-1-36 1,-2 71-696,0 16-393,0-7 252,1 0 0,1 0 0,-1 0-1,1 0 1,1 0 0,0 0 0,7 14 0,36 61 78,-18-37-40,-5-10-31,-18-30-47,1 0 0,-2 1 0,1-1 0,-1 1 0,0 0 0,0 0 0,-1 1-1,0-1 1,-1 1 0,0-1 0,2 18 0,-4-24-18,-1-1 0,1 1 1,-1-1-1,1 0 0,-1 1 0,0-1 1,1 1-1,-1-1 0,0 0 0,0 0 1,0 1-1,0-1 0,0 0 0,0 0 0,-1 0 1,1 0-1,0 0 0,0 0 0,-1-1 1,1 1-1,0 0 0,-1-1 0,-2 2 1,-40 10-740,37-11 620,-32 6-2824,-73 1 0,5-5-4937</inkml:trace>
</inkml:ink>
</file>

<file path=xl/ink/ink2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2:31.196"/>
    </inkml:context>
    <inkml:brush xml:id="br0">
      <inkml:brushProperty name="width" value="0.05" units="cm"/>
      <inkml:brushProperty name="height" value="0.05" units="cm"/>
      <inkml:brushProperty name="color" value="#F6630D"/>
    </inkml:brush>
  </inkml:definitions>
  <inkml:trace contextRef="#ctx0" brushRef="#br0">11 96 8308,'0'0'12622,"-2"-7"-11729,1 5-807,-5-20 172,4 20-270,2 16-168,6 22 214,2 0-1,1-1 1,2 0-1,29 64 1,-35-87-36,3 7 11,0-1 0,1 0-1,1-1 1,1 0 0,13 17 0,-19-28 3,1 0-1,-1-1 1,1 0-1,0 0 1,0 0-1,0 0 1,1-1-1,0 0 1,-1 0-1,1-1 1,1 0-1,-1 0 1,0-1-1,1 0 1,15 3-1,-18-5 9,1 1 0,0-1 1,0 0-1,0 0 0,0 0 0,-1-1 0,1 0 0,0 0 0,-1-1 0,1 1 0,0-1 0,-1 0 0,0-1 0,0 1 1,7-5-1,-7 2 8,1 0 0,-1 0 1,0-1-1,-1 1 0,1-1 1,-1 0-1,0-1 0,-1 1 1,1-1-1,-1 1 1,4-15-1,-1 1 56,-1 0-1,-1 0 1,-1-1-1,1-32 1,-5-86 41,-1 105-113,1 14-4,-1-1 1,0 1 0,-8-25-1,7 91-2918,2-21 1703,1-15 220,-1 1-1,1 0 1,1-1-1,0 1 1,0 0 0,5 17-1,15 5-4937</inkml:trace>
  <inkml:trace contextRef="#ctx0" brushRef="#br0" timeOffset="747.04">716 173 7235,'0'0'12857,"-2"-4"-11987,2 4-870,-1 0 0,1-1 0,0 1 0,0 0 0,0 0 0,0-1 0,0 1 0,-1 0 0,1 0 0,0-1 1,0 1-1,0 0 0,-1 0 0,1 0 0,0-1 0,0 1 0,-1 0 0,1 0 0,0 0 0,-1 0 0,1-1 1,0 1-1,0 0 0,-1 0 0,1 0 0,0 0 0,-1 0 0,1 0 0,0 0 0,-1 0 0,1 0 0,0 0 0,-1 0 1,1 0-1,0 0 0,0 0 0,-1 0 0,1 1 0,0-1 0,-1 0 0,1 0 0,-1 1 0,-4 17-65,4 46-55,1-38 168,0 203 144,0-228-101,0-12 269,3-48-245,-2-1 0,-4 1-1,-13-88 1,10 115 4,2-2 0,1-45 1,3 78-125,1 0 0,-1 0 0,1 0 1,0 1-1,0-1 0,-1 0 0,1 1 1,0-1-1,0 1 0,0-1 0,0 1 1,0-1-1,0 1 0,0 0 1,0-1-1,0 1 0,0 0 0,0 0 1,0 0-1,0 0 0,0 0 0,0 0 1,0 0-1,0 0 0,0 0 0,0 0 1,0 0-1,1 1 0,35 6-132,-29-3 117,0 0 0,0 0-1,-1 1 1,1 0 0,-1 1 0,0 0 0,-1 0 0,0 0 0,0 1 0,0 0 0,-1 0-1,0 0 1,0 1 0,-1-1 0,1 1 0,-2 0 0,1 1 0,-1-1 0,-1 1 0,0-1 0,0 1-1,0 0 1,-1 0 0,-1-1 0,1 1 0,-1 0 0,-2 13 0,1-19 1,1 0 1,-1 0-1,0 0 1,0-1-1,0 1 1,0 0-1,0 0 1,-1 0-1,1-1 1,-1 1-1,0-1 1,-2 3-1,-3 2 10,1-1 0,-1-1 0,-13 10-1,19-15 258,1-1-231,0 0-1,0-1 1,0 1-1,0 0 1,1 0-1,-1-1 0,0 1 1,1 0-1,-1 0 1,1 0-1,-1 0 0,1-1 1,0 1-1,0 0 1,-1 0-1,1 0 0,0 0 1,0 0-1,0 1 1,0-1-1,0 0 0,0 0 1,2 0-1,0-1-20,0 1 0,1-1 0,-1 1-1,1 0 1,-1 0 0,1 1 0,0-1-1,5 0 1,-2 1-20,0 0 0,0 1 0,-1-1 0,1 1 0,0 0 0,-1 1-1,1 0 1,-1 0 0,10 4 0,-11-3 21,0 0 0,-1 1 0,0-1 0,0 1-1,0 0 1,0 0 0,0 0 0,-1 0 0,0 1-1,0-1 1,0 1 0,-1 0 0,1 0 0,1 6 0,-1-1-21,0 0-1,-1 0 1,-1 1 0,0-1 0,0 1 0,-1 16 0,-1-23 14,1 0 0,-1 0 0,-1 0 0,1 0 0,0 0 0,-1 0 0,0 0 0,0 0 0,0 0 0,0-1 0,-1 1 0,0-1 0,1 0 0,-1 0 0,0 0 0,-1 0 0,1 0-1,0-1 1,-1 1 0,-6 2 0,4-1-175,0-1 0,-1 0 0,0 0 0,1 0 1,-1-1-1,0 0 0,0-1 0,0 1 0,0-2 0,0 1 0,-14-1 0,20 0 82,1-1 0,-1 1 1,0-1-1,1 1 0,-1-1 0,1 0 1,-1 1-1,1-1 0,-1 1 1,1-1-1,0 0 0,-1 0 0,1 1 1,0-1-1,0 0 0,-1 0 1,1 1-1,0-1 0,0 0 0,0 0 1,0 0-1,0 1 0,0-1 1,0 0-1,0-1 0,2-25-2995,-2 26 2666,5-25-6301</inkml:trace>
  <inkml:trace contextRef="#ctx0" brushRef="#br0" timeOffset="1245.93">1166 143 9044,'0'0'12491,"0"-4"-11802,41 199-487,-18-66 150,-23-478-7,0 341-335,0 0-1,1 0 1,0 0 0,1 0 0,0 0 0,0 0 0,6-14 0,-8 20-5,1 0-1,0 1 1,0-1 0,0 0-1,0 1 1,0-1 0,0 1-1,1-1 1,-1 1 0,0 0-1,1 0 1,-1-1 0,1 1 0,-1 0-1,1 0 1,0 0 0,-1 0-1,1 1 1,0-1 0,0 0-1,0 1 1,-1-1 0,1 1-1,0 0 1,0 0 0,0-1-1,0 1 1,0 0 0,0 1-1,0-1 1,-1 0 0,1 0 0,0 1-1,0-1 1,0 1 0,0 0-1,-1-1 1,1 1 0,3 2-1,2 2-12,1 0 0,-1 1 0,0 0 0,0 0 0,0 0 0,-1 1 0,0 0 0,0 1 0,-1-1 0,6 11 0,6 12-27,17 45 1,-23-52-1107,-2 1 1,0 0-1,-2 1 0,-1 0 0,-1 0 1,3 43-1</inkml:trace>
  <inkml:trace contextRef="#ctx0" brushRef="#br0" timeOffset="1432.47">1213 303 3378,'0'0'9044,"107"17"-9044,-62-17-1697,8-19-6883</inkml:trace>
</inkml:ink>
</file>

<file path=xl/ink/ink2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2:49.662"/>
    </inkml:context>
    <inkml:brush xml:id="br0">
      <inkml:brushProperty name="width" value="0.05" units="cm"/>
      <inkml:brushProperty name="height" value="0.05" units="cm"/>
      <inkml:brushProperty name="color" value="#F6630D"/>
    </inkml:brush>
  </inkml:definitions>
  <inkml:trace contextRef="#ctx0" brushRef="#br0">1 533 5843,'0'0'7867,"7"0"-6653,175-7 3632,6 1-4401,-109 7-366,106-5 28,-140-2 493,60-18 0,17-3-98,207-7 12,-6 2 162,-231 20-556,140-1 0,575 4 230,54 7 438,-439 4-520,-35-16 283,-112 3-221,-111-3-222,-30 2-16,505-11 15,-463 9-81,-15 0 153,584-1 435,-678 18-487,129 24 0,-26-1 59,-106-23-48,1-3-1,0-3 1,69-12 0,-70 8 58,55-1-18,169 12 0,-77 2-113,-167-6-63,0 2-1,0 2 0,46 10 1,-14 0 10,0-3 0,81 0 0,155-12 90,-122-2-35,-36-1-9,197-33-1,-258 29-90,159 5 1,-128 5 110,120 1 261,128-1 299,-315-6-555,88-19 1,-94 13-62,1 2 1,66-1-1,-72 9-46,-1 3 0,60 10 0,8 2 72,1-5 0,139-6 0,-203-4 3,70-10-2,-1 1 17,-44 5-53,-1-3 1,0-3-1,92-26 0,-146 30-34,36-16-1,-42 16 23,0 0 0,0 1 0,0 1 0,0 0 0,23-3 0,17 2-3,103-5-52,-122 9 99,1-1-1,-1-3 1,56-13 0,-85 17-37,0-1-1458,-14-8 144,-88-46-5804,57 25-275</inkml:trace>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2:57.145"/>
    </inkml:context>
    <inkml:brush xml:id="br0">
      <inkml:brushProperty name="width" value="0.05" units="cm"/>
      <inkml:brushProperty name="height" value="0.05" units="cm"/>
      <inkml:brushProperty name="color" value="#F6630D"/>
    </inkml:brush>
  </inkml:definitions>
  <inkml:trace contextRef="#ctx0" brushRef="#br0">258 186 96,'0'0'4631,"0"17"-3446,-4 122 1704,4-17-1371</inkml:trace>
  <inkml:trace contextRef="#ctx0" brushRef="#br0" timeOffset="656.7">258 71 2625,'0'0'10055,"-4"-10"-9206,-14-32-78,17 40-707,-1 0 0,1 1 0,-1-1 0,0 1 1,0 0-1,1-1 0,-1 1 0,0 0 0,0 0 0,0 0 0,0 1 0,-1-1 1,1 0-1,0 1 0,0-1 0,0 1 0,0 0 0,-1-1 0,1 1 1,0 0-1,0 1 0,-1-1 0,1 0 0,-4 2 0,-7-1 310,7-1-287,1 0 0,-1 0 1,0 1-1,1 0 1,-1 0-1,1 1 0,0-1 1,-1 1-1,1 0 0,0 1 1,0-1-1,0 1 0,0 0 1,1 0-1,-8 7 0,6-4-34,0 1-1,1-1 1,-1 1-1,2 1 0,-1-1 1,1 1-1,0 0 1,0 0-1,-2 10 0,-2 9 1,2 0 0,1 1 0,1 0 0,1 0-1,1 37 1,3-49-26,0 1-1,1 0 1,1-1-1,1 0 1,0 0-1,1 0 1,0 0-1,2 0 1,0-1-1,0 0 1,1-1-1,20 27 1,-20-31-51,1 0 0,0-1 0,0 1 0,1-2 0,0 1 0,0-1 0,1-1 0,0 0 0,0-1-1,1 0 1,0 0 0,0-1 0,0-1 0,0 0 0,1-1 0,0 0 0,15 1 0,-9-2-7,0-2 0,0 0 0,0-1 0,33-6 0,-42 5 49,-1-1-1,1 0 1,-1-1-1,0 0 1,0 0-1,0-1 1,-1 0-1,1 0 1,-1-1-1,14-13 0,-13 9-6,0-1 0,0 1 0,-1-2 0,-1 1 0,0-1 0,0 0 0,-1 0 1,-1-1-1,0 1 0,0-1 0,2-16 0,-3 9-22,-1-1 1,-1 1-1,-1 0 1,0 0-1,-2-1 1,-5-38-1,3 46-4,-1 1 0,0 0 0,0-1 0,-1 1 0,-1 1 0,0-1 0,-1 1-1,0 0 1,0 0 0,-1 1 0,-16-16 0,19 20-29,-1 1 0,1 0 0,-1 1 0,1-1 0,-1 1 0,-1 0-1,1 1 1,-1-1 0,1 1 0,-1 1 0,0-1 0,0 1 0,0 0 0,0 1 0,0 0 0,-1 0-1,1 0 1,0 1 0,0 0 0,-1 1 0,1-1 0,-10 3 0,14-2-59,1 0 0,-1 0 0,0 1 0,1-1 0,-1 1 1,1-1-1,0 1 0,-1 0 0,1 0 0,0 0 0,0 0 0,0 0 0,0 1 0,1-1 1,-1 0-1,1 1 0,-1 0 0,0 2 0,0-1-637,0 1-1,1-1 1,-1 1 0,1-1 0,0 1-1,1 0 1,-1-1 0,1 1 0,0 0-1,1 7 1,4 8-5770</inkml:trace>
  <inkml:trace contextRef="#ctx0" brushRef="#br0" timeOffset="2015.9">1018 75 272,'0'0'14543,"-12"-2"-13788,-38-7-131,48 9-592,0 1 0,-1-1 0,1 0 0,0 1 0,0-1 0,-1 1 0,1 0 0,0 0 0,0 0 1,0 0-1,0 0 0,0 1 0,0-1 0,0 0 0,1 1 0,-1-1 0,0 1 0,1 0 0,-1 0 0,1-1 0,0 1 0,0 0 0,-1 0 0,1 0 0,0 0 0,1 1 0,-1-1 0,-1 3 0,0 1 18,-3 5 60,2 0-1,-1 1 0,1-1 1,1 1-1,0-1 1,0 21-1,4 73 545,-1-97-598,0 5-29,0 0 1,1-1-1,1 1 1,0-1-1,1 1 1,1-1-1,-1 0 1,2-1-1,0 1 1,11 16-1,-13-22-37,1 0-1,-1-1 1,1 1-1,0-1 1,0 0-1,1-1 1,-1 1 0,1-1-1,0 0 1,1 0-1,-1-1 1,0 0-1,1 0 1,0 0-1,0-1 1,0 0-1,0 0 1,0-1-1,0 0 1,9 0-1,-12-1 4,-1 0 0,1 0 0,-1 0-1,1-1 1,-1 1 0,1-1 0,-1 0-1,0 0 1,1 0 0,-1-1 0,0 1-1,0-1 1,5-2 0,-4 0 26,-1 1 1,0-1-1,1 0 1,-1 0-1,-1 0 1,1 0-1,-1 0 1,1 0-1,1-8 1,3-7 71,-2 0 1,0-1-1,-1 1 1,-1-1-1,-1 0 0,-1-1 1,-2-31-1,1 31 255,-12 31-543,10-2 134,-1 0 1,2 0-1,-1 0 0,1 0 1,0 1-1,1-1 0,0 0 0,0 0 1,2 10-1,-2-17-7,1 1 0,-1-1 0,1 1-1,0-1 1,0 1 0,0-1 0,0 1 0,0-1 0,0 0-1,0 1 1,1-1 0,-1 0 0,0 0 0,1 0 0,-1 0-1,1 0 1,-1 0 0,1-1 0,-1 1 0,1 0 0,-1-1-1,1 1 1,0-1 0,-1 1 0,1-1 0,3 0 0,-3 1 68,0-1 1,0 1 0,1-1 0,-1 0 0,0 0 0,0 0 0,0 0 0,1 0 0,-1-1 0,0 1 0,0-1 0,0 1 0,1-1-1,-1 0 1,0 0 0,0 1 0,0-2 0,0 1 0,-1 0 0,1 0 0,2-2 0,0-4 43,-1-1-1,-1 1 1,1 0 0,-1-1-1,0 1 1,-1-1-1,0 0 1,0 0 0,0 1-1,-1-1 1,0 0 0,-3-13-1,3 19-8,-1 0 0,0 0 0,0 0 0,0-1 0,0 1 0,0 0 0,0 1 0,-1-1 0,1 0 0,-1 0 0,1 0 0,-1 1 0,0-1 0,1 1 0,-1-1 0,0 1 0,0 0 0,0 0 0,0 0 0,0 0 0,0 0 0,-1 0 0,1 0 0,0 1 0,0-1 0,-1 1 0,1 0 0,0 0 0,-1 0 0,1 0 0,0 0 0,-1 0 0,1 0 0,0 1 0,0-1 0,-1 1 0,1 0 0,0-1 0,0 1 0,0 0 0,0 0 0,0 1 0,-3 1 0,1 3-32,0-1 0,0 1 1,0 0-1,1 0 0,0 1 0,0-1 1,1 1-1,-1-1 0,2 1 0,-1 0 0,-1 12 1,1-2 3,1 1 0,1 0 0,3 26-1,-3-39-18,1 0 0,0 0 0,1 0-1,-1 0 1,1 0 0,0 0 0,0-1-1,1 1 1,-1-1 0,1 1 0,0-1-1,0 0 1,1 0 0,-1 0-1,1-1 1,-1 1 0,1-1 0,1 0-1,-1 0 1,0 0 0,1 0 0,6 2-1,-2-1-13,1-1-1,-1 0 0,0 0 1,1-1-1,0 0 0,-1-1 1,1 0-1,0-1 0,0 0 1,-1 0-1,11-3 0,-15 2 40,0 0 0,-1-1-1,1 1 1,-1-1 0,1 0-1,-1-1 1,0 1 0,0-1-1,0 0 1,0 0 0,0 0 0,0 0-1,-1-1 1,0 1 0,0-1-1,0 0 1,0 0 0,0 0-1,-1-1 1,0 1 0,0 0 0,0-1-1,1-5 1,2-6 58,0-1 0,-2 1-1,0-1 1,0 0 0,-1-24 0,-1 12 234,0 2 254,0 0 0,-2 0-1,-1 0 1,-11-52 0,13 79-542,0 0 0,0 0 0,0 0 1,-1 0-1,1 1 0,0-1 1,0 0-1,0 0 0,0 0 0,0 0 1,-1 0-1,1 1 0,0-1 1,0 0-1,0 0 0,-1 0 1,1 0-1,0 0 0,0 0 0,0 0 1,-1 0-1,1 0 0,0 0 1,0 0-1,0 0 0,-1 0 1,1 0-1,0 0 0,0 0 0,-1 0 1,1 0-1,0 0 0,0 0 1,0 0-1,-1 0 0,1 0 0,0 0 1,0-1-1,0 1 0,0 0 1,-1 0-1,1 0 0,0 0 1,0 0-1,0-1 0,0 1 0,0 0 1,-1 0-1,1 0 0,0 0 1,0-1-1,0 1 0,0 0 1,0 0-1,0 0 0,0-1 0,0 1 1,0 0-1,0 0 0,0 0 1,0-1-1,0 1 0,0 0 0,0 0 1,0-1-1,0 1 0,0 0 1,-6 16-269,1 14 230,2-1 0,1 1 0,3 50 1,0-70 18,0 1 1,0-1 0,1 0 0,1 0 0,0 0-1,0 0 1,1-1 0,0 1 0,0-1 0,1 0 0,1 0-1,-1 0 1,1-1 0,10 11 0,-13-16-56,0-1 0,-1 0 1,1 0-1,0 0 0,0 0 1,0 0-1,0-1 0,0 1 1,1-1-1,-1 0 0,0 0 0,1 0 1,-1 0-1,1-1 0,-1 1 1,1-1-1,-1 0 0,1 0 1,-1 0-1,1 0 0,-1-1 0,7-1 1,-5 0 47,0 0 0,0 0 0,-1 0 0,1-1 0,0 0 1,-1 0-1,0 0 0,0 0 0,0-1 0,0 1 0,0-1 1,0 0-1,-1 0 0,4-7 0,2-5 9,0-2 1,-1 1-1,-1-1 0,-1-1 0,-1 1 1,0-1-1,4-36 0,-1-122 2700,-8 168-2292,0 75-388,4 0 0,2 0 0,3 0 0,17 64 0,-25-128-40,7 22-1965,-8-24 1899,0 0-1,0 1 1,0-1 0,0 1 0,0-1 0,0 0 0,0 1 0,1-1-1,-1 1 1,0-1 0,0 0 0,0 1 0,1-1 0,-1 0 0,0 1-1,0-1 1,1 0 0,-1 1 0,0-1 0,1 0 0,-1 0 0,0 0 0,1 1-1,-1-1 1,0 0 0,1 0 0,-1 0 0,1 0 0,-1 1 0,0-1-1,1 0 1,-1 0 0,1 0 0,-1 0 0,0 0 0,1 0 0,-1 0-1,1 0 1,-1 0 0,0 0 0,1 0 0,-1-1 0,1 1 0,-1 0 0,0 0-1,1 0 1,-1 0 0,1-1 0</inkml:trace>
  <inkml:trace contextRef="#ctx0" brushRef="#br0" timeOffset="2434.51">1001 760 4338,'0'0'11371,"34"2"-8765,529-18 681,-518 12-3373,17 0-75,-21 3-4101</inkml:trace>
  <inkml:trace contextRef="#ctx0" brushRef="#br0" timeOffset="2775.65">990 784 4514,'0'0'14513,"7"-1"-13675,92-11 699,175 2 0,-1 2-1084,-222 0-256,-49 8-124,-2-2-202,-23 2-9355,8 0 1422</inkml:trace>
</inkml:ink>
</file>

<file path=xl/ink/ink2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10.240"/>
    </inkml:context>
    <inkml:brush xml:id="br0">
      <inkml:brushProperty name="width" value="0.05" units="cm"/>
      <inkml:brushProperty name="height" value="0.05" units="cm"/>
      <inkml:brushProperty name="color" value="#F6630D"/>
    </inkml:brush>
  </inkml:definitions>
  <inkml:trace contextRef="#ctx0" brushRef="#br0">1 117 2097,'0'0'16837,"19"4"-16522,276 14 897,-98-16-4148,-197-2 2824,1 0 0,-1 1 0,0-1 0,0 0 0,0 0-1,0 0 1,0 0 0,1 0 0,-1 0 0,0 0 0,0 0 0,0 0-1,0 0 1,1 0 0,-1 0 0,0 0 0,0 0 0,0 0 0,0 0 0,1 0-1,-1 0 1,0 0 0,0 0 0,0 0 0,0 0 0,0-1 0,1 1-1,-1 0 1,1-2-1458,-1 2 1458,0 0 0,0 0 0,0 0 0,0 0 0,0 0-1,0-1 1,0 1 0,0 0 0,0 0 0,0 0 0,0 0 0,0-1-1,0 1 1,0-1-518,0-9-7504</inkml:trace>
  <inkml:trace contextRef="#ctx0" brushRef="#br0" timeOffset="293.58">441 8 2561,'0'0'13281,"-11"-8"-11635,17 18-1439,0-1 0,0-1 0,1 1 0,0-1 0,12 11 0,13 16-35,-27-28-160,-1 0-1,0 0 1,0 0-1,0 0 1,-1 1 0,0-1-1,-1 1 1,0 0 0,0 0-1,0 0 1,-1 0-1,0 0 1,-1 16 0,0-22-22,-1 0-1,1 0 1,-1 0 0,0 0 0,1 0 0,-1 0 0,0 0-1,0 0 1,0 0 0,0 0 0,-1-1 0,1 1 0,0 0 0,-1-1-1,1 1 1,-1-1 0,0 0 0,1 1 0,-1-1 0,0 0-1,0 0 1,0 0 0,0 0 0,0-1 0,-2 2 0,-10 3-288,0-1 0,-24 4 0,22-4-153,-6 0-2121,6-4-2259</inkml:trace>
</inkml:ink>
</file>

<file path=xl/ink/ink3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13.291"/>
    </inkml:context>
    <inkml:brush xml:id="br0">
      <inkml:brushProperty name="width" value="0.05" units="cm"/>
      <inkml:brushProperty name="height" value="0.05" units="cm"/>
      <inkml:brushProperty name="color" value="#F6630D"/>
    </inkml:brush>
  </inkml:definitions>
  <inkml:trace contextRef="#ctx0" brushRef="#br0">89 307 1169,'0'0'9924,"3"-14"-8571,1-6-731,1-14-99,-4-7 3633,-1 40-4079,0 0 0,-1 0 0,1 0 0,-1 0 0,1 1 0,-1-1 0,0 0 0,1 0 0,-1 0 0,0 1 0,0-1 0,1 0 0,-1 1 0,0-1 0,0 1 0,0-1 0,0 1 0,0-1 0,0 1 0,0 0 0,0-1 0,0 1 0,0 0 0,0 0 0,0 0 0,0-1 0,-2 2 0,0-2-37,1 1 1,-1 0 0,1-1 0,-1 1-1,0 1 1,1-1 0,-1 0-1,0 1 1,1-1 0,-6 3 0,6-1-29,-1 1 0,0 0 0,1 0 1,0 0-1,0 0 0,0 0 1,0 0-1,0 0 0,0 1 0,1-1 1,0 1-1,0 0 0,-2 6 0,-7 52 182,6-23-55,3 0 0,4 58-1,-1-86-125,0-1 0,0 0 0,1 0 0,0 0 0,1 0 0,0-1 0,1 1-1,5 8 1,-7-12-16,1-1 0,0 1 1,0-1-1,0 0 0,0 0 0,1-1 0,0 1 0,0-1 0,0 0 0,0 0 0,1-1 0,0 1 0,10 3 0,-13-6-24,0 0-1,0-1 1,1 1 0,-1-1-1,0 0 1,0 0 0,0 0-1,0 0 1,1-1-1,-1 1 1,0-1 0,0 0-1,0 0 1,0 0 0,0 0-1,0-1 1,-1 1 0,1-1-1,0 1 1,-1-1-1,1 0 1,-1 0 0,1 0-1,-1-1 1,4-4 0,4-5-54,-1-1 1,-1-1 0,14-27 0,-15 27-38,-2 6 111,-2 0-1,1 0 1,-1-1-1,0 1 1,-1-1-1,0 0 1,-1 0-1,0 0 1,1-13-1,-3 21 7,0 1 0,1 0 0,-1-1 0,0 1 0,0 0-1,1 0 1,-1-1 0,0 1 0,0 0 0,1 0 0,-1 0-1,0 0 1,0 0 0,1 0 0,-1 0 0,0 1 0,0-1-1,1 0 1,-1 0 0,0 0 0,1 1 0,-1-1 0,0 0-1,1 1 1,-1-1 0,0 1 0,1-1 0,-1 1 0,1-1-1,-1 1 1,0 0 0,0 1-8,0 0-1,0 0 1,0 0 0,1 0 0,-1 0-1,1 1 1,-1-1 0,1 0-1,0 0 1,0 0 0,0 1-1,0-1 1,0 0 0,0 0-1,1 0 1,-1 1 0,1-1-1,-1 0 1,1 0 0,0 0-1,0 0 1,0 0 0,0 0-1,0 0 1,0 0 0,1-1-1,-1 1 1,1 0 0,-1-1-1,1 1 1,0-1 0,-1 1-1,1-1 1,0 0 0,0 0-1,2 1 1,1 1-167,1-1 1,-1 0-1,0 0 0,1-1 0,0 1 0,-1-1 0,1 0 1,0-1-1,-1 0 0,1 1 0,0-2 0,0 1 0,8-2 1,-13 1 165,1 0 0,-1 1 0,1-1 0,-1 0 0,1 0 0,-1 0 0,1 0 0,-1 0 0,0-1 0,0 1 0,1 0 0,-1-1 0,0 1 0,0-1 0,-1 1 0,1-1 0,0 1 0,0-1 0,-1 1 0,1-1 0,-1 0 0,1 1 0,-1-1 0,1-3 0,1-48 48,-2 43-8,0 6-85,0-3 223,0 0 1,0 0-1,-1 0 1,-2-11 0,3 17-139,0 0 0,-1 0 1,1 0-1,0 0 1,-1 0-1,1 0 0,-1 0 1,1 0-1,-1 1 1,1-1-1,-1 0 0,1 0 1,-1 1-1,0-1 1,1 0-1,-1 1 0,0-1 1,0 0-1,1 1 0,-1-1 1,0 1-1,0-1 1,0 1-1,0 0 0,0-1 1,0 1-1,0 0 1,0 0-1,1 0 0,-1 0 1,0-1-1,0 1 1,0 0-1,0 1 0,0-1 1,0 0-1,0 0 0,0 0 1,0 1-1,0-1 1,0 0-1,-1 2 0,0-1-27,0 0-1,0 0 0,1 0 0,-1 1 1,1-1-1,-1 1 0,1-1 0,0 1 1,0 0-1,0-1 0,0 1 1,0 0-1,0 0 0,0 0 0,0 0 1,1 0-1,-1 0 0,1 0 0,-1 0 1,1 2-1,-4 44-31,4-20 41,-1-15-3,1 0 1,0 1 0,1-1-1,0 0 1,7 26 0,-7-36-10,1 1 0,-1-1 0,1 0 0,0 1 0,0-1 1,0 0-1,0 0 0,0 0 0,1-1 0,-1 1 1,1-1-1,0 1 0,0-1 0,0 0 0,0 0 1,0 0-1,0 0 0,1-1 0,-1 1 0,1-1 1,-1 0-1,1 0 0,-1 0 0,1 0 0,0-1 1,5 1-1,2 0-114,-1 0 1,1-1 0,-1 0 0,0-1-1,1 0 1,-1-1 0,0 0-1,0 0 1,14-6 0,-19 6 87,0-1-1,0 0 1,0 0 0,0 0 0,0-1 0,-1 0 0,1 0-1,-1 0 1,0 0 0,0 0 0,0-1 0,-1 0 0,0 0-1,0 0 1,0 0 0,-1 0 0,1-1 0,1-6 0,1-11 126,0 0 0,-2 0 1,0 0-1,-2-1 1,-1 1-1,0-1 0,-7-37 1,1 31 259,-17-53 1,5 26 996,17 55-513,0 6-380,-1 16-301,0 25-244,2-1 189,2 0 0,2 0 0,2 0-1,2-1 1,2 1 0,26 71 0,-36-114-103,1 1 0,-1-1 0,1 1 0,-1 0 0,1-1 0,0 1 0,0-1 0,-1 1 0,1-1-1,0 0 1,1 1 0,-1-1 0,0 0 0,0 0 0,0 0 0,1 1 0,-1-1 0,1-1 0,-1 1 0,1 0 0,-1 0 0,1-1 0,-1 1 0,1 0 0,0-1 0,-1 0 0,1 1 0,0-1 0,-1 0 0,1 0-1,0 0 1,-1 0 0,1 0 0,0 0 0,-1 0 0,1-1 0,0 1 0,-1-1 0,1 1 0,0-1 0,-1 0 0,1 1 0,1-2 0,2-2 11,1 1 0,-1-1 0,0 0 0,0-1 0,-1 1 0,1-1 0,-1 0 1,0 0-1,0 0 0,3-8 0,1-3 3,0-1 0,-2-1 0,0 1 0,0-1 0,-2 0 0,3-28-1,0-111 32,-7 140-61,0 13 6,0 0 61,0-1-1,0 1 1,0 0 0,0 0 0,-1-1-1,0 1 1,1 0 0,-2 0-1,1 0 1,-2-5 0,3 9-58,0 0 0,-1 0 0,1 0 0,0 0 0,0 0 0,0 0 0,0-1 0,0 1 0,-1 0 1,1 0-1,0 0 0,0 0 0,0 0 0,0 0 0,-1 0 0,1 0 0,0 0 0,0 0 0,0 0 0,0 0 0,0 0 0,-1 0 0,1 0 0,0 1 0,0-1 1,0 0-1,0 0 0,0 0 0,-1 0 0,1 0 0,0 0 0,0 0 0,0 0 0,0 0 0,0 1 0,0-1 0,0 0 0,0 0 0,-1 0 0,1 0 1,0 0-1,0 0 0,0 1 0,0-1 0,0 0 0,0 0 0,-5 13-50,-1 13 5,1 19 90,3 0 0,4 78 0,-2-120-41,1 12 21,1 1 0,0-1 0,1 0 0,1 0 0,0 0 0,1-1 0,1 1 0,0-1 1,1 0-1,11 16 0,-18-29-67,1 1 1,0-1 0,-1 0 0,1 1-1,0-1 1,0 0 0,0 0 0,0 0 0,0 0-1,0 0 1,1 0 0,-1 0 0,0 0-1,0 0 1,1 0 0,-1-1 0,1 1 0,-1-1-1,0 1 1,1-1 0,-1 1 0,1-1-1,-1 0 1,1 0 0,-1 0 0,1 1 0,-1-2-1,1 1 1,0 0 0,-1 0 0,1 0-1,-1-1 1,0 1 0,1-1 0,1 0 0,2-2-1024,-1 0 1,1-1 0,-1 1 0,0-1 0,0 0-1,-1 0 1,1-1 0,3-5 0,11-14-9883</inkml:trace>
  <inkml:trace contextRef="#ctx0" brushRef="#br0" timeOffset="406.38">1205 68 6707,'0'0'14004,"-6"-9"-13022,-22-29-467,28 38-507,-1-1 0,1 1 0,-1-1 1,1 1-1,-1-1 0,0 1 1,1-1-1,-1 1 0,0 0 1,1-1-1,-1 1 0,0 0 1,1 0-1,-1-1 0,0 1 1,0 0-1,1 0 0,-1 0 1,0 0-1,0 0 0,1 0 0,-1 0 1,0 0-1,0 0 0,1 0 1,-1 1-1,0-1 0,0 0 1,1 0-1,-1 1 0,0-1 1,1 0-1,-1 1 0,0-1 1,1 1-1,-1-1 0,1 1 1,-1-1-1,1 1 0,-1-1 1,1 1-1,-1 0 0,1-1 0,-1 1 1,1 0-1,-1 0 0,-16 34 110,16-32-64,-7 16 62,2 0 0,0 0-1,1 1 1,2 0-1,-3 21 1,3 4 19,4 53 0,1-84-117,0 0 1,0 0-1,1 0 1,1 0-1,0 0 1,1-1 0,1 0-1,0 0 1,0 0-1,2-1 1,-1 0-1,11 12 1,-11-15-20,1 0 0,0 0 0,0-1 0,1 0 0,0 0 0,1-1 1,-1-1-1,2 1 0,-1-2 0,0 1 0,1-1 0,0-1 0,0 0 0,1 0 0,12 1 0,8-2-1557,-14-6-2628,-10-3-936</inkml:trace>
  <inkml:trace contextRef="#ctx0" brushRef="#br0" timeOffset="1010.93">1683 243 3249,'0'0'8703,"-5"-11"-6376,2 10-2155,-1-1 0,0 1 1,0 0-1,0 1 0,0-1 1,0 1-1,0 0 1,-1 0-1,1 0 0,0 0 1,0 1-1,0-1 1,0 1-1,0 0 0,-6 3 1,7-3-121,1 1 0,0-1 0,0 1 1,0 0-1,0-1 0,0 1 0,0 0 0,0 0 1,0 1-1,1-1 0,-1 0 0,1 0 0,0 1 1,0-1-1,0 1 0,0-1 0,0 1 0,0-1 1,1 1-1,-1-1 0,1 1 0,0 0 0,-1-1 1,2 6-1,-2-4 63,1 0-1,1 0 1,-1 1 0,0-1 0,1 0-1,0 0 1,0 0 0,0 0 0,1 0 0,-1 0-1,5 7 1,-2-6 42,1 1 1,-1-1-1,1-1 0,1 1 1,-1-1-1,10 6 0,9 7 45,-8-6-100,1 0 0,-2 1 1,26 26-1,-36-33-97,-1 1 0,0-1 1,0 1-1,-1 0 0,0 0 0,0 0 0,0 0 0,-1 0 1,1 1-1,-2-1 0,1 1 0,-1 0 0,0-1 1,0 1-1,-1 8 0,0-12 2,-1 1 1,1-1-1,-1 0 1,0 0 0,0 0-1,0 0 1,-1 0-1,1 0 1,-1 0-1,0-1 1,0 1-1,0 0 1,0-1-1,0 1 1,0-1-1,0 0 1,-1 0 0,0 0-1,1 0 1,-1 0-1,0-1 1,0 1-1,0-1 1,0 1-1,0-1 1,-4 1-1,-1 1-229,0-1 0,-1 0 0,1 0 0,-1 0 0,0-1 0,0-1 0,1 1-1,-18-3 1,25 2 119,0 0-1,1 0 0,-1-1 1,0 1-1,0 0 0,1-1 1,-1 1-1,0 0 0,1-1 1,-1 1-1,0-1 0,1 1 0,-1-1 1,1 0-1,-1 1 0,1-1 1,-1 1-1,1-1 0,-1 0 1,1 1-1,0-1 0,-1 0 1,1 0-1,0 1 0,-1-2 1,-2-22-2982,3 21 2433,0-23-4310</inkml:trace>
  <inkml:trace contextRef="#ctx0" brushRef="#br0" timeOffset="1304.02">1602 277 1825,'0'0'13625,"-3"0"-12571,-6 0 901,13-1-696,24-2-168,16-2-629,-1-1-406,86 0 0,-112 11-2686,-9 9-3795,-4-2-2077</inkml:trace>
  <inkml:trace contextRef="#ctx0" brushRef="#br0" timeOffset="1614.81">2055 580 9732,'0'0'11443,"0"3"-11238,-9 178 751,34-183-9302,-7-13-2122</inkml:trace>
  <inkml:trace contextRef="#ctx0" brushRef="#br0" timeOffset="2222.07">2302 416 6915,'0'0'13777,"-5"0"-13577,4 0-188,-1 0-1,0 0 1,1 0 0,-1 1-1,1-1 1,-1 0-1,1 1 1,-1-1-1,1 1 1,-1-1 0,1 1-1,-1 0 1,1 0-1,0 0 1,0 0-1,-1-1 1,1 2 0,0-1-1,0 0 1,0 0-1,0 0 1,-2 3-1,0 1 23,1 0 0,-1 0-1,1 0 1,0 0-1,1 0 1,-1 1 0,0 5-1,0 2 22,0 0 0,1 1 0,0-1 0,2 1 0,2 23 0,-2-34-48,0 0 0,0 0 0,1 0 0,-1 0 0,1 0 0,-1 0 0,1 0 0,0-1 0,0 1-1,0 0 1,1-1 0,-1 0 0,0 0 0,1 0 0,0 0 0,-1 0 0,1 0 0,0 0 0,0-1 0,0 0 0,0 1 0,0-1 0,0 0 0,1-1 0,2 1 0,6 2-106,0-1 0,0-1 0,0 0-1,0-1 1,18-2 0,-28 2 57,-1 0 0,1-1 0,-1 1-1,1 0 1,-1-1 0,1 0 0,-1 1 0,0-1 0,0 0 0,1 0-1,-1 1 1,0-1 0,0 0 0,0 0 0,0 0 0,0-1-1,0 1 1,0 0 0,0 0 0,0 0 0,0-1 0,-1 1-1,1 0 1,0-1 0,-1 1 0,0-1 0,1 1 0,-1-1 0,0 1-1,1-1 1,-1 1 0,0-1 0,0-2 0,0 1-14,-1-1 1,1 0-1,0 1 0,-1-1 1,0 1-1,1-1 1,-1 1-1,-1-1 0,1 1 1,0 0-1,-1-1 1,0 1-1,-2-3 0,-12-11-45,0 2-1,-30-24 0,28 25 112,1 0-1,-28-31 1,40 40 17,1-1-1,0 0 1,0-1 0,0 1-1,1-1 1,-1 0-1,2 0 1,-1 0-1,1 0 1,0 0 0,1-1-1,-2-11 1,2 11 84,1 0-1,0 0 1,0-1 0,0 1 0,1 0 0,4-15 0,-4 20-100,-1 1 0,1 0 0,0 0 0,0 0 0,1 0 0,-1 0 0,0 0 0,1 1 0,-1-1 0,1 0 0,-1 1 0,1-1 0,0 1 0,0-1 0,0 1 0,0 0 0,0 0 0,0 0 1,0 0-1,0 0 0,0 0 0,0 0 0,0 1 0,1-1 0,-1 1 0,0 0 0,0 0 0,1 0 0,2 0 0,3 0-21,0 1-1,-1 0 1,1 1-1,-1-1 1,1 2 0,-1-1-1,0 1 1,0 0 0,0 0-1,0 1 1,-1 0 0,9 6-1,-5-2-33,-1-1 0,0 1 0,-1 1-1,0 0 1,0 0 0,-1 0 0,8 15 0,-12-20-165,-1-1 0,-1 1 1,1 0-1,-1 0 0,1 0 1,-1 0-1,0 0 0,0 0 0,-1 0 1,1 0-1,-1 0 0,0 0 1,0 0-1,0 0 0,-1 0 0,0 0 1,1 1-1,-1-1 0,-1-1 1,1 1-1,0 0 0,-1 0 1,0 0-1,0-1 0,0 1 0,0-1 1,-1 1-1,0-1 0,1 0 1,-1 0-1,0 0 0,0-1 0,-1 1 1,-5 3-1,-60 29-6786,54-29 2884</inkml:trace>
  <inkml:trace contextRef="#ctx0" brushRef="#br0" timeOffset="2564.85">2561 1 10229,'0'0'12648,"12"0"-12282,-8-1-351,1 1 0,-1 0 1,0 1-1,1-1 0,-1 1 1,0-1-1,1 1 0,-1 1 0,0-1 1,0 1-1,0-1 0,0 1 1,0 0-1,-1 0 0,1 1 1,0-1-1,-1 1 0,0 0 1,0 0-1,0 0 0,0 0 1,4 6-1,14 21 36,-1 1 0,-2 0-1,-1 2 1,-1 0 0,-2 1 0,-1 1 0,-2 0 0,-1 1 0,-2 0 0,-1 0-1,-2 0 1,-2 1 0,-1 40 0,-2-69-72,-1 0 0,0 1 0,-1-1 0,1 0 0,-1 0 0,-1 0 0,0 0-1,0 0 1,0-1 0,-1 1 0,0-1 0,-1 0 0,0 0 0,0 0 0,0-1 0,-1 0 0,0 0 0,-12 10 0,11-11-493,1-1 1,-2 0-1,1 0 1,-16 5-1,15-6-696,-1-1-1,1 0 1,-1 0-1,-16 0 1,-4-2-6201</inkml:trace>
</inkml:ink>
</file>

<file path=xl/ink/ink3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18.467"/>
    </inkml:context>
    <inkml:brush xml:id="br0">
      <inkml:brushProperty name="width" value="0.05" units="cm"/>
      <inkml:brushProperty name="height" value="0.05" units="cm"/>
      <inkml:brushProperty name="color" value="#F6630D"/>
    </inkml:brush>
  </inkml:definitions>
  <inkml:trace contextRef="#ctx0" brushRef="#br0">30 699 5330,'0'0'11126,"0"0"-11052,0 1 0,0-1 1,-1 0-1,1 0 1,0 0-1,0 0 1,0 0-1,0 1 0,-1-1 1,1 0-1,0 0 1,0 0-1,0 0 1,0 1-1,0-1 1,0 0-1,0 0 0,0 0 1,-1 1-1,1-1 1,0 0-1,0 0 1,0 1-1,0-1 1,0 0-1,0 0 0,0 0 1,0 1-1,0-1 1,0 0-1,1 0 1,-1 1-1,0-1 0,0 0 1,0 0-1,0 0 1,0 1-1,0-1 1,0 0-1,0 0 1,1 0-1,-1 1 0,0-1 1,0 0-1,0 0 1,0 0-1,1 0 1,-1 0-1,0 0 0,1 1 1,168-4 900,-82 1-2099,-3 1-4586,-73 1 25</inkml:trace>
  <inkml:trace contextRef="#ctx0" brushRef="#br0" timeOffset="265.63">0 835 5619,'0'0'10428,"13"-1"-9857,310 0 1854,-318 1-2530,-1 0-1,1 0 0,-1-1 0,1 0 0,8-2 0,1-6-2138,-7-8-3422,-7 3-3856</inkml:trace>
  <inkml:trace contextRef="#ctx0" brushRef="#br0" timeOffset="665.59">282 585 1649,'0'0'15660,"0"-1"-15618,0 1 0,0 0-1,0 0 1,0 0 0,0 0-1,0-1 1,0 1 0,-1 0-1,1 0 1,0 0 0,0-1-1,0 1 1,0 0 0,0 0-1,0 0 1,0-1 0,0 1 0,0 0-1,0 0 1,0 0 0,0-1-1,0 1 1,1 0 0,-1 0-1,0 0 1,0-1 0,0 1-1,0 0 1,0 0 0,0 0-1,0 0 1,0 0 0,1-1-1,-1 1 1,0 0 0,0 0-1,0 0 1,0 0 0,1 0-1,-1 0 1,0-1 0,0 1 0,0 0-1,0 0 1,1 0 0,-1 0-1,0 0 1,0 0 0,0 0-1,1 0 1,-1 0 0,0 0-1,11 1 181,-1 0 0,0 1 0,0 0 0,-1 0 0,1 1 0,0 1-1,14 7 1,-9-4-113,0 1 1,0 1-1,24 20 0,-36-27-106,-1 0-1,1 1 1,-1-1-1,1 1 1,-1 0-1,0 0 1,0-1 0,0 1-1,0 0 1,-1 1-1,1-1 1,-1 0 0,0 0-1,0 1 1,0-1-1,0 0 1,-1 1-1,1-1 1,-1 1 0,0-1-1,0 5 1,-1-4 3,0 0 0,0 0 0,0 0 0,-1 0 0,1 0 0,-1-1 0,0 1 0,0 0 0,0-1 0,-1 0 0,1 1 0,-1-1 0,0 0 0,0 0 0,0-1 0,0 1 0,-4 2 0,-8 4 42,0 0-1,-29 11 1,28-13 0,0 0 1,-19 13-1,55-18-6370,1-2 1378</inkml:trace>
  <inkml:trace contextRef="#ctx0" brushRef="#br0" timeOffset="1131.71">933 607 4994,'0'0'15087,"-3"-5"-13988,-11-17-581,11 65-246,2-7-86,3-1 0,1 0 1,1 1-1,12 43 0,-15-77-295,24 81 100,-11-51-4712</inkml:trace>
  <inkml:trace contextRef="#ctx0" brushRef="#br0" timeOffset="1695.13">965 756 3378,'0'0'8529,"0"0"-8492,0 0 1,0 0-1,0 0 1,0 0-1,0-1 0,1 1 1,-1 0-1,0 0 1,0 0-1,0 0 1,0 0-1,0 0 0,0 0 1,0 0-1,0 0 1,0 0-1,0 0 1,0 0-1,0 0 0,0 0 1,0 0-1,0 0 1,0-1-1,0 1 1,0 0-1,0 0 0,0 0 1,-1 0-1,1 0 1,0 0-1,0 0 1,0 0-1,22 0 122,-7 1-190,0-1 0,0-1 1,0 0-1,-1-1 0,21-4 0,-32 5 12,0 0 1,0 0-1,0-1 1,0 1 0,0-1-1,0 0 1,-1 1-1,1-1 1,0 0 0,-1-1-1,1 1 1,-1 0-1,0-1 1,0 1-1,0-1 1,0 0 0,0 1-1,-1-1 1,1 0-1,-1 0 1,0 0-1,0 0 1,0-1 0,0 1-1,0 0 1,-1 0-1,0-1 1,1 1 0,-1-6-1,-1 4 274,1 0 0,-1 0 0,1 1 0,-1-1 0,-1 0 0,1 0 0,-1 1 0,0-1-1,0 1 1,0 0 0,0-1 0,-1 1 0,0 0 0,1 0 0,-2 1 0,1-1 0,-7-6 0,10 10-200,0 0 0,-1 0 0,1 0 0,0 0 0,0 0 0,0 0 0,0 0 1,0 0-1,-1-1 0,1 1 0,0 0 0,0 0 0,0 0 0,0 0 0,0 0 0,-1 0 0,1 0 0,0 0 0,0 0 1,0 0-1,0 0 0,-1 0 0,1 0 0,0 0 0,0 0 0,0 0 0,0 0 0,-1 0 0,1 1 0,0-1 0,0 0 1,0 0-1,0 0 0,0 0 0,-1 0 0,1 0 0,0 0 0,0 0 0,0 1 0,0-1 0,0 0 0,0 0 0,0 0 1,0 0-1,0 0 0,-1 1 0,1-1 0,0 0 0,0 0 0,0 0 0,0 0 0,0 1 0,0-1 0,0 0 0,0 0 1,-3 18 703,1 20-238,2-15-192,-1 15 249,8 55-1,-5-80-522,0 0 0,1-1 0,0 0 0,2 0 0,-1 0 0,1 0 0,1 0 0,9 13 0,-15-25-113,0 1 1,0-1-1,0 0 0,0 0 1,1 1-1,-1-1 0,0 0 1,0 0-1,0 0 0,1 0 1,-1 1-1,0-1 1,0 0-1,1 0 0,-1 0 1,0 0-1,0 0 0,1 0 1,-1 0-1,0 0 0,0 0 1,1 0-1,-1 0 0,0 0 1,1 0-1,-1 0 0,0 0 1,0 0-1,1 0 0,-1 0 1,0 0-1,0 0 0,1 0 1,-1 0-1,0 0 0,0-1 1,1 1-1,-1 0 0,0 0 1,0 0-1,1-1 0,9-10-6368</inkml:trace>
  <inkml:trace contextRef="#ctx0" brushRef="#br0" timeOffset="2597.77">1503 585 48,'0'0'12387,"-5"0"-11605,-17 0-236,13 0-42,0 0-1,1 1 1,-1 0-1,0 0 1,1 1-1,-9 2 1,14-3-403,1 0 1,0 0 0,-1 1-1,1-1 1,0 0 0,0 1 0,0 0-1,0-1 1,0 1 0,0 0-1,1 0 1,-1 0 0,1 0-1,-1 0 1,1 0 0,0 1-1,0-1 1,0 0 0,0 1-1,0-1 1,0 1 0,0-1-1,1 1 1,0-1 0,-1 1-1,1 2 1,-2 103 4108,17-131-3623,-11 20-591,-1 0 1,0 1-1,1-1 1,0 1-1,-1-1 1,1 1-1,0 0 1,0 0-1,0 1 0,0-1 1,1 1-1,-1 0 1,0 0-1,1 1 1,-1-1-1,0 1 1,1 0-1,-1 0 0,7 1 1,-7-1-5,0 0-1,0 1 1,0 0 0,0 0-1,0 0 1,0 0 0,0 0 0,0 1-1,0 0 1,0-1 0,-1 2-1,1-1 1,-1 0 0,0 1-1,1-1 1,-1 1 0,0 0 0,-1 0-1,1 0 1,3 6 0,-2-1-9,-2 0 0,1 0 1,-1 1-1,0-1 0,-1 1 1,0-1-1,0 1 1,-1-1-1,0 1 0,0 0 1,-1-1-1,-2 10 0,2-16 10,0 0 0,0 0-1,0-1 1,0 1-1,0 0 1,-1 0 0,1-1-1,-1 1 1,1-1-1,-1 0 1,0 1-1,0-1 1,1 0 0,-1 0-1,0 0 1,0 0-1,0 0 1,0 0 0,0-1-1,0 1 1,0-1-1,-4 1 1,-51 3 62,49-4-76,-1 0 16,-3 0 0,0 0 1,1-1-1,-1 0 1,-17-4-1,26 4 5,-1 0-1,0-1 1,1 1-1,0-1 1,-1 0-1,1 0 1,0 0-1,0 0 1,0-1-1,0 1 1,1-1-1,-1 0 1,1 1-1,-1-1 1,1-1-1,0 1 1,-3-6-1,4 8-124,39 24-13607,-17-10 3394</inkml:trace>
  <inkml:trace contextRef="#ctx0" brushRef="#br0" timeOffset="3080.11">875 1175 2273,'-5'2'21410,"41"-4"-20861,66-13 1,-32 4-486,128-13-432,219 1 0,-424 22-5658,-2 2 3131,-1-1-203,-11-2-5199</inkml:trace>
  <inkml:trace contextRef="#ctx0" brushRef="#br0" timeOffset="3625.34">980 11 4914,'0'0'11848,"0"-11"-9924,16 237 876,-8-146-2607,-5-19 512,-3-35-3369,0-4-5160</inkml:trace>
  <inkml:trace contextRef="#ctx0" brushRef="#br0" timeOffset="4000.05">918 372 3554,'0'0'13878,"-1"-3"-12592,-2-10-355,2 10-131,3 12-333,1-5-372,-1 0 0,0 0 0,1 0-1,0 0 1,0 0 0,0-1 0,0 1 0,1-1 0,-1 0-1,1 0 1,0 0 0,0 0 0,0-1 0,0 0-1,5 3 1,-6-4-41,-1 0-1,1-1 1,0 1 0,-1 0-1,1-1 1,0 1-1,-1-1 1,1 0-1,0 0 1,-1 0 0,1 0-1,0-1 1,0 1-1,-1-1 1,1 1 0,-1-1-1,1 0 1,0 0-1,-1 0 1,0 0 0,1-1-1,-1 1 1,0-1-1,0 1 1,1-1-1,-1 0 1,2-3 0,21-24 594,23-37 0,-57 87-5400,2 0-3486</inkml:trace>
</inkml:ink>
</file>

<file path=xl/ink/ink3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37.536"/>
    </inkml:context>
    <inkml:brush xml:id="br0">
      <inkml:brushProperty name="width" value="0.05" units="cm"/>
      <inkml:brushProperty name="height" value="0.05" units="cm"/>
      <inkml:brushProperty name="color" value="#F6630D"/>
    </inkml:brush>
  </inkml:definitions>
  <inkml:trace contextRef="#ctx0" brushRef="#br0">106 21 1585,'0'0'5778,"0"-21"-6674,6 25-1809,5 5 64</inkml:trace>
  <inkml:trace contextRef="#ctx0" brushRef="#br0" timeOffset="463.41">1 59 2369,'0'0'6360,"10"-1"-5434,306 9 4410,-49 2-4984,-172-10-383,-57 0-4135,-69 0-43,-11 0-1736</inkml:trace>
  <inkml:trace contextRef="#ctx0" brushRef="#br0" timeOffset="804.33">185 104 2497,'0'0'11360,"-1"-4"-10461,1 4-876,0-1-1,-1 1 0,1-1 1,0 1-1,0-1 1,0 1-1,0-1 1,-1 1-1,1-1 1,0 0-1,0 1 1,0-1-1,0 1 1,0-1-1,0 1 0,0-1 1,0 1-1,1-1 1,-1 0-1,0 1 1,0-1-1,0 1 1,1-1-1,-1 1 1,0-1-1,1 0 0,22-1 221,-23 2-244,179 1 925,318-9-199,-471 6-717,-14 2-10,0-1 0,0 0 1,-1-1-1,1 0 0,16-6 1,-27 8-5,-1 0 1,0 0-1,0 0 1,0 0-1,1 0 1,-1 0-1,0 0 1,0 0 0,0 0-1,1 0 1,-1 0-1,0 0 1,0 0-1,0 0 1,1 0-1,-1 0 1,0-1-1,0 1 1,0 0 0,0 0-1,1 0 1,-1 0-1,0 0 1,0 0-1,0-1 1,0 1-1,0 0 1,0 0-1,1 0 1,-1-1 0,0 1-1,0 0 1,0 0-1,0 0 1,0 0-1,0-1 1,0 1-1,0 0 1,0 0 0,0-1-1,0 1 1,0 0-1,0 0 1,0 0-1,0-1 1,0 1-1,0 0 1,0 0-1,0 0 1,0-1 0,0 1-1,-1 0 1,1 0-1,0 0 1,0-1-1,-14-4-860,-25 2-2258,-76 2-1,57 2-110,-8-1-1279</inkml:trace>
  <inkml:trace contextRef="#ctx0" brushRef="#br0" timeOffset="1055.02">213 91 2177,'0'0'12424,"17"0"-11314,266-9 1078,35 1-1775,-250 10-429,-39-1-376,-1 0 1,1-2 0,41-6-1,-111 5-5064,-7 2 1481</inkml:trace>
</inkml:ink>
</file>

<file path=xl/ink/ink3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44.835"/>
    </inkml:context>
    <inkml:brush xml:id="br0">
      <inkml:brushProperty name="width" value="0.05" units="cm"/>
      <inkml:brushProperty name="height" value="0.05" units="cm"/>
      <inkml:brushProperty name="color" value="#F6630D"/>
    </inkml:brush>
  </inkml:definitions>
  <inkml:trace contextRef="#ctx0" brushRef="#br0">231 250 4178,'0'0'10765,"-2"-4"-10146,0 1-351,1 1-1,-1-1 1,1 0 0,0 0 0,0 1-1,0-1 1,0 0 0,0-5 0,1 7-202,0 0 1,0 0 0,0 0-1,1 0 1,-1 0 0,0 0-1,0 0 1,1 0 0,-1 0-1,1 0 1,-1 0 0,1 0-1,-1 0 1,1 0 0,0 0-1,-1 0 1,1 1 0,0-1-1,0 0 1,-1 0 0,1 1-1,0-1 1,0 1 0,0-1-1,0 0 1,0 1 0,0 0-1,0-1 1,0 1 0,0 0 0,2-1-1,4-1-76,1 0 0,-1 1 0,0 0 0,1 0 0,-1 1 0,1-1 0,-1 2 0,13 1 0,-16-1 4,0-1 0,0 2 0,0-1 0,0 0 0,0 1-1,-1 0 1,1-1 0,-1 1 0,1 1 0,-1-1 0,0 1 0,1-1 0,-2 1 0,1 0-1,0 0 1,0 0 0,3 5 0,-3-1 4,1-1 0,-1 1 0,0-1 0,-1 1 0,0 0 0,0 0-1,0 0 1,-1 0 0,0 0 0,0 1 0,-1-1 0,0 0 0,0 0 0,0 1 0,-1-1 0,-1 0 0,1 0-1,-1 0 1,0 0 0,0 0 0,-1 0 0,0-1 0,0 1 0,-1-1 0,0 0 0,0 0 0,0 0 0,-1 0-1,0-1 1,0 0 0,0 0 0,-1 0 0,0-1 0,1 0 0,-2 0 0,-8 5 0,11-6 37,-1-1 0,0 1 0,0-1 0,0 0-1,0 0 1,0-1 0,-1 1 0,1-1 0,-11 0 0,16-1-36,0 0 0,0-1-1,-1 1 1,1-1 0,0 1-1,0 0 1,0-1 0,0 1-1,0-1 1,-1 1 0,1-1-1,0 1 1,0-1 0,0 1-1,0 0 1,0-1 0,0 1-1,1-1 1,-1 1 0,0-1-1,0 1 1,0-1 0,0 1-1,0 0 1,1-1 0,-1 1-1,0-1 1,0 1 0,1 0-1,-1-1 1,0 1 0,1 0-1,-1-1 1,0 1 0,1 0-1,-1-1 1,0 1 0,1 0-1,-1 0 1,1-1 0,-1 1-1,0 0 1,1 0 0,-1 0-1,1 0 1,-1 0 0,1 0-1,4 0-38,-1 0 0,0 0 0,1 1 0,-1 0 0,0 0-1,0 0 1,0 0 0,0 1 0,0 0 0,0 0 0,0 0 0,6 4-1,0 3-788,1 0 0,15 19 0,-22-24 490,14 9-4007</inkml:trace>
  <inkml:trace contextRef="#ctx0" brushRef="#br0" timeOffset="466.96">320 23 4562,'0'0'7091,"-20"-4"-4810,-66-13-773,80 17-1386,1-1 0,-1 1 0,1 0 0,0 0 0,-1 0 1,1 1-1,-1 0 0,1 0 0,0 0 0,0 1 0,-1-1 0,1 2 0,0-1 1,1 0-1,-1 1 0,0 0 0,1 0 0,-1 0 0,1 0 0,0 1 0,0 0 1,-3 4-1,-2 4 32,0 0 0,1 0 1,0 1-1,1 0 0,-11 27 1,10-15-58,0 0 0,2 0 0,1 0 0,1 0-1,1 1 1,1 0 0,1 0 0,1 0 0,2-1 0,0 1 0,13 50 0,-10-62-82,0 1 0,1-1 0,1 0 0,0 0 0,1-1-1,1 0 1,0-1 0,0 0 0,1 0 0,17 14 0,-18-17-8,1-1 1,0-1 0,0 1-1,1-2 1,0 0-1,0 0 1,1-1-1,-1 0 1,1-1-1,0 0 1,1-1-1,-1-1 1,14 2-1,-18-3 15,0 0-1,0-1 0,0 0 0,0 0 1,0-1-1,0 0 0,0 0 0,0-1 1,0 0-1,-1-1 0,1 0 0,-1 0 1,1 0-1,-1-1 0,0 0 0,0 0 1,-1-1-1,0 0 0,1 0 0,-1 0 1,-1-1-1,1 0 0,-1 0 0,0-1 1,-1 1-1,1-1 0,-1 0 0,5-13 1,1-4-14,-2 1 1,-1-1 0,0 0-1,-2-1 1,-1 1-1,-1-1 1,-1 0 0,-1 0-1,-1 0 1,-1 0 0,-1 0-1,-6-26 1,4 36-6,1 0 1,-2 0-1,0 0 1,-1 1-1,-7-15 0,10 25-50,1 0-1,-1 0 1,1 1-1,-1-1 1,0 1-1,0-1 0,-1 1 1,1 0-1,-8-5 1,9 7-46,0 0 1,-1 0-1,1 0 1,0 0-1,-1 1 1,1-1-1,-1 1 1,1-1-1,-1 1 1,1 0-1,-1 0 1,1 0-1,-1 0 1,1 1-1,-1-1 1,1 1-1,0-1 1,-1 1-1,-3 1 1,4 0-89,-1-1 0,1 1 0,-1 0-1,1 0 1,-1 0 0,1 0 0,0 1 0,0-1 0,0 0 0,1 1 0,-1 0 0,0-1 0,1 1 0,0 0 0,0 0 0,-1 0 0,2 0 0,-2 3-1,1-1-469,0-1 0,0 1-1,0-1 1,1 1-1,-1 0 1,1-1-1,1 1 1,-1 0-1,1-1 1,-1 1-1,1-1 1,2 6-1,13 11-5959</inkml:trace>
  <inkml:trace contextRef="#ctx0" brushRef="#br0" timeOffset="1138.08">871 179 5555,'0'0'14422,"-3"-6"-13840,-8-8-492,10 14-87,1 0 0,0 0-1,-1 0 1,1 0-1,0 0 1,0 0 0,-1 0-1,1 1 1,0-1-1,0 0 1,-1 0 0,1 0-1,0 0 1,0 1 0,0-1-1,-1 0 1,1 0-1,0 0 1,0 1 0,0-1-1,0 0 1,0 0-1,-1 1 1,1-1 0,0 0-1,0 0 1,0 1-1,0-1 1,0 0 0,0 0-1,0 1 1,0-1-1,0 0 1,0 1 0,0-1-1,-1 49 296,1-28-103,1-2-82,0 0 0,1 0 0,2 0 0,0 0 0,0-1-1,8 19 1,51 103 121,-56-127-193,-4-9 58,-2-12 199,-3-18-258,-1 0 0,-2-1 0,0 1 0,-2 1 0,-10-29 0,7 28-11,2-1 0,1-1 0,1 1 0,-3-46 0,8 54-42,0 9-11,1 1-1,-1-1 1,2 1 0,1-13-1,-2 20 20,1 1 0,-1-1 0,1 0 0,-1 0-1,1 1 1,0-1 0,-1 1 0,1-1 0,0 0-1,0 1 1,0-1 0,0 1 0,0 0-1,1-1 1,-1 1 0,0 0 0,1 0 0,-1 0-1,1 0 1,-1 0 0,1 0 0,-1 0 0,1 0-1,0 1 1,-1-1 0,1 1 0,3-1-1,1 0-5,-1 1-1,1 0 0,-1 0 1,1 1-1,-1 0 0,1 0 1,-1 0-1,1 1 0,-1-1 0,0 1 1,0 0-1,0 1 0,0-1 1,0 1-1,0 0 0,-1 1 0,0-1 1,1 1-1,-1-1 0,0 1 1,-1 1-1,1-1 0,-1 0 0,5 9 1,-1-3-21,-1 1 1,-1-1 0,1 1-1,-2 1 1,1-1 0,-2 1-1,0 0 1,0-1 0,-1 1-1,1 16 1,-2-20-52,-1 1 0,-1-1 1,1 0-1,-1 0 0,-1 0 0,0 0 1,0 0-1,-5 12 0,5-15 37,-1 0 0,0-1 1,0 1-1,0-1 0,0 0 0,-1 0 0,0 0 0,0-1 0,0 1 1,0-1-1,0 0 0,-1 0 0,1 0 0,-8 3 0,10-6 45,1 1 0,-1 0 1,1-1-1,-1 1 0,0 0 0,1-1 0,-1 0 0,0 1 1,1-1-1,-1 0 0,0 0 0,1 0 0,-1 0 0,0 0 1,1-1-1,-4 0 0,4 1 21,0-1-1,0 1 1,0-1 0,0 0 0,1 0-1,-1 1 1,0-1 0,0 0 0,1 0-1,-1 0 1,1 1 0,-1-1-1,1 0 1,-1 0 0,1 0 0,-1 0-1,1 0 1,0 0 0,0 0 0,-1 0-1,1 0 1,0 0 0,0-1 0,0 1-1,0-1 1,1 1-39,0 1 0,1-1 0,-1 1-1,0 0 1,0-1 0,0 1 0,0 0 0,1 0 0,-1 0 0,0 0-1,0 0 1,0 0 0,0 0 0,1 0 0,-1 1 0,1-1 0,3 2 13,-1-1 1,1 1-1,-1 0 1,0 0-1,1 0 1,-1 1-1,0-1 1,-1 1-1,7 5 1,33 38-199,-8-9-1434,-32-34 1040,1 0 1,-1 0 0,1 0-1,0 0 1,0 0-1,0-1 1,1 0 0,-1 0-1,1 0 1,-1 0-1,9 1 1,11 0-4376</inkml:trace>
  <inkml:trace contextRef="#ctx0" brushRef="#br0" timeOffset="2025.66">1369 335 6435,'0'0'11160,"-13"-12"-10499,-47-36-370,58 47-274,-1-1-1,1 0 1,-1 1-1,1 0 1,-1-1 0,0 1-1,0 0 1,0 0-1,0 1 1,1-1-1,-1 1 1,0-1-1,0 1 1,0 0 0,0 0-1,0 0 1,0 0-1,0 1 1,0-1-1,0 1 1,0 0 0,0 0-1,0 0 1,1 0-1,-1 1 1,0-1-1,1 0 1,-5 4 0,3-1-11,-1 0 0,1 0 1,1 0-1,-1 0 1,0 1-1,1-1 1,0 1-1,0 0 0,1 0 1,-1 0-1,-3 11 1,5-10-10,-1 1 1,1-1-1,0 0 1,0 1-1,1-1 1,0 1-1,0-1 1,0 1-1,1-1 0,0 1 1,0-1-1,1 1 1,0-1-1,0 0 1,0 0-1,5 9 1,-4-11-11,0 0 1,1 1 0,-1-1 0,1-1-1,-1 1 1,1 0 0,0-1-1,0 0 1,1 0 0,-1 0-1,1 0 1,-1-1 0,1 0-1,0 0 1,0 0 0,0-1 0,0 1-1,0-1 1,1 0 0,8 0-1,-7 0-26,1-1 0,-1 1-1,1-1 1,-1-1 0,0 1 0,1-2-1,10-2 1,-16 3 51,1 0 1,-1-1-1,1 1 0,-1-1 0,0 1 1,1-1-1,-1 0 0,0 0 1,0 0-1,0-1 0,-1 1 0,1 0 1,-1-1-1,1 1 0,-1-1 0,0 1 1,1-1-1,-2 0 0,1 1 0,0-1 1,0 0-1,0-3 0,1-4 161,0-1 1,-1 1-1,1-1 0,-2 1 0,0-1 1,0 1-1,-1-1 0,0 0 0,-1 1 1,0 0-1,-1-1 0,0 1 0,0 0 1,-9-16-1,12 25 32,0 9-456,0 2 223,1-1 0,1 0 0,0 1 0,0-1 0,1 0 0,0 0 0,0-1 0,1 1 0,1-1 0,5 10 0,-2-5-404,1-1 0,0 0-1,0-1 1,2 0-1,20 18 1,-29-27 350,0 0-1,0-1 1,0 1 0,0-1 0,1 0 0,-1 0 0,0 1-1,1-1 1,-1-1 0,0 1 0,1 0 0,-1-1-1,1 1 1,-1-1 0,1 0 0,0 0 0,3 0 0,-5 0 133,1-1 0,0 0 0,0 1 0,-1-1 0,1 0 0,-1 0 0,1 0 0,-1 0 0,1 0 0,-1 0 0,1-1 0,-1 1 1,0 0-1,0-1 0,0 1 0,0-1 0,0 1 0,0-1 0,0 0 0,0 1 0,-1-1 0,1 0 0,0-2 0,3-14 844,0 0 0,2-31 0,-4 32 40,0 0 0,9-34 1,-11 50-935,1 1 1,-1 0-1,0-1 0,0 1 1,1 0-1,-1 0 1,0-1-1,1 1 0,-1 0 1,0 0-1,1-1 0,-1 1 1,0 0-1,1 0 1,-1 0-1,1 0 0,-1-1 1,0 1-1,1 0 1,-1 0-1,1 0 0,-1 0 1,0 0-1,1 0 1,-1 0-1,1 0 0,-1 0 1,1 0-1,-1 1 0,0-1 1,1 0-1,-1 0 1,1 0-1,-1 0 0,0 1 1,1-1-1,-1 0 1,0 0-1,1 0 0,-1 1 1,0-1-1,0 0 0,1 1 1,-1-1-1,0 0 1,0 1-1,1-1 0,-1 0 1,0 1-1,0 0 1,17 18-116,-6-2-102,-1 0-1,14 31 1,-15-27-127,20 31 1,-29-52 341,0 0 1,0 0-1,1 0 0,-1 1 1,0-1-1,0 0 0,1 0 1,-1 0-1,0 0 0,1 0 0,-1 0 1,0 0-1,0 0 0,1 0 1,-1 1-1,0-1 0,1 0 0,-1 0 1,0-1-1,1 1 0,-1 0 1,0 0-1,0 0 0,1 0 0,-1 0 1,0 0-1,1 0 0,-1 0 1,0 0-1,0-1 0,1 1 1,-1 0-1,0 0 0,0 0 0,0-1 1,1 1-1,-1 0 0,0 0 1,0-1-1,0 1 0,1 0 0,-1 0 1,0-1-1,0 1 0,0 0 1,0 0-1,0-1 0,0 1 0,0 0 1,0-1-1,0 1 0,0 0 1,0 0-1,0-1 0,0 1 0,0-1 1,6-17 174,1-12 92,2-1 1,1 1 0,18-39 0,-28 68-269,1 1 1,-1-1 0,0 0-1,1 0 1,-1 1 0,0-1-1,1 1 1,-1-1-1,1 0 1,-1 1 0,1-1-1,-1 1 1,1-1 0,-1 1-1,1-1 1,0 1 0,-1-1-1,1 1 1,0 0-1,-1 0 1,1-1 0,0 1-1,0 0 1,-1 0 0,1-1-1,0 1 1,-1 0 0,1 0-1,0 0 1,0 0-1,0 0 1,-1 0 0,1 0-1,0 1 1,-1-1 0,1 0-1,0 0 1,0 1 0,-1-1-1,1 0 1,0 1-1,-1-1 1,1 0 0,-1 1-1,1-1 1,0 1 0,-1-1-1,1 1 1,-1-1 0,1 1-1,-1 0 1,1-1 0,0 2-1,24 38-220,-23-38 243,16 39-350,-15-30-291,2-1-1,-1 0 1,1 0 0,1 0 0,8 11 0,-12-19 163,0 0 1,0-1-1,1 1 0,-1-1 0,1 1 0,-1-1 1,1 0-1,0 0 0,-1 0 0,1 0 1,0-1-1,0 1 0,0-1 0,0 1 1,-1-1-1,1 0 0,0 0 0,3-1 0,15 1-4339</inkml:trace>
  <inkml:trace contextRef="#ctx0" brushRef="#br0" timeOffset="3094.92">2035 343 2657,'0'0'10309,"-2"-17"-8231,-9-53-325,11 68-1657,-1 0 0,0 0 0,1 0 0,-1 1-1,0-1 1,0 0 0,0 0 0,0 1 0,0-1 0,0 0 0,0 1 0,-1-1 0,1 1 0,-1 0-1,1-1 1,-1 1 0,1 0 0,-1 0 0,0 0 0,1 0 0,-1 0 0,-4-1 0,1 1 35,1 0 1,-1 1 0,-1-1 0,1 1-1,0 0 1,-5 0 0,2 0-27,5 1-94,-1-1-1,0 0 0,1 1 0,-1 0 0,0 0 0,1 0 0,-1 0 0,1 1 0,0-1 0,-1 1 0,1 0 1,0 0-1,0 0 0,0 1 0,0-1 0,0 1 0,1-1 0,-1 1 0,1 0 0,0 0 0,0 0 0,0 0 1,0 0-1,0 1 0,1-1 0,-1 0 0,1 1 0,0 0 0,-1 4 0,-2 10-61,0-1-1,2 1 1,0 0-1,0 30 1,2-45-33,1 0 1,-1-1-1,1 1 1,-1 0-1,1-1 1,0 1-1,0-1 1,0 1-1,0-1 1,0 1-1,1-1 1,-1 1-1,1-1 1,0 0-1,-1 0 0,1 0 1,0 0-1,0 0 1,0 0-1,1-1 1,-1 1-1,0-1 1,1 1-1,-1-1 1,0 0-1,5 1 1,-2 0-114,0 0 0,1-1 0,-1 1 1,1-1-1,-1-1 0,1 1 0,0-1 1,-1 0-1,1 0 0,-1-1 1,1 1-1,9-4 0,-13 3 214,1 0 0,-1 0 0,1-1-1,-1 1 1,0-1 0,1 0 0,-1 1 0,0-1 0,0 0 0,0-1 0,0 1-1,-1 0 1,1 0 0,-1-1 0,1 1 0,-1-1 0,0 1 0,0-1 0,0 0-1,0 1 1,0-1 0,0-5 0,1-7 628,0 1 1,-1-1-1,0-15 1,-2 22-116,2 2-89,-2 0 0,1-1 0,-1 1 0,0 0 0,-1 0 0,1 0 0,-1 0 0,0 0 0,-1 0 0,1 0 0,-1 1 1,-5-9-1,7 13 9,1 24-316,1-8-112,0-1 1,1 1 0,1 0-1,0-1 1,1 0-1,1 0 1,10 24-1,59 93 179,-36-66-81,34 75-70,-63-119-54,-1 0 0,-1 1 0,-1 0 0,7 42 0,-13-60-42,1-1 0,-1 1 0,0 0 0,0-1 0,0 1 0,0 0 0,-2 6 0,1-9 25,1 0 1,-1 0-1,1 0 1,-1-1 0,0 1-1,0 0 1,1 0-1,-1-1 1,0 1 0,0 0-1,0-1 1,0 1 0,0-1-1,0 1 1,0-1-1,0 1 1,0-1 0,0 0-1,0 1 1,0-1-1,0 0 1,0 0 0,0 0-1,0 0 1,0 0-1,0 0 1,-2 0 0,-3-1 2,0 1 0,0-1 0,0 0 0,0 0 0,0-1 0,1 0 0,-1 0-1,0 0 1,1-1 0,0 0 0,-1 0 0,1 0 0,0 0 0,1-1 0,-1 0 0,0 0 0,1 0 0,0-1 0,0 1 0,1-1 0,-1 0 0,1 0 0,0 0 0,0-1 0,1 1 0,-3-8 0,-2-5 37,1 0-1,1-1 0,1 0 1,0 0-1,1 0 1,1-39-1,1 39-109,1-1 0,1 1 0,1-1 0,1 1 0,1 0 0,0 0 0,9-22 0,6 0-344,31-52 0,-24 46 304,-24 44 153,0-1-1,-1 1 1,1-1-1,-1 0 1,0 0-1,0 0 1,1-5-1,-2 9-18,0 0 0,0 0-1,0 1 1,0-1-1,-1 0 1,1 0-1,0 0 1,0 0 0,0 0-1,0 0 1,0 0-1,0 0 1,0 0-1,0 0 1,0 0-1,0 0 1,0 0 0,0 0-1,0 0 1,0 0-1,0 0 1,-1 0-1,1 0 1,0 0 0,0 0-1,0 0 1,0 0-1,0 0 1,0 0-1,0 0 1,0 0-1,0 0 1,0 0 0,0 0-1,0 0 1,-1 0-1,1 0 1,0 0-1,0 0 1,0 0 0,0 0-1,0 0 1,0 0-1,0 0 1,0 0-1,0-1 1,-8 23 56,7-19-63,0 1 0,0-1 0,0 1 0,1 0 0,-1-1 0,1 1 0,0-1 0,0 1 0,0 0 0,0-1 0,1 1 0,0-1 0,1 7 0,-1-8-17,0 0 0,1 0 0,-1 0-1,0-1 1,1 1 0,-1 0 0,1-1 0,0 1-1,0-1 1,-1 0 0,1 1 0,0-1-1,0 0 1,0 0 0,0 0 0,0 0 0,0-1-1,1 1 1,-1-1 0,0 1 0,0-1-1,0 0 1,4 1 0,-2-1 16,1 1 0,0-1 0,0 0-1,0 0 1,0-1 0,-1 1 0,1-1 0,0 0 0,0-1 0,-1 1 0,1-1-1,-1 0 1,1 0 0,-1 0 0,0 0 0,0-1 0,0 0 0,0 0 0,0 0 0,-1 0-1,1-1 1,-1 1 0,0-1 0,0 0 0,0 0 0,0 0 0,-1 0 0,0 0-1,0-1 1,0 1 0,0-1 0,-1 1 0,1-1 0,-1 0 0,-1 0 0,2-6-1,-1 3 6,0 0 0,0 0 0,-1 0 0,0 0 0,0 0 0,-3-12 0,3 18 15,-1 0 1,1 0 0,-1 0 0,0 1-1,0-1 1,0 0 0,0 0 0,0 0 0,0 1-1,0-1 1,0 1 0,-1-1 0,1 1-1,-1-1 1,1 1 0,-1 0 0,1 0 0,-1 0-1,0 0 1,0 0 0,0 0 0,1 0-1,-1 0 1,0 1 0,0-1 0,0 1 0,0-1-1,0 1 1,0 0 0,-3 0 0,1 0-1,1 0 1,-1 0-1,0 0 1,1 0-1,-1 1 1,0 0 0,1 0-1,-1 0 1,0 0-1,1 0 1,0 1-1,-1-1 1,1 1-1,0 0 1,0 0-1,0 0 1,0 1 0,-4 3-1,3-1 4,0-1 0,1 1 0,0 0 0,0 0 0,0 0 0,1 1 0,0-1 0,0 0 0,0 1 0,0 0 0,0 9 0,0-4 21,0 1 1,1-1 0,0 0-1,1 1 1,1-1-1,0 1 1,0-1 0,1 0-1,6 19 1,-6-25-33,0 0 1,1 0-1,-1 0 0,1-1 1,0 1-1,0-1 0,1 0 1,-1 0-1,1 0 0,0 0 0,0-1 1,0 0-1,1 1 0,-1-2 1,1 1-1,0 0 0,0-1 1,-1 0-1,2 0 0,-1 0 1,0-1-1,9 2 0,3 0 41,0 0-1,0-2 0,0 0 1,0 0-1,0-2 0,0 0 1,27-6-1,-42 7-125,0-1 0,-1 1 1,1-1-1,0 0 0,0 1 0,-1-1 0,1 0 0,-1 0 1,1 0-1,-1 0 0,1 0 0,-1-1 0,0 1 0,3-3 1,-9-1-3881,-14 3-1811,-15 2-4509</inkml:trace>
  <inkml:trace contextRef="#ctx0" brushRef="#br0" timeOffset="4373.54">733 743 1489,'0'0'10420,"-3"-2"-9184,-3-2-324,7 5-204,20 12 231,37 16-14,-36-24-701,0 0 0,1-2-1,0-1 1,-1 0 0,29-3 0,-26 1 162,-17 0-261,-1-1 1,0 0-1,0 0 0,1-1 1,-1 0-1,0 0 1,0-1-1,0 0 0,-1 0 1,8-5-1,8-6 641,30-26 0,-25 19-9,-26 20-742,0 0 0,0 0 0,1 0 0,-1 1 0,0-1 0,1 1 0,-1-1 0,1 1 0,-1-1 0,0 1-1,1 0 1,-1 0 0,1 0 0,-1 0 0,1 0 0,-1 0 0,1 0 0,-1 0 0,1 0 0,-1 1 0,0-1 0,1 1 0,-1-1 0,2 2 0,35 23-149,-6-3 180,-16-17-33,1 0 0,0-1 0,0-1 0,0-1 0,1 0 0,-1-2 0,0 0 0,1 0 0,-1-2 1,25-4-1,-28 2 2,1-1 0,-1 0 0,0-1 0,25-15 0,-22 12 23,0 0 0,20-6 0,-31 14-49,-1 0 0,0 1 0,0-1 0,1 2 0,-1-1 0,0 0 0,0 1 0,1 0 0,-1 0 0,0 0 0,0 1 0,0 0 0,0 0 0,-1 0 0,1 1 0,8 5 0,-4-3 11,-1-1 1,1 0 0,15 5 0,-6-6 23,-1 0-1,1 0 1,-1-2 0,1 0-1,0-1 1,-1-1 0,28-5-1,-38 4 2,0-1-1,0 0 1,0-1-1,-1 0 0,1 0 1,-1 0-1,8-8 1,-7 6 31,0 1 1,1 0 0,-1 0 0,16-7-1,-20 11-50,0 0 0,-1 1 0,1-1 0,-1 1 0,1-1 1,0 1-1,0 0 0,-1 0 0,1 0 0,0 0 0,-1 1 0,1-1 0,0 1 0,-1-1 0,1 1 0,0 0 0,-1 0 0,1 0 0,-1 0 0,4 3 0,4 3-9,1 0-1,0-1 1,0 0 0,1 0 0,0-2-1,0 1 1,0-2 0,0 1-1,0-2 1,1 1 0,0-2 0,17 1-1,-18-2 7,-1 0 0,0 0 0,0-1 0,0 0 0,0-1-1,0 0 1,0-1 0,-1-1 0,1 1 0,-1-1 0,0-1-1,0 0 1,0-1 0,12-8 0,-6 0 28,-8 8 28,0 0 0,0 0 0,0 1 0,0 0 0,13-6 0,-19 10-49,0 1 0,1-1 0,-1 0-1,1 1 1,-1-1 0,1 1 0,0 0 0,-1 0 0,1 0 0,-1 0 0,1 1 0,-1-1 0,1 1 0,-1-1 0,1 1 0,-1 0 0,1 0-1,-1 0 1,0 0 0,0 0 0,1 1 0,-1-1 0,0 1 0,0-1 0,2 3 0,0 0-87,-2-3-73,0 1 1,-1-1-1,1 0 1,-1 1 0,1 0-1,-1-1 1,1 1-1,-1 0 1,0-1 0,0 1-1,0 0 1,1 3-1,-21-4-9483</inkml:trace>
  <inkml:trace contextRef="#ctx0" brushRef="#br0" timeOffset="5932.7">3051 373 4978,'0'0'11253,"8"0"-10911,79 1-157,149-6 244,-162-7-1875,-68 11 1122,1-1-1,-1 0 0,1 0 1,-1-1-1,0 0 0,0 0 1,0 0-1,9-8 0,-6-4-3487,-8 0-1513</inkml:trace>
  <inkml:trace contextRef="#ctx0" brushRef="#br0" timeOffset="6178.53">3403 224 4226,'0'0'11557,"12"-3"-10730,-6 4-762,1 0-1,-1 0 1,0 1 0,0 0-1,0 0 1,0 0-1,0 0 1,-1 1-1,7 4 1,53 36 79,-54-35-125,-4-3-26,-2 0 0,1 0 0,0 0 0,-1 1 1,0-1-1,8 13 0,-12-17 6,0 0 0,-1 1 0,1-1-1,0 0 1,0 1 0,-1-1 0,1 0 0,-1 1 0,1-1 0,-1 1-1,0-1 1,1 1 0,-1-1 0,0 1 0,0 0 0,0-1-1,0 1 1,-1-1 0,1 1 0,0-1 0,0 1 0,-1-1 0,1 1-1,-1-1 1,0 0 0,1 1 0,-1-1 0,0 0 0,0 1-1,0-1 1,1 0 0,-2 0 0,1 0 0,0 0 0,0 0 0,0 0-1,0 0 1,-1 0 0,1 0 0,0 0 0,-2 0 0,-52 24-825,18-13-5400</inkml:trace>
</inkml:ink>
</file>

<file path=xl/ink/ink3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3:52.743"/>
    </inkml:context>
    <inkml:brush xml:id="br0">
      <inkml:brushProperty name="width" value="0.05" units="cm"/>
      <inkml:brushProperty name="height" value="0.05" units="cm"/>
      <inkml:brushProperty name="color" value="#F6630D"/>
    </inkml:brush>
  </inkml:definitions>
  <inkml:trace contextRef="#ctx0" brushRef="#br0">87 466 6035,'0'0'12883,"-3"-9"-11690,0-1-1001,-3-9 269,5 20-443,0 0 0,1 1 1,-1-1-1,1 0 1,-1 1-1,1-1 1,0 0-1,-1 1 0,1-1 1,0 1-1,0-1 1,0 0-1,0 1 0,0-1 1,1 1-1,-1-1 1,1 2-1,1 38 249,1 0 0,3 0 1,1 0-1,2-1 0,2 0 0,18 44 0,-27-97-125,-1 0-1,0-1 0,-3-23 1,-6-4-209,-2 0 0,-17-45 0,17 59 24,1-1 0,1 0 0,1 0 0,2-1 0,0 0 0,0-46 0,6 73 37,-1 1 0,1-1 0,-1 1 0,1-1 0,-1 1 1,1 0-1,0-1 0,0 1 0,0 0 0,0 0 0,0-1 0,0 1 0,0 0 0,0 0 0,0 0 0,0 0 0,0 1 0,1-1 0,-1 0 0,0 0 0,1 1 0,-1-1 1,1 1-1,-1-1 0,1 1 0,-1-1 0,1 1 0,-1 0 0,1 0 0,-1 0 0,1 0 0,-1 0 0,4 1 0,2-1-16,0 0 0,0 1 1,0 0-1,0 0 0,0 0 0,9 4 0,-10-2 13,1 1 1,0-1-1,-1 2 0,1-1 0,-1 0 0,0 1 0,-1 0 0,1 1 0,-1-1 1,0 1-1,-1 0 0,1 1 0,-1-1 0,0 1 0,-1-1 0,1 1 0,2 9 0,-1-2-39,-1 1 0,-1 0 0,0-1 0,0 1 0,-2 0 0,0 0 0,-1 27 0,-1-35-19,-1 0 0,1 0 0,-1 0-1,0-1 1,-1 1 0,0-1 0,0 1 0,0-1 0,-1 0 0,1 0-1,-1 0 1,-1-1 0,1 1 0,-1-1 0,0 0 0,0-1-1,-1 1 1,1-1 0,-1 0 0,0 0 0,0-1 0,-8 4-1,14-7 75,-1 0-1,1 0 0,0 0 1,-1 1-1,1-1 0,-1 0 1,1 0-1,0 0 0,-1 0 0,1 0 1,-1 0-1,1 0 0,0 0 1,-1 0-1,1 0 0,-1 0 1,1 0-1,0 0 0,-1 0 0,1 0 1,-1 0-1,1-1 0,0 1 1,-1 0-1,1 0 0,0 0 0,-1-1 1,1 1-1,0 0 0,-1 0 1,1-1-1,0 1 0,0 0 1,-1-1-1,1 1 0,0 0 0,0-1 1,-1 1-1,1 0 0,0-1 1,0 1-1,0-1 0,0 1 1,0-1-1,-1-20 280,2 15-26,-1 5-258,0 1 1,1-1-1,-1 1 1,1 0-1,-1-1 0,1 1 1,-1 0-1,1 0 0,-1-1 1,1 1-1,-1 0 0,1 0 1,0 0-1,-1 0 0,1 0 1,-1 0-1,1 0 0,-1 0 1,1 0-1,0 0 0,-1 0 1,1 0-1,-1 0 0,1 0 1,-1 1-1,1-1 0,-1 0 1,1 0-1,-1 1 0,1-1 1,0 1-1,20 7-138,-11 1 137,1-1 0,-2 2 0,16 17 0,-16-17-230,0 0 0,0 0 0,15 11 0,-19-18-4,-1-1 0,0 1 0,1-1 0,0 0 0,-1 0 0,1 0 0,0 0 0,0-1 0,0 0 0,0 0 0,1 0 0,8-1 0,-12 0 231,0-1-1,0 0 0,1 0 1,-1 0-1,0 0 0,0 0 1,0 0-1,0-1 1,0 1-1,-1-1 0,1 1 1,0-1-1,-1 0 0,1 0 1,-1 0-1,1 0 0,-1 0 1,0 0-1,0 0 1,0 0-1,0 0 0,0 0 1,0-3-1,4-8 95,-1 0 1,4-22-1,-6 24 1135,-4 27-1024,3 8-442,-1-23 235,0 0 0,1 0 0,-1-1 0,0 1 0,0 0 0,0 0 0,1-1 0,-1 1 0,0 0 0,1-1 0,-1 1 0,0 0 0,1-1 0,-1 1 0,1-1 0,-1 1 0,1-1 0,-1 1 0,1-1 0,0 1 0,-1-1 0,1 1 0,0-1 0,0 1 0,2 0-40,0-1 1,0 1-1,0 0 0,0-1 1,1 0-1,-1 0 1,0 0-1,0 0 0,0 0 1,0 0-1,1-1 1,-1 0-1,5-2 0,-6 2 45,0 0 0,-1 0 0,1-1 0,-1 1 0,1-1 0,-1 1 0,0-1 0,1 0 0,-1 0 0,0 1 0,0-1 0,0 0 0,-1 0 0,1 0 0,0 0 0,-1 0 0,1 0 0,-1 0-1,0 0 1,1 0 0,-1-4 0,0-3 110,1 0 0,-1 0 0,-1 0 0,1-1-1,-1 1 1,-1 0 0,0 0 0,-5-14 0,6 20-44,0 0 0,-1 0 0,1 0 1,-1 0-1,0 1 0,0-1 0,0 0 0,0 1 0,0-1 1,-1 1-1,1 0 0,-1 0 0,1 0 0,-1 0 1,0 0-1,0 1 0,0-1 0,0 1 0,0 0 0,0 0 1,0 0-1,0 0 0,0 0 0,-1 1 0,1-1 1,0 1-1,-4 0 0,5 0-64,0 1 0,0-1 1,0 1-1,-1 0 0,1 0 0,1 0 0,-1 0 1,0 0-1,0 0 0,0 0 0,0 0 1,1 1-1,-1-1 0,1 1 0,-1 0 0,1-1 1,0 1-1,-1 0 0,1 0 0,0-1 1,0 1-1,0 0 0,0 0 0,1 0 0,-1 1 1,0-1-1,1 0 0,-1 4 0,-1 7 5,0 0-1,0-1 0,1 21 1,1-25-2,0 0 1,0 0-1,1-1 1,0 1-1,1 0 1,0 0-1,0 0 1,0-1 0,5 9-1,-4-11 1,0 0 0,0 0 0,1 0 0,0 0-1,0-1 1,1 0 0,-1 0 0,1 0 0,0 0 0,0-1 0,0 1 0,9 3-1,-5-3-48,0 0-1,0 0 1,0-1-1,0-1 1,1 1-1,-1-2 1,1 1-1,0-1 1,0-1-1,13 0 1,-18 0-10,0-1-1,0 1 1,0-1 0,0-1 0,0 1 0,0-1 0,0 1-1,0-1 1,0-1 0,-1 1 0,1-1 0,-1 0-1,0 0 1,0 0 0,0 0 0,0-1 0,0 1 0,-1-1-1,1 0 1,3-7 0,-2 1 21,0 0-1,-1 0 1,0 0 0,-1-1 0,0 0-1,-1 1 1,3-22 0,-4-79 107,-1 81-14,0 14 138,-1 0 1,-1 0-1,0 0 0,-1 0 1,-1 0-1,0 0 0,-1 1 1,-1 0-1,-1 0 0,-9-17 1,9 26 736,3 10-672,1 15-358,3-17 109,-2 43 124,3 1 0,1 0 0,3 0 0,1-1 0,2 1 0,16 48 0,41 110 6,-46-155-164,1-2 1,31 53-1,-51-99-1,1 0 0,-1 0 1,1 0-1,-1 0 0,1 0 0,-1 0 0,1-1 0,0 1 1,-1 0-1,1 0 0,0 0 0,0-1 0,0 1 1,0 0-1,-1-1 0,1 1 0,0-1 0,0 1 1,2 0-1,-2-1 14,-1-1 1,1 1 0,-1 0-1,1-1 1,-1 1 0,1 0 0,-1-1-1,0 1 1,1-1 0,-1 1-1,1-1 1,-1 1 0,0-1-1,1 1 1,-1-1 0,0 1-1,0-1 1,0 0 0,1 1-1,-1-1 1,0 1 0,0-1 0,0 0-1,0 0 1,3-49 116,-3 45-103,0 5-9,0-52 55,-11-93 0,9 130-68,-1 0 0,-1 0 0,0 1 0,-1-1 0,0 1 1,-1 0-1,-1 0 0,0 1 0,-1-1 0,-19-22 0,19 31-1496,5 10-2630,3-4 3812,0 1 1,0-1 0,0 0 0,0 1 0,1-1 0,-1 0 0,0 0-1,1 1 1,-1-1 0,1 0 0,-1 0 0,1 0 0,0 1-1,0 0 1,2 0-350,0 1-1,-1-1 0,1 0 1,0-1-1,0 1 0,0 0 1,0-1-1,0 0 0,1 0 1,4 2-1,14-1-4955</inkml:trace>
  <inkml:trace contextRef="#ctx0" brushRef="#br0" timeOffset="1107.48">907 626 3586,'0'0'13232,"-1"-10"-12047,-5-26-561,2 27-415,-1 11-187,-1 11-113,6-13 98,-1 2-16,1 0-1,0 0 1,-1 0 0,1 0-1,0 0 1,0 0 0,0 0 0,0 0-1,0 0 1,1 0 0,-1 0-1,0 0 1,1 0 0,0-1-1,-1 1 1,1 0 0,0 0 0,0 0-1,0-1 1,0 1 0,0 0-1,3 1 1,-2-1-78,1 0 0,0-1-1,0 0 1,0 0 0,0 0 0,0 0-1,0 0 1,0 0 0,0-1 0,0 1-1,1-1 1,-1 0 0,4-1 0,-6 1 80,0 0 1,0 0-1,0-1 1,0 1-1,0 0 1,0-1-1,0 1 1,-1-1-1,1 0 1,0 1-1,0-1 1,0 1-1,-1-1 1,1 0-1,0 0 1,-1 1-1,1-1 1,-1 0-1,1 0 1,-1 0-1,1 0 1,-1 0-1,0 0 1,1 0-1,-1 0 1,0 0-1,0 0 1,1 0-1,-1-2 1,2-33 28,-2 34-28,1-18 9,0 7 109,-1 1-1,0-1 0,-1 0 1,-4-17-1,5 28-11,-1-1 0,1 1 0,-1 0-1,0 0 1,1 0 0,-1 0 0,0 0 0,0 0-1,-1 0 1,1 0 0,0 0 0,-1 0 0,1 1-1,-1-1 1,1 1 0,-1-1 0,0 1-1,0 0 1,0-1 0,1 1 0,-1 0 0,0 0-1,-1 0 1,1 0 0,0 1 0,0-1 0,0 1-1,0-1 1,-1 1 0,1 0 0,-3 0 0,3 0-84,1 0 1,0 0-1,-1 0 1,1 0-1,-1 1 1,1-1-1,0 0 1,-1 1 0,1 0-1,0-1 1,0 1-1,-1 0 1,1-1-1,0 1 1,0 0-1,0 0 1,0 0 0,0 0-1,0 0 1,-1 2-1,0 0 3,0 0 0,0 1 0,0-1-1,1 1 1,-1 0 0,1-1 0,-1 6-1,-1 7 73,1-1-1,-1 28 0,3-40-58,0 12 6,0 0 1,1 0-1,1 1 0,0-1 0,1 0 1,7 22-1,-8-30-31,1-1-1,0 0 1,0 0-1,0-1 1,0 1 0,1-1-1,0 0 1,0 1-1,1-2 1,0 1 0,-1 0-1,1-1 1,1 0-1,-1 0 1,1-1 0,-1 1-1,12 3 1,-13-5-11,1 0 1,-1-1-1,0 0 0,1 1 1,-1-2-1,1 1 0,0-1 1,-1 1-1,1-1 1,-1 0-1,1-1 0,6-1 1,-8 2 11,0-1 0,-1 0 0,1 0 1,-1-1-1,1 1 0,-1 0 0,0-1 0,1 0 1,-1 1-1,0-1 0,0 0 0,0 0 0,0 0 1,-1 0-1,1-1 0,0 1 0,-1 0 1,0-1-1,1 1 0,0-6 0,4-13 115,-1-1 0,-1 0 0,-1 0-1,-1 0 1,-1 0 0,-2-28 0,0 16 789,1 34-800,0 34-456,0-23 323,0-1 1,1 1 0,0-1 0,1 1 0,0-1-1,0 0 1,8 19 0,-8-25-86,0 0-1,0-1 1,0 1 0,1-1-1,-1 1 1,1-1 0,0 0-1,0 0 1,0 0 0,0-1-1,1 1 1,-1-1 0,1 0 0,-1 0-1,1 0 1,0 0 0,0 0-1,0-1 1,0 0 0,0 0-1,0 0 1,0 0 0,6 0-1,-7-1 69,1 1 0,-1-1 0,1 0 1,0 0-1,-1 0 0,1-1 0,-1 1 0,1-1 0,-1 0 0,1 0 0,-1 0 0,1 0 0,-1-1 0,0 1 0,0-1 0,0 0 0,4-3 0,-3 1 127,0 0 1,-1 0-1,1-1 0,-1 0 1,-1 1-1,1-1 0,0 0 0,-1 0 1,0-1-1,2-9 0,0-5 1314,-1-1-1,0-34 0,-3 78-1428,1 1 1,9 44-1,-9-60-77,1-1 0,0 1 1,0-1-1,1 0 0,0 0 1,0 0-1,1 0 0,0 0 0,0-1 1,1 1-1,0-1 0,0 0 1,7 6-1,-10-10 70,-1-1-1,1 0 1,-1 1 0,1-1-1,0 0 1,-1 0 0,1 0-1,0-1 1,0 1 0,0 0 0,0-1-1,0 1 1,0-1 0,0 0-1,0 1 1,0-1 0,0 0-1,0 0 1,0 0 0,0 0-1,-1-1 1,5 0 0,-3 0 28,-1-1 0,1 0 1,0 1-1,-1-1 1,1 0-1,-1 0 0,0 0 1,0-1-1,0 1 0,0 0 1,0-1-1,0 1 0,1-4 1,4-7 42,-1 0 1,-1 0-1,0-1 1,-1 0-1,3-14 1,-3-9 761,1-60 0,-4 105-796,0 0-1,1-1 1,0 1-1,0 0 1,0-1-1,1 1 0,0-1 1,1 0-1,0 0 1,0 0-1,0 0 1,1-1-1,0 0 0,6 6 1,-3-2-51,-1-1-1,0 1 1,-1 0 0,0 1 0,7 14-1,-13-24 17,1 0-1,-1 0 1,0 0 0,1 0-1,-1 0 1,0 0-1,0 0 1,0 0-1,0 0 1,0 0 0,0 0-1,0 0 1,0 0-1,0 0 1,0 0-1,-1 0 1,1-1-1,0 1 1,-1 0 0,1 0-1,-1 0 1,1 0-1,-1 0 1,1 0-1,-2 1 1,0-1-1,0 1-1,0-1 1,0 0 0,0 0-1,0 0 1,0 0 0,0 0-1,0 0 1,-1 0 0,1-1-1,-3 1 1,-10 1-1201,0-1-1,-29-1 1,29-1-1657,4 1-1819</inkml:trace>
  <inkml:trace contextRef="#ctx0" brushRef="#br0" timeOffset="1418.83">1976 345 13494,'0'0'12115,"-1"9"-11979,-3 35 315,2-1 0,5 66 0,0-84-792,0-1-1,2 1 1,0-1-1,2 0 0,0-1 1,15 31-1,-22-74-14857</inkml:trace>
  <inkml:trace contextRef="#ctx0" brushRef="#br0" timeOffset="1903.23">1919 586 3105,'0'0'10200,"13"-1"-10075,70 2 144,82-4-1979,-161 3 1569,0-1-1,-1 0 1,1 1-1,0-1 1,-1 0-1,1-1 1,0 1-1,-1-1 1,0 1-1,1-1 0,-1 0 1,0-1-1,0 1 1,0 0-1,0-1 1,0 0-1,-1 1 1,3-5-1,-3 4 472,0 0-1,0 0 1,0-1 0,-1 1 0,0-1-1,0 1 1,0-1 0,0 1 0,0-1-1,-1 0 1,1-7 0,-1 10-153,0 1 1,0-1 0,0 0-1,0 0 1,0 1 0,0-1-1,0 0 1,0 0 0,-1 1 0,1-1-1,0 0 1,0 0 0,-1 1-1,1-1 1,0 0 0,-1 1-1,1-1 1,0 0 0,-1 1-1,1-1 1,-1 0 0,1 1-1,-1-1 1,0 1 0,1-1-1,-2 0 1,-21 1 1350,21 1-1500,0 0-1,1 0 0,-1 0 1,0 0-1,1 1 0,-1-1 1,1 0-1,0 1 0,-1-1 1,1 0-1,0 1 0,0 0 0,0-1 1,0 1-1,0 0 0,0-1 1,0 1-1,1 0 0,-1 0 1,1 0-1,-1 2 0,-8 44 298,6 37 62,3-83-379,1 1 1,-1-1-1,0 0 0,1 1 1,0-1-1,0 0 0,-1 0 1,1 0-1,0 0 1,1 0-1,-1 0 0,0 0 1,1 0-1,-1 0 0,1-1 1,-1 1-1,1 0 0,0-1 1,0 1-1,0-1 0,-1 0 1,2 0-1,-1 0 1,0 0-1,0 0 0,0 0 1,0 0-1,0-1 0,1 1 1,-1-1-1,0 1 0,1-1 1,-1 0-1,5 0 1,-2 0 11,0 0 1,0 0 0,0 0 0,0-1 0,0 0 0,0 1 0,0-2 0,-1 1 0,1-1 0,0 1 0,-1-1 0,1-1 0,-1 1-1,1-1 1,-1 1 0,4-5 0,-5 3-1,1 0-1,-1 0 0,0 0 1,-1-1-1,1 1 0,-1-1 1,0 0-1,0 1 1,-1-1-1,1 0 0,-1 0 1,0-1-1,0 1 0,-1 0 1,1 0-1,-1 0 0,0 0 1,-1-1-1,1 1 1,-1 0-1,0 0 0,-1 0 1,1 0-1,-1 0 0,-4-8 1,4 7-20,-1 1 0,1 1 1,-1-1-1,-1 0 0,1 1 0,0-1 1,-1 1-1,0 0 0,0 0 0,-1 1 1,1-1-1,-1 1 0,1 0 0,-1 0 1,0 1-1,0-1 0,0 1 0,0 0 1,-1 0-1,1 1 0,-1 0 0,1 0 0,-11-1 1,9 2-229,1 1 1,-1-1 0,0 1 0,1 0-1,0 1 1,-1 0 0,1 0-1,0 0 1,0 1 0,-8 4-1,7-3-859,0 1-1,0 0 0,1 0 0,-9 9 0,0 7-6590</inkml:trace>
  <inkml:trace contextRef="#ctx0" brushRef="#br0" timeOffset="3397.49">2963 458 4930,'0'0'13422,"-8"-3"-12525,-25-6-270,32 9-593,0 0 1,0 0 0,0 0-1,0 1 1,0-1 0,-1 0-1,1 0 1,0 1 0,0-1-1,0 1 1,0-1-1,0 1 1,0 0 0,1-1-1,-1 1 1,0 0 0,0 0-1,0-1 1,1 1 0,-1 0-1,0 0 1,1 0-1,-1 0 1,0 0 0,1 0-1,-1 1 1,-9 28 316,9-27-301,-1 6-1,0 0 0,0 0-1,1 0 1,0 0-1,1 1 1,0-1 0,0 0-1,1 0 1,0 0-1,1 1 1,3 10 0,-3-16-41,-1 0 0,1 0 1,0-1-1,0 1 0,0 0 1,1-1-1,-1 0 0,1 1 1,0-1-1,0 0 0,0 0 1,0-1-1,0 1 0,1 0 1,-1-1-1,1 0 0,-1 0 1,1 0-1,0-1 0,0 1 1,0-1-1,0 0 0,0 0 1,0 0-1,1 0 0,5-1 1,-2 1 10,0 0 1,0-1-1,0-1 1,0 1-1,0-1 1,14-4-1,-18 4-10,0-1-1,0 0 0,0 0 0,0 0 0,0-1 0,-1 1 0,1-1 1,-1 0-1,0 0 0,0 0 0,0 0 0,0-1 0,4-6 1,-1-2 13,-1 1 1,0-1 0,0 0-1,-2-1 1,1 1 0,-2-1-1,1 1 1,-2-1 0,0 0-1,0 0 1,-1 0 0,-1 0-1,-2-14 1,0 18 182,-2 16-236,-1 14-39,5-18 53,1 1 1,0-1-1,0 0 0,0 0 0,0 0 1,0 0-1,1 1 0,0-1 0,-1 0 1,1 0-1,0 0 0,0 0 0,1 0 1,-1-1-1,1 1 0,-1 0 0,1 0 1,0-1-1,0 1 0,0-1 0,0 0 1,1 0-1,-1 0 0,1 0 1,-1 0-1,1 0 0,0 0 0,-1-1 1,1 1-1,0-1 0,0 0 0,0 0 1,0 0-1,0 0 0,0-1 0,1 1 1,-1-1-1,0 0 0,5 0 0,-6 0-14,1 1 0,-1-1 0,1 0 0,0 0 0,-1 0-1,1 0 1,0-1 0,-1 1 0,1-1 0,0 1-1,-1-1 1,1 0 0,-1 0 0,0 0 0,1 0 0,-1-1-1,0 1 1,4-3 0,-5 1 29,1 0 0,0 0 0,-1 0 0,0 0 0,1 0 0,-1 0 0,0 0 0,-1 0 0,1-1 1,-1 1-1,1 0 0,-1-1 0,0 1 0,0-6 0,0 6 11,0 0 1,0 0 0,0 0-1,-1 0 1,1 0-1,-1 0 1,0 0 0,0-1-1,0 2 1,0-1-1,0 0 1,0 0 0,-4-5-1,3 6 3,0 1-1,0-1 0,0 0 1,0 1-1,-1-1 0,1 1 1,0 0-1,-1 0 0,1 0 1,-1 0-1,1 0 0,-1 0 1,1 1-1,-1-1 1,0 1-1,1 0 0,-4 0 1,4 0-2,-1-1 0,1 1 0,-1 0 0,1 0 1,0 1-1,-1-1 0,1 0 0,-1 1 1,1 0-1,0-1 0,-1 1 0,1 0 0,0 0 1,0 0-1,0 0 0,0 1 0,-4 2 0,4-1 2,0-1 0,0 1-1,0 0 1,0 0-1,1 0 1,-1 1 0,1-1-1,-1 0 1,1 1-1,0-1 1,0 7-1,-1 0 3,0 0 0,1 0 0,0 1-1,1-1 1,0 0 0,1 1 0,0-1 0,0 0-1,4 11 1,-3-16-4,-1 0-1,2 0 0,-1 0 1,0 0-1,1 0 1,0 0-1,0-1 1,1 1-1,-1-1 1,1 0-1,0 0 1,0 0-1,0-1 1,1 1-1,-1-1 0,1 0 1,0 0-1,6 2 1,-4-2-2,0 0 0,0 0 0,0-1 0,1 0 0,-1 0 1,0-1-1,1 0 0,0 0 0,-1 0 0,1-1 0,-1-1 0,1 1 0,0-1 0,8-2 1,-10 1-5,0-1 1,-1 1 0,1-1 0,0 0 0,-1 0-1,0 0 1,0-1 0,0 0 0,0 0 0,0-1-1,-1 1 1,0-1 0,0 0 0,0 0 0,-1 0-1,1 0 1,2-8 0,-1 2 14,0 0 1,-1-1-1,0 1 1,-1-1-1,0 0 1,1-18-1,-1-75 27,-3 73-20,-1 19 25,0-1-1,0 1 0,-5-19 1,5 26 64,-1 0 0,0 0 1,0 0-1,0 1 0,-1-1 1,0 1-1,0 0 0,0-1 0,0 2 1,-5-6-1,8 10-110,-1 0 1,1-1-1,0 1 1,0 0-1,-1 0 0,1 0 1,0 0-1,-1 0 1,1 0-1,0 0 0,0 0 1,-1 0-1,1 0 0,0 0 1,-1 0-1,1 0 1,0 0-1,0 0 0,-1 0 1,1 0-1,0 0 0,-1 0 1,1 0-1,0 0 1,0 0-1,-1 0 0,1 1 1,0-1-1,0 0 0,-1 0 1,1 0-1,0 0 1,0 1-1,0-1 0,-1 0 1,1 0-1,0 1 1,0-1-1,0 0 0,0 0 1,0 1-1,-1-1 0,1 0 1,0 0-1,0 1 1,0-1-1,0 0 0,0 1 1,0-1-1,0 0 0,0 0 1,0 1-1,0-1 1,-5 21-105,5-19 115,-4 24-9,1 0 1,1 1-1,1-1 0,1 0 1,2 0-1,0 0 0,2 0 0,1 0 1,1 0-1,12 32 0,-16-53-17,0 1 0,0-1 1,1 0-1,0 0 0,0 0 0,0 0 0,1 0 0,-1-1 0,1 1 0,0-1 0,0 0 0,1 0 1,-1-1-1,1 1 0,0-1 0,0 0 0,0 0 0,0-1 0,0 0 0,1 1 0,-1-2 1,1 1-1,0-1 0,-1 0 0,1 0 0,0 0 0,-1-1 0,1 0 0,0 0 0,7-1 0,-9 0 15,1 0-1,-1 0 0,0 0 1,1-1-1,-1 1 0,0-1 0,0 0 1,0 0-1,0-1 0,-1 1 1,1-1-1,0 0 0,-1 0 1,0 0-1,0 0 0,0-1 0,0 1 1,0-1-1,-1 0 0,0 0 1,0 0-1,0 0 0,0 0 0,2-8 1,1-3 41,0-1 0,-1 0 0,-1 0 0,-1 0 0,1-26 1,-2 19 105,-1 1 0,0-1 1,-2 1-1,-1 0 0,-1 0 1,-1 0-1,0 0 1,-14-32-1,15 96 131,5-8-277,2 1 0,2-1 1,1 0-1,1-1 0,2 1 1,1-1-1,16 34 0,-19-50 15,-5-10-31,1-1 1,-1 1-1,1-1 1,0 0-1,1 0 0,0 0 1,6 8-1,4-13-8148,-5-1 2377</inkml:trace>
  <inkml:trace contextRef="#ctx0" brushRef="#br0" timeOffset="3802.49">3953 1 13558,'0'0'12891,"-3"1"-12458,2 0-411,0 0 0,0 1 0,0-1 0,0 0 0,0 1-1,0-1 1,0 0 0,0 1 0,0-1 0,0 1 0,1-1 0,-1 1 0,1 0 0,-1-1 0,1 1 0,0 0 0,0-1 0,-1 1 0,1 3 0,1 44 565,0-27-258,3 102 483,5-1 1,5 0-1,49 191 0,-63-314-894,0 0-1,0-1 1,0 1-1,0 0 1,0 0-1,0 0 0,1 0 1,-1 0-1,0 0 1,0 0-1,0 0 1,0 0-1,0 0 0,0-1 1,0 1-1,1 0 1,-1 0-1,0 0 1,0 0-1,0 0 1,0 0-1,0 0 0,1 0 1,-1 0-1,0 0 1,0 0-1,0 0 1,0 0-1,0 0 0,1 0 1,-1 0-1,0 0 1,0 0-1,0 1 1,0-1-1,0 0 0,0 0 1,1 0-1,-1 0 1,0 0-1,0 0 1,0 0-1,0 0 1,0 0-1,0 1 0,0-1 1,0 0-1,0 0 1,0 0-1,1 0 1,-1 0-1,0 0 0,0 1 1,0-1-1,0 0 1,0 0-1,0 0 1,0 0-1,7-18-3130,-2 3-388,7-8-3970</inkml:trace>
  <inkml:trace contextRef="#ctx0" brushRef="#br0" timeOffset="5480.5">4331 364 4370,'0'0'16018,"-5"-2"-15007,3 0-952,-1 1 0,1 0 0,0 0 0,-1 0 0,1 0 0,-1 0 0,0 1 0,1-1 0,-1 1 0,0-1 0,1 1 0,-1 0-1,0 0 1,1 0 0,-1 0 0,0 1 0,1-1 0,-1 1 0,0 0 0,1 0 0,-1-1 0,1 2 0,0-1 0,-1 0 0,1 0 0,0 1 0,-1-1 0,1 1 0,0 0 0,-2 2 0,-2 6-26,1-1 0,0 1 0,1 0 0,0 0 0,1 0 0,0 1 0,0-1 1,1 1-1,-1 21 0,2-1 24,1 1 1,4 35 0,-4-62-54,1 0 0,-1-1 0,1 1 0,0 0 0,0-1 0,1 1 0,-1 0 1,1-1-1,0 0 0,1 1 0,-1-1 0,1 0 0,-1 0 0,1 0 0,0-1 0,1 1 0,-1-1 0,1 1 0,-1-1 0,1 0 1,0-1-1,0 1 0,0-1 0,1 0 0,-1 1 0,1-2 0,-1 1 0,1-1 0,-1 1 0,1-1 0,0 0 0,0-1 0,4 1 1,-1-1-9,-1 0 0,1 0 0,-1-1 0,0 0 0,1 0 0,-1 0 0,0-1 0,0 0 0,0-1 0,0 1 0,-1-2 0,1 1 0,-1-1 0,1 1 1,-1-2-1,0 1 0,-1-1 0,1 0 0,-1 0 0,7-8 0,-7 7 15,0-1-1,0 1 1,0-1 0,-1 0-1,0-1 1,0 1 0,-1 0-1,0-1 1,0 0 0,2-11-1,-2-2 51,-1 0-1,0-38 1,-2 58-58,0 1 0,0-1 0,0 1 0,0 0 0,0-1 1,0 1-1,0 0 0,0-1 0,0 1 0,0 0 0,0-1 0,0 1 0,0 0 1,-1-1-1,1 1 0,0 0 0,0-1 0,0 1 0,-1 0 0,1 0 1,0-1-1,0 1 0,-1 0 0,1 0 0,0-1 0,-1 1 0,1 0 1,0 0-1,0 0 0,-1 0 0,1-1 0,0 1 0,-1 0 0,1 0 1,-1 0-1,1 0 0,0 0 0,-1 0 0,1 0 0,0 0 0,-1 0 1,1 0-1,0 0 0,-1 0 0,1 0 0,0 0 0,-1 0 0,1 1 0,0-1 1,-1 0-1,0 1-8,0-1 0,0 0 1,0 1-1,0-1 0,0 1 1,0 0-1,0-1 0,0 1 1,0 0-1,0 0 0,0 0 1,0-1-1,1 1 0,-1 0 1,0 2-1,-1 1 2,1 0-1,-1 0 1,1 0-1,0 1 1,1-1-1,-1 0 1,1 1-1,0-1 1,0 1-1,0-1 1,1 0-1,-1 1 1,2 5-1,-1-8 7,0 0-1,0 0 0,0 0 1,0 0-1,0 0 0,0 0 0,0 0 1,0 0-1,1-1 0,-1 1 1,1 0-1,0-1 0,-1 1 1,1-1-1,0 0 0,0 1 0,0-1 1,0 0-1,0 0 0,0 0 1,0 0-1,0-1 0,0 1 0,1-1 1,-1 1-1,3-1 0,0 1-24,0 0 0,0-1 0,0 0 0,0 0-1,0 0 1,0-1 0,0 1 0,0-1-1,0 0 1,0-1 0,-1 1 0,9-5 0,-10 4 9,-1 0 1,0 0-1,0 0 1,0 0 0,0-1-1,0 1 1,0 0 0,0-1-1,-1 0 1,0 1-1,1-1 1,-1 0 0,0 0-1,0 0 1,0 0-1,-1 0 1,1 0 0,-1 0-1,0 0 1,0 0 0,0 0-1,0-3 1,0 0 27,0 0 0,-1 0-1,1 0 1,-1 0 0,0 0 0,-1 1 0,0-1 0,0 0 0,-4-9 0,5 13-10,-1 0 0,1 1 1,0-1-1,-1 0 1,1 1-1,-1-1 1,1 1-1,-1-1 1,0 1-1,0 0 0,0 0 1,0 0-1,1 0 1,-1 0-1,-1 0 1,1 0-1,0 1 1,0-1-1,0 1 0,0-1 1,0 1-1,-1 0 1,1 0-1,0 0 1,0 0-1,0 0 1,0 1-1,-1-1 0,1 0 1,-3 2-1,3-1-5,0 0 0,1 0 0,0 0 0,-1 0 0,1 0 0,0 1 0,-1-1 0,1 0 0,0 1-1,0-1 1,0 1 0,0-1 0,1 1 0,-1-1 0,0 1 0,0-1 0,1 1 0,-1 0 0,1-1 0,0 1 0,-1 3-1,-3 42-13,4-45 14,0 1 11,-1 11 18,0 0 1,2 1-1,0-1 0,0 0 1,5 16-1,-5-26-31,0 0 1,1 0-1,0 0 0,-1 0 0,1-1 1,1 1-1,-1-1 0,0 0 0,1 0 1,0 1-1,0-2 0,0 1 0,0 0 1,0 0-1,0-1 0,1 0 0,-1 0 1,1 0-1,0 0 0,-1 0 0,1-1 1,7 2-1,-6-1-18,1 0 0,-1-1-1,1 0 1,0 0 0,-1 0 0,1-1-1,0 0 1,0 0 0,0 0 0,-1-1-1,1 1 1,0-1 0,0-1 0,-1 1-1,1-1 1,-1 0 0,0 0 0,1-1-1,-1 0 1,0 0 0,0 0 0,-1 0-1,1-1 1,-1 0 0,0 0 0,1 0-1,-2 0 1,1-1 0,0 1 0,-1-1-1,0 0 1,0 0 0,4-10 0,-1-1 23,0-1 0,0 0 1,-2 0-1,0-1 0,-1 1 0,1-27 1,-2-1 86,-7-62-1,2 84 230,-1 0 0,-2 1-1,0-1 1,-1 1 0,-1 1-1,-18-34 1,24 56 400,1 9-613,0 14-203,14 211 160,-7-191-27,1-1-1,3 0 1,20 57 0,-29-97-46,0 0 0,1 0 1,-1 0-1,1 0 0,0 0 1,0 0-1,0-1 0,0 1 1,0-1-1,1 1 0,-1-1 1,1 0-1,0 0 0,-1 0 1,1 0-1,0-1 1,0 1-1,0-1 0,0 1 1,1-1-1,-1 0 0,0-1 1,0 1-1,1 0 0,-1-1 1,0 0-1,1 0 0,-1 0 1,0 0-1,1 0 0,-1-1 1,0 1-1,1-1 0,-1 0 1,0 0-1,0 0 1,0 0-1,0-1 0,0 0 1,0 1-1,0-1 0,0 0 1,-1 0-1,1 0 0,-1-1 1,4-3-1,2-4 0,-1 1-1,-1-1 1,1-1-1,-2 1 1,0-1-1,0 0 1,-1 0-1,0 0 1,-1-1-1,0 0 1,1-14-1,1-16 16,-3-78 1,-3 74 29,2 33 51,-2 0 0,1-1-1,-2 1 1,0 0 0,-5-20 0,7 33-83,0-1 1,0 1-1,0 0 1,0 0-1,0 0 0,0-1 1,0 1-1,-1 0 1,1 0-1,0 0 0,0 0 1,0-1-1,0 1 1,0 0-1,0 0 1,0 0-1,-1 0 0,1 0 1,0 0-1,0-1 1,0 1-1,0 0 0,-1 0 1,1 0-1,0 0 1,0 0-1,0 0 1,-1 0-1,1 0 0,0 0 1,0 0-1,0 0 1,0 0-1,-1 0 0,1 0 1,0 0-1,0 0 1,0 0-1,-1 0 1,1 0-1,0 0 0,0 0 1,0 0-1,-1 0 1,1 0-1,0 0 0,0 1 1,0-1-1,0 0 1,-1 0-1,1 0 1,0 0-1,0 0 0,0 0 1,0 1-1,0-1 1,0 0-1,0 0 0,-1 0 1,1 0-1,0 1 1,0-1-1,0 0 1,0 0-1,0 0 0,0 1 1,0-1-1,-7 14-88,0 12 98,0 1 1,2 0 0,1 0-1,1 0 1,1 1 0,2-1-1,3 37 1,-2-57-9,0 1 1,1 0-1,-1-1 0,1 1 0,1-1 1,-1 1-1,1-1 0,1 0 0,-1 0 1,1 0-1,0-1 0,6 7 0,-8-10-24,1 1 0,0-1 0,1 0 0,-1 0 0,0-1 0,1 1 1,0-1-1,0 0 0,-1 1 0,1-2 0,0 1 0,1 0 0,-1-1 0,0 0 0,0 0 0,1 0 0,-1 0 0,0-1 0,1 0 0,-1 0 0,1 0 0,5-1 0,-7 0 18,0 0 1,0 0-1,0-1 0,0 1 1,0-1-1,0 1 0,-1-1 1,1 0-1,-1 0 1,1 0-1,-1 0 0,0-1 1,0 1-1,0-1 0,0 1 1,0-1-1,2-4 1,24-54 43,-25 52 13,3-8-20,0-1-1,-1 0 1,-1 0 0,-1 0-1,0 0 1,-2-1 0,0-21-1,-1 39 43,2 17-148,1-7 95,2 0-1,-1 0 1,1 0-1,1-1 0,-1 0 1,1 0-1,1 0 0,13 12 1,5 8-39,-13-14 5,-7-9 6,0 0 1,0 1 0,0 0 0,-1 0-1,0 0 1,0 0 0,0 1 0,-1 0-1,0 0 1,0 0 0,-1 0-1,0 0 1,0 0 0,0 1 0,0 7-1,-3-14 3,1 0 0,0 0 0,-1 0 0,1 0-1,-1-1 1,1 1 0,-1 0 0,1 0 0,-1 0-1,1-1 1,-1 1 0,0 0 0,1-1 0,-1 1-1,0 0 1,0-1 0,0 1 0,1-1 0,-1 1 0,0-1-1,0 0 1,0 1 0,0-1 0,0 0 0,0 0-1,0 1 1,0-1 0,0 0 0,-1 0 0,-35 2-69,33-2 47,-43 0-902,-19 1-2404,22-3-2635,7-3-4135</inkml:trace>
  <inkml:trace contextRef="#ctx0" brushRef="#br0" timeOffset="8111.13">0 1030 2369,'0'-2'15045,"7"-5"-14616,13 2-316,-1 1 1,1 1 0,0 0-1,0 2 1,0 1 0,24 2-1,1-2 127,-31 0-174,326-5 364,-169 5-466,3-1 280,-79-6 385,43-2-327,597 9 1174,-573 13-1378,-58-2-10,467-2 1121,-359-10-1100,-152-2 121,63-11 0,-1 0-23,566 1 535,-482 14-219,69 8-211,-178-9-116,157-20 0,-53-14-28,138-19 139,-265 47-274,99 5 0,-82 2-35,-91-1 0,1 0-4,0-1-1,0 1 1,0 0 0,0 0 0,0 0 0,0 0-1,0 0 1,0 0 0,0 0 0,0 0 0,0 0-1,0 0 1,0 0 0,0 1 0,0-1-1,0 0 1,-1 1 0,1-1 0,0 1 0,0-1-1,0 1 1,0-1 0,0 1 0,-1 0 0,1-1-1,0 1 1,-1 0 0,1 0 0,0-1 0,-1 1-1,1 0 1,-1 0 0,1 1 0,-21-2-2566,-8 0-582,-3 0-2832</inkml:trace>
</inkml:ink>
</file>

<file path=xl/ink/ink3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4:34.199"/>
    </inkml:context>
    <inkml:brush xml:id="br0">
      <inkml:brushProperty name="width" value="0.05" units="cm"/>
      <inkml:brushProperty name="height" value="0.05" units="cm"/>
      <inkml:brushProperty name="color" value="#F6630D"/>
    </inkml:brush>
  </inkml:definitions>
  <inkml:trace contextRef="#ctx0" brushRef="#br0">16 513 4162,'0'0'13265,"-4"0"-12230,-7 0 678,46 3-665,272 17 662,-102-19-5441,-200-1 3514,20-1-3822,-17-5-726</inkml:trace>
  <inkml:trace contextRef="#ctx0" brushRef="#br0" timeOffset="281.89">436 419 7459,'0'0'12222,"2"1"-11736,4 3-456,0 0 1,-1 1 0,0 0 0,0 0 0,0 0 0,0 1 0,6 9 0,27 49 169,-30-51-165,-6-8-43,1 0-1,-1 0 0,1 0 0,-1 1 0,-1-1 1,1 0-1,-1 1 0,0-1 0,0 1 0,-1-1 0,1 1 1,-2 8-1,1-13 8,-1 0 1,1 0-1,-1 0 1,0 0-1,1 0 1,-1 0-1,0 0 0,0 0 1,0 0-1,0 0 1,0 0-1,0 0 1,0-1-1,0 1 1,0 0-1,0-1 1,-1 1-1,1-1 1,0 1-1,0-1 1,0 1-1,-1-1 0,1 0 1,0 0-1,-1 0 1,-1 0-1,-42 3-2153,39-3 1017,0-2-1640,4-4-1830</inkml:trace>
  <inkml:trace contextRef="#ctx0" brushRef="#br0" timeOffset="1660.31">1157 321 5026,'0'0'13452,"-1"-10"-12006,1-3-910,-1-8-7,1 0 2738,2 76-3123,15 76-1,0-1 219,-10-45 1919,-8-205-1876,3-139-325,-2 251-99,0 0 0,1 0-1,0 1 1,1-1-1,0 0 1,0 1 0,1 0-1,0-1 1,0 1 0,7-11-1,-8 15-4,1-1 0,-1 1-1,1 0 1,0 0 0,0 1 0,0-1-1,0 0 1,1 1 0,-1 0 0,1 0-1,0 0 1,-1 0 0,1 1-1,0-1 1,0 1 0,0 0 0,0 0-1,0 0 1,0 1 0,0-1 0,6 1-1,-5 0 23,0-1-1,0 1 0,1 1 1,-1-1-1,0 1 0,0-1 1,0 1-1,0 1 0,0-1 1,0 1-1,0 0 0,0 0 1,0 0-1,-1 1 0,1 0 1,-1 0-1,0 0 0,0 0 1,0 1-1,0-1 0,-1 1 1,1 0-1,-1 0 0,4 7 1,3 7 0,-1 2 1,-1-1-1,-1 1 1,0 0-1,-2 0 1,0 1-1,-2 0 1,2 23 0,-2-19 13,0-1 1,2 0 0,1 0 0,1 0 0,14 34 0,-20-57-125,-1 1 1,1-1 0,-1 0-1,1 1 1,0-1 0,-1 0-1,1 0 1,0 0-1,0 0 1,0 1 0,0-1-1,0 0 1,1-1 0,-1 1-1,0 0 1,0 0 0,0 0-1,1-1 1,-1 1 0,0-1-1,1 1 1,2 0-1</inkml:trace>
  <inkml:trace contextRef="#ctx0" brushRef="#br0" timeOffset="1862.66">1313 487 3394,'0'0'13382,"-25"-19"-13078,29 19-304,19-2 0,7 0 720,7-2-672,7 0-96,4 1-976,0-5-2482,-1-1-4754</inkml:trace>
  <inkml:trace contextRef="#ctx0" brushRef="#br0" timeOffset="2221.73">1742 201 6611,'0'0'17208,"-2"-6"-16008,-4-15-218,4 16 53,2 17-923,3 36 107,2 0-1,2-1 0,2 0 1,2 0-1,24 64 0,-29-99-248,-5-11-371,0-1 0,0 1-1,-1-1 1,1 1 0,0-1-1,0 1 1,0-1 0,0 1-1,0-1 1,0 0 0,0 0-1,0 1 1,0-1 0,0 0-1,0 0 1,0 0 0,2 0-1,11 0-5931</inkml:trace>
  <inkml:trace contextRef="#ctx0" brushRef="#br0" timeOffset="3606.98">2220 270 6227,'0'0'12907,"-7"-8"-11786,-23-26-241,30 33-852,-1 0 0,1 0-1,-1 0 1,0 0 0,0 0 0,1 0 0,-1 1-1,0-1 1,0 0 0,0 1 0,0-1 0,0 1-1,0-1 1,0 1 0,0-1 0,0 1-1,0 0 1,0-1 0,0 1 0,0 0 0,0 0-1,0 0 1,0 0 0,0 0 0,-1 0 0,1 0-1,0 0 1,0 0 0,0 0 0,0 1 0,0-1-1,0 1 1,0-1 0,0 0 0,0 1 0,0 0-1,0-1 1,0 1 0,0-1 0,0 1-1,1 0 1,-1 0 0,0 0 0,0 1 0,-2 2 9,0 0 1,1 0-1,-1 1 0,1-1 1,0 1-1,-2 8 1,-1 6-7,2-1 0,0 1 1,0 0-1,2 0 0,1 0 1,1 22-1,0-32-23,0-1-1,0 1 1,1-1-1,0 1 0,1-1 1,-1 0-1,2 0 1,-1 0-1,1 0 1,0 0-1,1-1 1,0 0-1,0 0 1,0 0-1,11 10 1,-11-13 0,1-1 0,-1 0 0,1 0 0,-1 0 0,1 0 0,0-1 0,0 0 0,0-1 0,1 1 0,-1-1 1,0 0-1,0 0 0,1-1 0,8 0 0,-11 0-1,1-1 0,-1 1 0,0-1 0,1 1 0,-1-1-1,0-1 1,0 1 0,1 0 0,-1-1 0,0 0 0,-1 0 0,1 0 0,0-1 0,0 1 0,-1-1 0,0 0 0,1 0 0,-1 0-1,0 0 1,4-7 0,-3 1 27,0-1-1,-1 1 1,0-1-1,-1 1 1,0-1-1,-1 0 0,1 0 1,-2 0-1,0 0 1,-1-13-1,1 3 264,-6 36-690,6-10 283,0-1-1,0 1 1,0-1-1,1 0 1,0 1 0,0-1-1,0 0 1,3 6-1,-3-9 19,0 0-1,0 0 1,1 0-1,-1-1 1,1 1 0,-1-1-1,1 1 1,0-1-1,0 0 1,0 0 0,-1 1-1,1-1 1,0 0-1,0-1 1,0 1 0,1 0-1,-1-1 1,0 1-1,0-1 1,0 1 0,0-1-1,1 0 1,2 0-1,-1 0 37,-1 0 0,1 0-1,0 0 1,-1 0 0,1 0-1,-1-1 1,1 0 0,-1 0-1,1 0 1,-1 0 0,0 0-1,1-1 1,-1 1 0,4-3 0,-5 2 62,0-1 1,0 1-1,0 0 1,0-1 0,0 1-1,0-1 1,-1 1-1,1-1 1,-1 0 0,0 1-1,0-1 1,0 0 0,0 0-1,0 0 1,-1 0-1,1 0 1,-1-5 0,1-2 172,-1 0 0,0 0 0,0 1 0,-1-1 0,-4-18 0,4 24-75,0 0 0,0 0 1,-1-1-1,0 1 0,0 1 0,0-1 1,0 0-1,-1 0 0,0 1 1,1 0-1,-1-1 0,0 1 0,-1 0 1,1 0-1,-6-3 0,8 5-95,0 0 0,0 1-1,0-1 1,0 0 0,0 1-1,0-1 1,0 1 0,0-1-1,0 1 1,0 0 0,0-1-1,0 1 1,0 0 0,-1 0-1,1 0 1,0 0 0,0 0-1,0 0 1,0 0 0,-1 0-1,1 0 1,0 1 0,0-1-1,0 0 1,0 1 0,0-1-1,0 1 1,0-1 0,0 1-1,0-1 1,0 1 0,0 0 0,0 0-1,0-1 1,0 1 0,1 0-1,-1 0 1,0 0 0,1 0-1,-1 0 1,0 0 0,1 0-1,-1 0 1,1 0 0,0 0-1,-1 0 1,1 2 0,-3 6-10,1 0-1,0 0 1,1 0 0,-1 15 0,0-6 12,2-1 1,0 0-1,1 1 0,1-1 1,0 0-1,6 18 0,-7-29-42,1-1 0,0 0 0,0 0-1,0 0 1,1-1 0,0 1 0,0-1 0,0 1-1,0-1 1,1 0 0,0 0 0,0 0 0,0-1-1,0 1 1,0-1 0,1 0 0,0 0 0,-1-1-1,1 0 1,0 1 0,0-1 0,0-1 0,11 3-1,-10-2 29,1-1 0,-1 0 0,1 0 0,-1-1 0,1 0-1,0 0 1,-1 0 0,1-1 0,-1 0 0,1 0 0,-1-1-1,1 0 1,-1 0 0,0 0 0,0-1 0,0 0 0,0 0-1,0 0 1,7-6 0,-6 1 72,0 1-1,0-1 1,0 0 0,-1 0-1,0-1 1,-1 0 0,0 0-1,0 0 1,-1 0-1,0-1 1,5-19 0,-1-12 277,-1 0 1,-2-1-1,-2 0 1,-3-51 0,0 79-255,-1-3 130,-1 0 1,-1-1 0,-1 1-1,0 0 1,-1 0-1,-1 1 1,-9-19 0,10 22 138,1 10 84,1 10-392,0 11-154,-2 63 119,7 93-1,0-150-10,0 1-1,10 39 1,-10-55-14,0-1 0,1 1 0,0-1 0,1 1 0,0-1 1,0 0-1,1 0 0,0-1 0,0 0 0,9 11 0,-9-15-31,0 0-1,0 0 1,0 0-1,0-1 1,0 1 0,0-1-1,0-1 1,1 1-1,-1-1 1,1 0 0,-1 0-1,1 0 1,0-1-1,-1 0 1,1 0-1,0 0 1,-1-1 0,1 0-1,-1 0 1,1 0-1,-1-1 1,1 0 0,-1 0-1,0 0 1,0-1-1,0 1 1,0-1-1,-1 0 1,7-6 0,-4 1 32,0 0 1,-1 0-1,0-1 1,-1 0-1,0 0 1,0-1-1,-1 1 1,0-1-1,-1 0 1,0 0-1,0 0 1,1-12-1,0-13 24,-2-1-1,-2-43 0,-1 60-3,0 2 157,0-1-1,-2 1 0,0 0 1,0 1-1,-2-1 0,-12-29 1,13 77 178,5 0-294,2-1 0,0 0-1,3 0 1,0-1 0,2 0-1,1 0 1,17 38 0,-3-17 9,-14-35-91,-1 2-1,-1-1 1,9 33-1,-16-48-72,1 0 0,-1 0-1,0 0 1,0 0 0,0 0-1,1 0 1,-1 0-1,0 0 1,0 0 0,0 1-1,0-1 1,-1 0 0,1 0-1,0 0 1,0 0 0,-1 0-1,1 0 1,-1 0-1,1 0 1,0 0 0,-1 0-1,0 0 1,1-1 0,-1 1-1,0 0 1,1 0-1,-1 0 1,0-1 0,-2 2-1,0 0-448,0-1 0,-1 0-1,1-1 1,-1 1 0,1 0 0,-1-1-1,-5 0 1,4 0 135,-36 1-6832</inkml:trace>
  <inkml:trace contextRef="#ctx0" brushRef="#br0" timeOffset="4399.42">1194 835 3009,'6'-5'20665,"-1"4"-21395,61-2 919,1-4 1,96-21-1,-143 21 151,-3 1-956,-7 4-3398</inkml:trace>
  <inkml:trace contextRef="#ctx0" brushRef="#br0" timeOffset="7332.54">1839 772 2481,'0'0'4576,"-9"-9"-102,94 1-3978,-66 7-1469,-16 1 212,-6 0-202,-35 0 2403,0 2 1,-50 9 0,109-10-86,10 0-4122,-14-1-1805</inkml:trace>
</inkml:ink>
</file>

<file path=xl/ink/ink3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4:58.130"/>
    </inkml:context>
    <inkml:brush xml:id="br0">
      <inkml:brushProperty name="width" value="0.05" units="cm"/>
      <inkml:brushProperty name="height" value="0.05" units="cm"/>
      <inkml:brushProperty name="color" value="#F6630D"/>
    </inkml:brush>
  </inkml:definitions>
  <inkml:trace contextRef="#ctx0" brushRef="#br0">1 394 1088,'0'0'17424,"0"-10"-15839,0-42 1307,0 55-2833,2 13-72,0 1 1,1-1 0,1 0-1,8 23 1,4 19 53,-2 2-17,42 227 176,-52-351 101,-6 36-309,-1 0 0,-1-1 1,-13-40-1,9 35 61,-8-60 0,14 79-53,0-4 19,1-1 0,1 1 0,3-34 1,-2 49-32,-1 0 0,1 0 0,0 0 0,0 0 0,0 0 0,1 0 0,-1 0 0,1 0 0,0 1 0,0-1 0,0 1 0,1-1 0,-1 1 0,1 0 0,0 0 0,0 0 0,0 0 0,0 1 0,0-1 0,1 1 0,-1 0 0,1 0 0,5-3 0,-7 4 10,1 1-1,-1-1 1,1 1 0,-1 0-1,0-1 1,1 1 0,-1 0 0,1 0-1,-1 0 1,1 1 0,-1-1-1,0 1 1,1-1 0,-1 1-1,0 0 1,1 0 0,-1 0-1,0 0 1,0 0 0,0 0-1,0 1 1,0-1 0,0 1-1,0-1 1,0 1 0,-1 0-1,3 3 1,4 5-15,-1 0-1,0 1 0,0 0 1,4 13-1,-4-11 14,-1 0-51,-1 0 1,0 1-1,0 0 0,-2 0 1,0 1-1,0-1 1,-1 0-1,-1 1 1,-1 0-1,-1 18 0,1-28 34,-1 0 0,1-1-1,-1 1 1,0 0-1,0 0 1,-1-1-1,0 1 1,1-1 0,-2 1-1,1-1 1,0 0-1,-1 0 1,0 0 0,0 0-1,0 0 1,0-1-1,0 1 1,-1-1-1,0 0 1,0 0 0,0 0-1,-7 4 1,2-3 51,-1 1 0,0-2 0,0 1 0,0-1 0,-1 0 0,1-1 0,-1-1 0,1 0 0,-16 0 0,26-1 149,13 5-342,13 9 352,27 21 1,13 7-1388,-21-20-3449,-32-18 461,0-3-2897</inkml:trace>
  <inkml:trace contextRef="#ctx0" brushRef="#br0" timeOffset="263.27">445 603 5426,'0'0'10128,"-6"-3"-9784,2 2-282,-1-1 44,1 0-1,-1 0 0,1 1 0,-1 0 1,0 0-1,1 0 0,-9 0 0,13 14-6782,0-5 682</inkml:trace>
  <inkml:trace contextRef="#ctx0" brushRef="#br0" timeOffset="1617.53">229 240 7043,'0'0'14031,"-8"-3"-13364,4 1-622,3 1-28,0 1 0,0-1 0,-1 0 0,1 0 0,-1 1 0,1-1-1,-1 1 1,1-1 0,-1 1 0,1 0 0,-1 0 0,1 0 0,-1-1 0,1 1 0,-1 1-1,1-1 1,-1 0 0,1 0 0,-1 0 0,1 1 0,-1-1 0,1 1 0,-1-1 0,1 1-1,0 0 1,-1 0 0,1-1 0,0 1 0,-1 0 0,1 0 0,0 0 0,0 0 0,0 0-1,0 1 1,0-1 0,0 0 0,0 0 0,0 3 0,-8 13 132,1 1 1,0 0-1,2 1 0,0 0 0,1 0 1,1 0-1,-2 25 0,1 138 521,6-167-637,-1-5-22,0 0 1,2 0 0,-1 0-1,1 0 1,0 0 0,1 0-1,1-1 1,-1 1 0,1-1-1,1 0 1,0 0-1,7 10 1,-7-13-12,0 0-1,0 0 0,1-1 1,0 1-1,0-1 1,0 0-1,0-1 0,1 0 1,0 0-1,0 0 1,0-1-1,0 0 1,1 0-1,-1-1 0,1 0 1,9 1-1,-5-1 12,0 0 0,0-1-1,0-1 1,0 0 0,18-2-1,-26 1-17,1 0 1,-1 0-1,0-1 0,1 1 0,-1-1 0,0 0 1,0 0-1,0 0 0,0-1 0,0 0 0,-1 1 0,1-1 1,-1 0-1,0-1 0,0 1 0,0-1 0,3-4 1,-1 0-3,-1 0 0,0 0 0,-1 0 0,0 0 1,0-1-1,-1 1 0,0-1 0,2-13 0,-2 3 19,-2 0-1,-2-38 1,2 56-13,0-1 0,0 1 0,0-1 0,0 1 0,0-1 0,-1 1 0,1-1 0,0 1 0,-1-1 0,1 1 0,-1-1 0,0 1 0,0 0 0,1-1 0,-1 1 0,0 0 0,0 0 0,0 0 0,0 0 0,0 0 0,0 0 0,-1 0 0,-1-2 0,2 3-59,-5 23-188,6-16 239,0-1 1,1 1-1,-1-1 1,1 0-1,0 1 1,1-1-1,0 0 1,0 0-1,0 0 1,6 11-1,-6-14-38,1 0 0,-1 0 0,1 0 0,0 0 0,0-1 0,0 1 0,0-1 0,0 1 0,0-1 0,1 0 0,-1-1 0,1 1 0,0 0 0,-1-1-1,1 0 1,0 0 0,0 0 0,0 0 0,5 0 0,-6-1 22,1 1 0,-1-1 0,0 0 0,0 0 0,0 0 0,1 0 0,-1 0 0,0-1 0,0 0 0,0 1 0,0-1 1,0 0-1,0-1 0,0 1 0,5-3 0,-5 1 11,-1 1 1,0-1 0,0 0 0,0 0 0,0 0 0,0 0-1,0 0 1,-1 0 0,1 0 0,-1-1 0,0 1 0,0 0-1,0-1 1,0-3 0,1-6 63,0 0-1,-1 1 1,0-1-1,0 0 1,-2 0-1,-2-19 1,3 30-41,0-1 1,-1 1-1,1 0 1,-1 0-1,1-1 1,-1 1-1,0 0 1,0 0-1,0 0 1,0 0-1,0 0 1,0 0-1,0 0 1,-1 0-1,1 0 1,-1 1-1,1-1 1,-1 1-1,0-1 1,0 1-1,0-1 1,0 1-1,0 0 1,0 0-1,0 0 1,0 0-1,0 0 1,0 1-1,0-1 1,-1 1-1,1-1 0,0 1 1,-1 0-1,1 0 1,0 0-1,0 0 1,-1 0-1,1 0 1,0 1-1,0-1 1,-1 1-1,1 0 1,0 0-1,-2 0 1,2 1-8,0-1-1,0 0 1,0 0 0,0 0 0,0 1-1,0-1 1,1 1 0,-1 0 0,0-1 0,1 1-1,0 0 1,-1 0 0,1 0 0,0 0-1,0 0 1,0 0 0,0 0 0,1 1 0,-1-1-1,0 3 1,-1 3-2,0 1 1,1-1-1,0 1 0,1 9 0,0-14 2,-1 15-10,2-1-1,0 0 1,4 23-1,-3-34 6,0-1 0,0 1 0,1-1 0,0 1 0,0-1-1,0 0 1,1 0 0,0 0 0,0-1 0,0 0-1,1 1 1,5 4 0,-2-4-93,0 0 0,0-1-1,1 0 1,-1 0 0,1-1 0,1 0 0,-1 0-1,0-1 1,1 0 0,-1-1 0,1 0 0,0-1-1,0 0 1,0 0 0,19-2 0,-25 1 80,0 0 1,0 0-1,0-1 1,0 0-1,0 0 1,0 0-1,0 0 0,0 0 1,0-1-1,0 0 1,-1 0-1,1 0 1,-1 0-1,1 0 1,5-6-1,-4 3 25,0-1-1,-1 1 0,0-1 1,0 0-1,0 0 0,-1-1 1,0 1-1,4-11 1,-1-4 118,0 0 0,-2 0 0,-1-1 1,0 1-1,-1-26 0,-1 14 316,-7-62 1,4 85-211,1 0 1,-2 0-1,0 0 0,0 0 1,0 1-1,-1-1 1,-1 1-1,0 0 0,0 0 1,-10-12-1,15 21-218,0-1 0,0 1 1,0 0-1,0 0 0,-1 0 0,1-1 0,0 1 0,0 0 1,0 0-1,0 0 0,-1 0 0,1-1 0,0 1 0,0 0 0,0 0 1,-1 0-1,1 0 0,0 0 0,0 0 0,0 0 0,-1 0 1,1-1-1,0 1 0,0 0 0,-1 0 0,1 0 0,0 0 0,0 0 1,0 0-1,-1 0 0,1 1 0,0-1 0,0 0 0,-1 0 1,1 0-1,0 0 0,0 0 0,0 0 0,-1 0 0,1 0 0,0 0 1,0 1-1,0-1 0,-1 0 0,-5 14 62,1 19-209,5-32 153,-2 22-14,0-1 0,2 1 0,1 0-1,1 0 1,1 0 0,7 28 0,-7-38-18,1-1 1,1 0 0,-1 0 0,2-1 0,0 1-1,0-1 1,1 0 0,0-1 0,1 0 0,0 0-1,1-1 1,19 17 0,-24-23-52,0 0-1,1 0 1,-1 0-1,1-1 1,0 1 0,0-1-1,0 0 1,0-1-1,0 1 1,0-1 0,0 0-1,1 0 1,-1-1-1,0 1 1,8-2-1,-9 1 58,1-1-1,-1 0 1,0 0-1,0 0 1,0 0-1,0-1 1,0 0-1,-1 0 0,1 0 1,-1 0-1,1 0 1,-1-1-1,1 0 1,-1 1-1,0-1 0,0-1 1,-1 1-1,1 0 1,3-7-1,1-2 15,-1-1-1,0 0 0,-1 0 1,0 0-1,-1-1 0,-1 0 1,4-27-1,-4 2 46,-4-63 0,1 89-22,-2 0 0,0 0 0,-4-14 1,5 23 47,0 0 0,0-1 1,-1 1-1,0 0 0,0 0 1,0 0-1,0 0 0,0 0 1,-1 1-1,0-1 0,0 1 1,-4-5-1,7 8-73,0 0-1,-1 0 0,1 0 1,0 0-1,0 0 1,-1 0-1,1 0 1,0 0-1,0 0 1,0 0-1,-1 0 1,1 0-1,0 1 0,0-1 1,0 0-1,-1 0 1,1 0-1,0 0 1,0 0-1,0 0 1,-1 0-1,1 1 1,0-1-1,0 0 1,0 0-1,0 0 0,0 0 1,-1 1-1,1-1 1,0 0-1,0 0 1,0 0-1,0 0 1,0 1-1,0-1 1,0 0-1,0 0 0,0 1 1,0-1-1,0 0 1,0 0-1,0 0 1,0 1-1,0-1 1,0 0-1,-3 13-27,1 10 33,1 0 1,0-1 0,2 1 0,1 0 0,0-1 0,2 1 0,0-1 0,2 0 0,0 0 0,14 30 0,0-12-253,45 67 1,-62-102-287</inkml:trace>
  <inkml:trace contextRef="#ctx0" brushRef="#br0" timeOffset="2300.93">1764 526 0,'0'0'14423,"54"4"-13767,-14-3-80,5-1-544,2 0-16,-2 0-16,-1 0-448,-11-7-1585,-8-4-304,-14-1-1201,-11-1-1232</inkml:trace>
  <inkml:trace contextRef="#ctx0" brushRef="#br0" timeOffset="2518.55">2023 419 3201,'0'0'13471,"-2"-3"-12343,-8-7-592,24 18 29,24 19-65,-28-20-457,-1 1 0,0 0 1,0 1-1,13 16 0,-20-22-65,0 1 1,0-1-1,0 0 0,0 1 0,-1-1 1,1 1-1,-1 0 0,0 0 0,0-1 1,0 1-1,-1 0 0,1 0 0,-1 0 1,0 0-1,0 0 0,0-1 0,-1 1 1,1 0-1,-2 5 0,-11 6-481,4-4-1648,6-4-2841</inkml:trace>
  <inkml:trace contextRef="#ctx0" brushRef="#br0" timeOffset="3032.68">2620 345 13078,'0'0'9423,"1"9"-9266,30 271 337,-38-358-183,2 28-191,2-58 1,4 94-124,0 0 0,0 0 0,2 0 0,0 0 0,0 0 0,1 1 0,1-1 0,11-22 1,-15 34-15,0 0 1,0 0 0,1 0 0,-1 0-1,1 0 1,-1 1 0,1-1 0,-1 1-1,1-1 1,0 1 0,0-1 0,0 1-1,3-2 1,-3 3 8,-1-1 0,1 1 0,-1 0 0,1 0 0,-1 0 0,0 0 0,1 0 0,-1 0 0,1 0 0,-1 0 0,1 1 0,-1-1 0,1 0 0,-1 1 0,0-1 0,1 1 0,-1 0 1,0-1-1,1 1 0,-1 0 0,0 0 0,0 0 0,2 1 0,5 7 17,1 0 0,-1 0 1,-1 1-1,0 0 0,0 0 0,7 16 1,30 73 74,-40-90-81,2 6-212,8 19 430,10 40 0,-21-62-1045,0 1 0,-1 0 0,0 23 0,-1-36 677,-1 1 0,0-1 0,0 0 0,0 1 0,0-1 0,0 0 0,0 1 0,0-1 0,0 0 0,-1 1 0,1-1 0,0 0 0,0 0 0,0 1 0,0-1 0,0 0 0,0 1 0,-1-1 0,1 0 0,0 0 0,0 1 0,0-1 0,-1 0 0,1 0 0,0 1 0,0-1 0,-1 0 0,1 0 0,0 0 0,-1 0 0,1 1 0,0-1 0,0 0 0,-1 0 0,1 0 0,0 0 0,-1 0 0,1 0 0,0 0 0,-1 0 0,1 0 0,0 0 0,-1 0 0,1 0 0,0 0 0,-1 0 0,1 0 0,0 0 0,-1 0 0,1-1 0,-1 1 0,-16 0-7435</inkml:trace>
  <inkml:trace contextRef="#ctx0" brushRef="#br0" timeOffset="3190.55">2652 530 6611,'0'0'11429,"71"-32"-11429,-35 28-64,2 4-1857,1-4-1376,-1 0-3266</inkml:trace>
  <inkml:trace contextRef="#ctx0" brushRef="#br0" timeOffset="3453">3060 236 6675,'0'0'14903,"0"72"-14391,6-37 48,1 3-15,3 1-545,-1-1 208,2-6-160,-1 0 48,-1-8-192,3-3-433,-3-4-959,-3-4-2242,3-3-2257</inkml:trace>
  <inkml:trace contextRef="#ctx0" brushRef="#br0" timeOffset="3701.66">3320 569 11045,'0'0'12182,"9"-7"-12214,-9 25 32,0 9-144,0-1 304,0 2-192,0-1 32,0-5-657,6-3-799,7-8-2834,4-7-3378</inkml:trace>
  <inkml:trace contextRef="#ctx0" brushRef="#br0" timeOffset="4184.82">3666 343 11557,'0'0'8071,"0"17"-7028,9 235 851,-7-198-1854,4-99 358,-4-66-338,-2 34 29,17-133-1,-8 179 211,-8 30-296,-1 1 0,0-1 0,0 0-1,1 1 1,-1-1 0,0 1 0,1-1 0,-1 1 0,0-1-1,1 1 1,-1 0 0,1-1 0,-1 1 0,1-1-1,-1 1 1,1 0 0,-1-1 0,1 1 0,-1 0 0,1 0-1,0-1 1,-1 1 0,1 0 0,-1 0 0,1 0 0,0 0-1,-1 0 1,1 0 0,-1 0 0,1 0 0,0 0 0,-1 0-1,1 0 1,0 0 0,-1 0 0,1 0 0,-1 1-1,1-1 1,-1 0 0,1 0 0,-1 1 0,1-1 0,0 1-1,-1-1 1,0 0 0,1 1 0,-1-1 0,1 1-1,8 10 7,-1 0-1,0 0 0,-1 1 1,0 0-1,-1 1 0,0-1 1,6 19-1,-4-10 11,45 125-409,-35-95-2816,-1-1-4737,-11-38-599</inkml:trace>
  <inkml:trace contextRef="#ctx0" brushRef="#br0" timeOffset="4386.74">3681 434 7091,'0'0'6803,"119"17"-6803,-82-16-1648,-1-1-2162,-6 0-3233</inkml:trace>
  <inkml:trace contextRef="#ctx0" brushRef="#br0" timeOffset="4727.58">3990 257 7796,'0'0'12939,"5"1"-12630,0 1-283,-1 1 0,1-1 0,-1 1 0,1-1 0,-1 1 0,0 0 0,0 1 0,-1-1 0,1 1 0,-1 0 0,0 0 1,0 0-1,0 0 0,0 0 0,-1 1 0,1-1 0,-1 1 0,0 0 0,-1-1 0,1 1 0,-1 0 0,1 10 0,0-6-36,0 0-1,-1 0 1,-1 0 0,1 0 0,-2 1 0,1-1 0,-1 0 0,-1 0 0,1 0 0,-2 0-1,1 0 1,-7 15 0,-1-7 42,7-13 2,0 0-1,0 1 0,1-1 1,0 1-1,0 0 0,0-1 1,0 1-1,1 0 0,-1 7 1,18-12 459,3-2-685,0 0 0,-1 0-1,28-9 1,12-2-9982,-37 9 444</inkml:trace>
  <inkml:trace contextRef="#ctx0" brushRef="#br0" timeOffset="4917.07">4306 483 6019,'0'0'16247,"15"56"-15751,-13-26-271,-1 0-145,-1-2 96,0-1-176,0-3-401,0-7-2176,0-8-4338</inkml:trace>
  <inkml:trace contextRef="#ctx0" brushRef="#br0" timeOffset="5725.16">4676 176 9828,'0'0'7716,"6"20"-6817,1 4-678,3 8 182,9 60 0,-11-29 223,1 93-1,-9-213-385,2 0-1,3 0 0,3 0 0,2 1 1,32-102-1,-42 157-244,0 1 0,0-1 0,0 0 0,1 1 0,-1-1 0,0 0 0,0 1 1,1-1-1,-1 1 0,0-1 0,1 0 0,-1 1 0,0-1 0,1 1 0,-1-1 0,1 1 0,-1-1 1,1 1-1,-1 0 0,1-1 0,-1 1 0,1 0 0,-1-1 0,1 1 0,0 0 0,-1-1 0,1 1 0,1 0 1,-1 0-1,0 1 0,0-1 0,0 1 1,-1-1-1,1 1 0,0 0 0,0-1 0,0 1 1,-1 0-1,1 0 0,0 0 0,-1-1 1,1 1-1,0 0 0,-1 0 0,1 1 0,20 50-35,-19-43 45,29 79-33,39 106-998,-65-177-4037</inkml:trace>
  <inkml:trace contextRef="#ctx0" brushRef="#br0" timeOffset="5899.63">4753 334 5955,'0'0'8804,"117"-25"-8708,-85 25-96,0 0-1457,-4-1-3201</inkml:trace>
  <inkml:trace contextRef="#ctx0" brushRef="#br0" timeOffset="6441.49">5032 123 7876,'0'0'11677,"5"-9"-11202,-4 8-451,0 1 0,1-1 0,-1 1 0,0-1 0,0 1 0,0-1 0,0 1 0,0 0 0,0 0 0,0 0 0,1 0 0,-1-1 0,0 2 0,0-1 0,0 0 0,0 0 0,1 0 0,-1 0 0,0 1 0,0-1 0,0 0 0,2 2 0,0-1-15,-1 1-1,0 0 1,1 0-1,-1 0 1,0 0 0,0 0-1,0 0 1,3 6-1,0-2-26,-1 2 0,-1-1 1,1 0-1,-1 1 0,-1-1 0,3 9 0,-1 8-37,-2 0 1,0 0-1,-4 46 0,2-69 98,-1 1 0,1-1 0,-1 1 0,1-1 0,-1 0 0,1 1 0,-1-1 0,0 0 1,0 0-1,0 1 0,1-1 0,-1 0 0,0 0 0,-1 0 0,1 0 0,-2 1 0,5-2 856,4-3-881,-1 1-15,1 0 0,-1 1 1,0-1-1,1 1 0,-1 0 0,1 0 1,0 1-1,-1-1 0,1 1 0,0 1 0,-1-1 1,1 1-1,-1 0 0,1 0 0,9 4 0,-12-4-13,0 1 0,0-1 0,0 1 0,0 0 0,-1 0 0,1 1 0,-1-1 0,1 0 0,-1 1 0,0 0 0,1-1 0,-1 1 0,-1 0 0,1 0 0,0 0 0,-1 0 0,0 0 0,1 1 0,-1-1 0,0 0 0,-1 1 0,1-1 0,-1 0 0,1 1 0,-1-1 0,0 5 0,0-5-3,0-1 0,-1 1 0,1 0-1,0 0 1,-1 0 0,0-1 0,1 1-1,-1 0 1,0 0 0,-1-1 0,1 1 0,0-1-1,-1 1 1,1-1 0,-1 0 0,0 0-1,0 1 1,0-1 0,0 0 0,0-1-1,-3 3 1,-3 1 39,-1 0-1,1-1 0,-1 0 0,-18 5 0,-14 7-375,38-13-1407,16-2-7085</inkml:trace>
  <inkml:trace contextRef="#ctx0" brushRef="#br0" timeOffset="6687.46">5566 432 10229,'0'0'13270,"0"60"-13174,0-24-80,0-1 48,0-1-128,0-6-432,0-7-1313,8-10-2273</inkml:trace>
  <inkml:trace contextRef="#ctx0" brushRef="#br0" timeOffset="7184.67">5814 129 10085,'0'0'12859,"5"9"-12736,4 16-46,-2 2 0,0-1 1,-1 1-1,2 39 0,1 72-1210,-10-207 1325,1-69-69,1 123-86,1-1 0,1 0 0,0 1-1,1 0 1,0 0 0,10-21 0,-13 33-26,0 1 0,1 0 1,-1 0-1,0 0 0,1 0 0,-1 0 0,1 0 0,-1 0 0,1 0 1,0 0-1,0 1 0,0-1 0,0 1 0,0 0 0,4-2 0,-5 2-12,1 1 0,-1 0-1,0 0 1,0 0-1,1 0 1,-1 0 0,0 0-1,0 0 1,1 0-1,-1 1 1,0-1 0,0 0-1,1 1 1,-1-1-1,0 1 1,0-1 0,0 1-1,0 0 1,0-1-1,0 1 1,0 0 0,0 0-1,0 0 1,0 0-1,0 0 1,0 0 0,-1 0-1,1 0 1,0 0-1,-1 0 1,1 2 0,11 19 123,-1 1-1,-1 1 1,-1-1 0,9 42 0,-1 20-1260,-3-3-5505,-12-71 1065</inkml:trace>
  <inkml:trace contextRef="#ctx0" brushRef="#br0" timeOffset="7372.48">5878 313 6915,'0'0'7155,"125"-5"-8979,-91 5-2690</inkml:trace>
  <inkml:trace contextRef="#ctx0" brushRef="#br0" timeOffset="7791.69">6185 52 6035,'0'0'15279,"-2"-4"-14223,2 4-1052,0 0-1,0 0 0,0 1 1,0-1-1,0 0 1,0 0-1,0 0 0,-1 0 1,1 1-1,0-1 1,0 0-1,0 0 0,0 0 1,0 0-1,-1 0 0,1 0 1,0 0-1,0 1 1,0-1-1,-1 0 0,1 0 1,0 0-1,0 0 1,0 0-1,0 0 0,-1 0 1,1 0-1,0 0 1,0 0-1,0 0 0,-1 0 1,1 0-1,0 0 0,0 0 1,0 0-1,-1 0 1,1 0-1,0-1 0,0 1 1,0 0-1,0 0 1,-1 0-1,1 0 0,0 0 1,0 0-1,0 0 1,0-1-1,0 1 0,-1 0 1,1 0-1,0 0 0,0 0 1,0-1-1,0 1 1,0 0-1,0 0 0,0-1 1,-3 34 53,8 50 39,-4-75-85,1 0 1,-1 0-1,2 0 0,-1 0 1,1 0-1,0 0 0,1-1 1,0 0-1,6 10 1,-7-14-214,-1 0 0,1 0 1,0 0-1,0 0 1,1 0-1,-1-1 1,0 1-1,1-1 0,-1 0 1,1 0-1,0 0 1,0-1-1,0 1 1,0-1-1,0 0 0,0 0 1,0 0-1,0-1 1,0 1-1,5-1 1,-7-1 137,-1 1 1,1-1-1,0 0 1,-1 0 0,1 0-1,0 0 1,-1 0 0,1 0-1,-1 0 1,1 0 0,-1-1-1,0 1 1,0-1 0,0 1-1,1-1 1,-1 1 0,0-1-1,-1 1 1,1-1-1,0 0 1,0 0 0,-1 1-1,1-1 1,-1 0 0,0 0-1,1 0 1,-1-2 0,7-55 145,-7 8 1321,0 33 522,0 34-35,0 10-2266,5 106 1070,7-67-2896,-8-52-191,0 0 1,12 23-1,-4-14-6862</inkml:trace>
  <inkml:trace contextRef="#ctx0" brushRef="#br0" timeOffset="8022.46">6736 419 10149,'0'0'11525,"8"99"-11013,-2-65-336,-1 2 48,-1-4-224,0-2-16,-2-6-816,-1-7-2402,1-7-2384</inkml:trace>
  <inkml:trace contextRef="#ctx0" brushRef="#br0" timeOffset="8537.25">6977 180 3890,'0'0'19547,"1"5"-19050,9 74-234,6 68-2023,-21-252 1790,2 71 185,2 1 0,0 0 0,2-1 0,2 1 0,12-57 1,-14 87-130,0-1 1,0 1 0,0-1 0,1 1-1,-1 0 1,1 0 0,4-6 0,-6 9-83,0 0 1,0 0-1,1-1 1,-1 1 0,0 0-1,1-1 1,-1 1-1,0 0 1,1 0 0,-1 0-1,1-1 1,-1 1-1,0 0 1,1 0 0,-1 0-1,1 0 1,-1 0 0,0 0-1,1 0 1,-1 0-1,1 0 1,-1 0 0,1 0-1,-1 0 1,0 0-1,1 0 1,0 1-16,1 0 0,-1-1-1,0 1 1,-1 0 0,1 0 0,0 0 0,0 0-1,0 0 1,0 0 0,-1 0 0,1 0 0,-1 0-1,2 2 1,6 17 59,-1 0-1,0 1 1,-2-1 0,0 1-1,2 28 1,5 25-1390,-8-59 5,0-1 1,0 0-1,8 14 0,-7-18-3233</inkml:trace>
  <inkml:trace contextRef="#ctx0" brushRef="#br0" timeOffset="8740.92">6983 229 8468,'0'0'9156,"60"-2"-9108,-26 9-48,2-3-1633,3 0-896,1-4-2161,-3 0-4066</inkml:trace>
  <inkml:trace contextRef="#ctx0" brushRef="#br0" timeOffset="9020.79">7374 25 7764,'0'0'13793,"0"0"-13784,0 0 1,0 0-1,0 0 1,-1-1-1,1 1 1,0 0-1,0 0 1,0 0-1,0-1 1,-1 1-1,1 0 1,0 0 0,0 0-1,0 0 1,-1 0-1,1 0 1,0 0-1,0 0 1,-1-1-1,1 1 1,0 0-1,0 0 1,-1 0-1,1 0 1,0 0-1,0 0 1,-1 0 0,1 0-1,0 0 1,0 1-1,-1-1 1,1 0-1,0 0 1,0 0-1,0 0 1,-1 0-1,1 0 1,0 0-1,-1 1 1,0 0 33,0 1-1,0 0 1,0-1 0,0 1-1,1 0 1,-1 0 0,0 0-1,1 0 1,-1-1 0,1 1-1,0 0 1,0 0 0,0 4-1,0 33 473,0-23-306,1-11-155,-1 0 0,1-1 0,0 1 0,0 0 1,0 0-1,0-1 0,1 1 0,0-1 1,0 0-1,0 1 0,1-1 0,4 6 0,5 5 54,0-1-1,16 13 1,-18-18-254,-1 0 1,1 1 0,-2 1 0,11 15 0,-18-26-21,0 1 0,-1 0 0,1 0 0,-1-1 0,1 1 0,-1 0 0,1 0 0,-1 0 0,0 0 0,1 0 0,-1 0-1,0 0 1,0-1 0,0 1 0,0 0 0,0 0 0,1 0 0,-2 0 0,1 0 0,0 0 0,0 0 0,0 0 0,0 0 0,-1 0 0,1 0 0,0 0 0,-1-1 0,1 1 0,-2 2-1,1-2-375,-1 0 0,1-1-1,-1 1 1,0 0-1,0-1 1,0 1-1,1-1 1,-1 1-1,0-1 1,0 0-1,0 0 1,0 1-1,-3-2 1,-22 1-5640</inkml:trace>
  <inkml:trace contextRef="#ctx0" brushRef="#br0" timeOffset="9145.64">7474 1 800,'0'0'3826,"120"0"-3378,-73 0-448</inkml:trace>
  <inkml:trace contextRef="#ctx0" brushRef="#br0" timeOffset="10377.11">2723 1158 7059,'0'0'11344,"5"10"-10938,6 12-306,-1 1 0,-1 0 0,-1 0 0,-1 1 0,7 42 0,-14 6 356,0-74-144,-2-82 24,0 32-4,8-83 1,-6 131-368,1 0 1,-1 1 0,1-1-1,0 1 1,0 0 0,1-1-1,-1 1 1,1 0-1,0 0 1,-1 0 0,1 0-1,1 0 1,-1 0 0,0 0-1,1 1 1,-1-1-1,1 1 1,3-3 0,-4 4 12,0 0 1,0 1-1,0-1 1,0 0-1,0 1 1,0-1-1,0 1 0,0 0 1,0-1-1,0 1 1,0 0-1,1 0 1,-1 1-1,0-1 1,0 0-1,0 1 1,0-1-1,0 1 1,0-1-1,0 1 1,0 0-1,0 0 1,-1 0-1,1 0 0,0 0 1,-1 1-1,1-1 1,0 0-1,-1 1 1,1-1-1,1 4 1,2 1-8,0-1 1,-1 1-1,0 0 1,0 0-1,0 0 0,-1 0 1,0 0-1,0 1 1,-1 0-1,0-1 1,0 1-1,0 0 1,-1 0-1,0 0 1,0 0-1,-1 1 0,0-1 1,0 0-1,-2 9 1,0-12 45,0-1 0,-1 0 0,1 1 0,-1-1 0,0 0 0,1 0 0,-1-1 0,-1 1 0,1-1 1,0 1-1,-1-1 0,1 0 0,-1 0 0,1-1 0,-1 1 0,0-1 0,0 1 0,0-1 0,-8 1 830,35-2-658,-12 0-176,1 0-1,-1 1 0,0 0 0,0 1 0,0 0 0,13 6 0,-21-7-74,0 0-1,0 0 0,0 0 0,0 1 0,-1-1 1,1 1-1,0 0 0,-1 0 0,0 0 1,1 0-1,-1 0 0,0 0 0,0 1 0,0-1 1,0 1-1,-1 0 0,1-1 0,-1 1 1,1 0-1,-1 0 0,0 0 0,0 0 1,-1 0-1,1 0 0,0 0 0,-1 0 0,0 5 1,0-6 22,-1 0 0,1 0-1,-1 1 1,0-1 0,1 0 0,-1 0 0,0 0 0,-1 0 0,1 0 0,0 0 0,-1-1 0,1 1 0,-1 0-1,1-1 1,-1 1 0,0-1 0,1 1 0,-1-1 0,0 0 0,0 1 0,0-1 0,0 0 0,0-1 0,-1 1-1,-2 1 1,-8 2 89,-1 0 0,-24 4-1,14-4-809,-41 0-1,65-4 680,-1 0 1,1 0 0,0 0 0,0 0 1,0 0-1,0 0 0,-1 0 0,1 0 1,0 0-1,0 0 0,0 0 0,0 0 1,0 0-1,-1 0 0,1 0 0,0 0 1,0 0-1,0 0 0,0 0 0,-1 0 1,1 0-1,0 0 0,0 0 0,0 0 1,0 0-1,0 0 0,0-1 0,-1 1 1,1 0-1,0 0 0,0 0 1,0 0-1,0 0 0,0 0 0,0-1 1,0 1-1,0 0 0,0 0 0,0 0 1,-1 0-1,1 0 0,0-1 0,0 1 1,0 0-1,0 0 0,0 0 0,0 0 1,0-1-1,0 1 0,0 0 0,0 0 1,1 0-1,-1 0 0,0-1 0,0 1 1,0 0-1,0 0 0,0-12-5332</inkml:trace>
  <inkml:trace contextRef="#ctx0" brushRef="#br0" timeOffset="10640.48">3141 1141 12358,'0'0'12021,"23"11"-11957,-12 12 208,-2 1-240,-1 3-32,-3-1 96,-1 0-96,-4-3-144,0-1-1232,0-1-465,0-8-1985,0-3-2225</inkml:trace>
  <inkml:trace contextRef="#ctx0" brushRef="#br0" timeOffset="10903.34">3617 1446 11269,'0'0'10885,"4"17"-10885,3 7 32,-3 1 16,-2-5 48,2-1-48,-4-6-96,2-7-848,-1-2-1153,5-4-912,2 0-1618</inkml:trace>
  <inkml:trace contextRef="#ctx0" brushRef="#br0" timeOffset="11630.54">3805 1190 9156,'0'0'10480,"0"8"-10248,-1 18 106,2 0 1,1-1-1,1 1 1,1-1-1,1 1 0,15 44 1,-16-103 264,-4-19-527,-11-87 0,8 111-5,0-45-1,3 72-88,0-1 0,0 1-1,1 0 1,-1 0 0,0 0-1,1-1 1,-1 1-1,1 0 1,-1 0 0,1 0-1,0 0 1,-1 0 0,1 0-1,0 0 1,0 0 0,0 1-1,0-1 1,-1 0 0,1 0-1,0 1 1,0-1 0,1 0-1,-1 1 1,0-1 0,0 1-1,0-1 1,0 1-1,0 0 1,1-1 0,-1 1-1,2 0 1,46-2-204,-37 2 308,-10 0-82,-1 1-1,1-1 1,0 0 0,0 0-1,-1 1 1,1-1 0,0 1-1,-1-1 1,1 1-1,0 0 1,-1 0 0,1-1-1,-1 1 1,1 0-1,-1 0 1,0 1 0,1-1-1,-1 0 1,0 0 0,2 3-1,-1 0-6,0-1-1,0 1 1,0 0-1,0 0 1,-1 0-1,0 1 0,1-1 1,-1 5-1,1 4-33,-1 0 0,0 0 0,-1 0 0,-3 23 0,1-30 46,0 1 0,0-1-1,-1 0 1,0 0 0,0 0 0,0-1 0,-1 1-1,1-1 1,-2 1 0,1-1 0,0 0 0,-8 5 413,19-25 939,-3 11-1366,0-1 1,0 1-1,0-1 1,1 1-1,-1 1 1,1-1-1,0 1 1,0 0-1,9-5 1,-12 7-4,0 0 1,1 0-1,-1 0 1,1 1-1,-1-1 1,0 0-1,1 1 1,-1 0-1,1-1 1,0 1-1,-1 0 1,1 0-1,-1 1 1,1-1-1,-1 0 1,1 1-1,-1 0 1,0-1-1,1 1 1,-1 0-1,0 0 1,1 0-1,-1 1 1,0-1-1,4 3 1,-1 2 5,1 0 0,-1 1 1,0-1-1,0 1 0,-1 0 0,0 0 1,4 8-1,-7-11-27,1 1 0,0-1 0,-1 0 0,0 1 0,0-1 0,0 1 0,-1-1 0,1 1 0,-1-1 0,0 1 0,0-1 0,-1 1 0,1-1 0,-3 8 0,2-9 15,-1-1 0,1 0 0,-1 1 0,0-1 0,1 0 0,-1 0 0,0 0 0,0-1-1,0 1 1,-1 0 0,1-1 0,0 1 0,-1-1 0,1 0 0,-1 0 0,1 0-1,-1 0 1,1 0 0,-4 0 0,-55 10-207,53-10 161,-88 2-2866,95-3 2749,1-1 0,0 1 0,-1-1 0,1 1 0,0-1 0,0 1 0,-1-1 0,1 1 0,0-1 1,0 1-1,0-1 0,0 0 0,0 1 0,0-1 0,0 1 0,0-1 0,0 1 0,0-1 0,0 1 0,0-1 0,0 1 0,0-1 0,0 1 1,1-1-1,-1 1 0,0-1 0,1 0 0,5-17-4241,17-4-3421</inkml:trace>
  <inkml:trace contextRef="#ctx0" brushRef="#br0" timeOffset="11960.34">4212 1173 4930,'0'0'15930,"6"-4"-15260,22-14-502,-27 18-162,-1 0 1,1 0-1,0 0 1,0-1-1,0 1 1,0 0-1,-1 0 0,1 0 1,0 0-1,0 0 1,0 1-1,0-1 1,-1 0-1,1 0 1,0 1-1,0-1 0,-1 0 1,1 1-1,0-1 1,0 0-1,-1 1 1,1-1-1,0 1 1,-1 0-1,1-1 0,-1 1 1,1-1-1,0 1 1,-1 0-1,0-1 1,1 1-1,-1 0 1,1 0-1,-1-1 0,0 1 1,1 0-1,-1 0 1,0 1-1,10 29 130,-9-26-118,0 1 1,0 0-1,-1-1 1,1 1-1,-1 0 1,-1 0-1,1-1 1,-1 1-1,0 0 0,0-1 1,0 1-1,-1-1 1,0 1-1,0-1 1,0 0-1,-1 0 1,0 0-1,0 0 1,0 0-1,0 0 1,-1-1-1,0 0 1,0 1-1,0-2 1,-8 7-1,6-5-90,-10 10 464,16-11-252,11-4-296,-2-2-662,0-1 0,0 0-1,-1 0 1,0 0 0,1-1-1,9-7 1,3-2-4782</inkml:trace>
  <inkml:trace contextRef="#ctx0" brushRef="#br0" timeOffset="12178.29">4720 1269 11493,'0'0'11189,"-2"60"-11045,2-30-80,0-3 113,0-5-177,2-7-64,5-4-577,1-5-1472,-1-6-1857,3 0-2753</inkml:trace>
  <inkml:trace contextRef="#ctx0" brushRef="#br0" timeOffset="12908.79">5056 1096 12102,'0'0'10700,"-3"11"-10446,0 5-165,0 0 1,0 0-1,1 0 1,1 0 0,1 0-1,0 0 1,1 0-1,4 19 1,18 50 78,-28-172-1284,-1 20 1246,1-92 0,5 158-123,0 0-15,0 0 0,0 0-1,0 0 1,0 0-1,0 0 1,0 0 0,0 0-1,1 0 1,-1 0 0,0 0-1,0 0 1,1 0 0,-1 0-1,1 0 1,-1 0-1,1 0 1,-1 0 0,1 0-1,-1 1 1,1-1 0,0 0-1,-1 0 1,1 1 0,0-1-1,0 1 1,0-1-1,-1 0 1,1 1 0,0-1-1,0 1 1,0 0 0,0-1-1,0 1 1,0 0 0,0 0-1,0-1 1,0 1-1,0 0 1,0 0 0,0 0-1,0 0 1,0 0 0,0 1-1,0-1 1,0 0 0,0 0-1,0 1 1,2 0-1,1 0 18,0 1-1,0-1 0,0 1 0,0 0 0,0 0 0,0 1 1,-1-1-1,1 1 0,-1 0 0,5 4 0,-1 1-18,-1 2 0,1-1 0,-2 0 0,1 1-1,5 15 1,-9-20-135,0 0 0,-1 0 0,1 0-1,-1 1 1,0-1 0,-1 0 0,1 1-1,-1-1 1,0 1 0,0-1 0,-1 0-1,0 1 1,-2 7 0,2-12 141,0 1 1,0-1-1,0 0 1,-1 0-1,1 0 0,-1 0 1,1 0-1,-1 0 1,1 0-1,-1-1 1,1 1-1,-1 0 1,0-1-1,1 1 0,-1-1 1,0 0-1,0 0 1,1 1-1,-1-1 1,0 0-1,1 0 1,-1-1-1,-3 1 0,2 0 68,2 0 147,2-2-145,-1 0 0,1 0 0,-1 0 0,1 1-1,0-1 1,0 0 0,0 0 0,0 1 0,0-1 0,0 1 0,1-1-1,-1 1 1,0 0 0,1-1 0,-1 1 0,1 0 0,-1 0 0,1 0-1,0 0 1,-1 0 0,1 0 0,0 1 0,0-1 0,-1 0-1,1 1 1,0 0 0,0-1 0,0 1 0,0 0 0,2 0 0,0-1-66,1 1 0,-1-1 0,0 1 0,0 0 0,1 0 0,-1 1 1,0-1-1,0 1 0,0 0 0,0 0 0,0 0 0,0 1 1,0 0-1,4 1 0,-4 1 2,0-1 0,0 1 0,0 0 0,-1 0 0,0 0 0,0 1 0,0-1 0,0 1 0,-1-1 0,1 1 0,-1 0 0,0 0 0,1 6 0,-1 0-19,1 1-1,-2-1 0,0 1 1,0-1-1,-1 13 0,-1-21 17,1 0 0,-1-1-1,1 1 1,-1-1 0,0 1-1,0-1 1,0 1-1,-1-1 1,1 1 0,0-1-1,-1 0 1,0 0 0,1 1-1,-1-1 1,0 0-1,0-1 1,0 1 0,0 0-1,-1-1 1,1 1 0,0-1-1,-1 0 1,1 1-1,-1-1 1,1 0 0,-1-1-1,1 1 1,-1 0 0,-4 0-1,-9 2-284,-1-1-1,0-1 1,-26 0-1,32-1-388,11 0 543,0 0 0,-1-1 0,1 1-1,0 0 1,-1 0 0,1 0 0,0 0-1,0-1 1,-1 1 0,1 0 0,0 0-1,-1-1 1,1 1 0,0 0 0,0-1-1,0 1 1,-1 0 0,1-1 0,0 1-1,0 0 1,0-1 0,0 1 0,0 0-1,0-1 1,-1 1 0,1 0 0,0-1-1,0 1 1,0 0 0,0-1 0,0 1-1,0-1 1,1 1 0,-1 0 0,0-1-1,4-15-4574,13-2-4788</inkml:trace>
  <inkml:trace contextRef="#ctx0" brushRef="#br0" timeOffset="13278.23">5391 1088 9364,'0'0'13038,"6"-4"-12822,-4 3-212,-1 0-3,0 0 0,0 0 0,0 0 0,0 0 0,-1 1 0,1-1 1,0 0-1,0 1 0,1-1 0,-1 0 0,0 1 0,0 0 0,0-1 0,0 1 0,0 0 0,0-1 0,1 1 0,-1 0 0,0 0 0,0 0 0,0 0 0,1 0 0,-1 0 0,0 0 0,0 1 0,0-1 0,0 0 0,1 1 0,-1-1 0,0 0 0,0 1 0,0 0 0,0-1 0,0 1 0,0 0 0,0-1 0,0 1 0,0 0 0,-1 0 0,1 0 1,0 0-1,0 0 0,-1 0 0,1 0 0,0 0 0,-1 0 0,1 2 0,3 4-38,-1 1 0,0 0 1,0 0-1,0 0 1,-1 0-1,-1 0 0,1 0 1,-2 0-1,1 1 0,-1 12 1,0-15 23,-1 1-1,0-1 1,0 0 0,0 0 0,-1 0 0,0 0 0,0 0-1,0 0 1,-1-1 0,0 1 0,0-1 0,-1 0 0,1 1 0,-7 6 704,20-13-160,24-8-673,0 0-1836,-11 5-2449,-8 2-1928</inkml:trace>
  <inkml:trace contextRef="#ctx0" brushRef="#br0" timeOffset="13513.7">5882 1258 7812,'0'0'12501,"0"11"-12549,0 8 96,0 1 16,-2 1-64,2-2-96,0-4-400,0-4-1569,2-7-688,8-4-3314</inkml:trace>
  <inkml:trace contextRef="#ctx0" brushRef="#br0" timeOffset="13824.66">6279 1026 9845,'0'0'12736,"0"-7"-12592,1 7-143,-1 0-1,0 0 1,0 0-1,0 0 0,0 0 1,0 0-1,0 0 1,0 0-1,0 0 0,0 0 1,0 0-1,0 0 1,1 0-1,-1 0 0,0 0 1,0 0-1,0 0 1,0 0-1,0 0 0,0 0 1,0 0-1,0-1 1,0 1-1,0 0 0,0 0 1,0 0-1,1 0 1,-1 0-1,0 0 0,0 0 1,0 0-1,0 0 1,0 0-1,0 0 0,0 0 1,0 0-1,0 0 1,0-1-1,7 24-5,-1 0 0,-1 0 0,-1 0 0,0 1 0,-2 0 0,-1-1 0,-1 1 0,-4 24 0,-2-54-387,-36-50-5398,21 35 177</inkml:trace>
  <inkml:trace contextRef="#ctx0" brushRef="#br0" timeOffset="14352.96">5461 1344 2145,'0'0'9308,"-1"-7"-7960,-2-2-916,-1-22 1203,8 30-1416,0 0-1,0 0 1,0 0-1,0 0 0,0 1 1,-1-1-1,1 1 1,4 0-1,-6 0-205,0 0 0,0 0 0,0 0 0,0 0 0,0 0 0,0 0 0,0 1 0,-1-1 0,1 0 0,0 1-1,0 0 1,0-1 0,-1 1 0,1 0 0,0 0 0,-1 0 0,1 0 0,0 0 0,-1 0 0,0 1 0,2 1 0,-1 0-33,-1 0 0,0 0 0,0 1 1,0-1-1,0 1 0,-1-1 0,1 1 0,-1-1 1,0 1-1,0 5 0,0-6 31,0 0 0,-1 0 0,1 0 0,-1-1 1,1 1-1,-1 0 0,0 0 0,0-1 0,0 1 0,-1-1 0,1 1 0,0-1 0,-1 1 0,0-1 0,1 0 1,-1 0-1,0 0 0,0 0 0,0 0 0,-1 0 0,1-1 0,0 1 0,-1-1 0,1 1 0,-1-1 0,1 0 1,-1 0-1,0 0 0,-3 1 0,-40 6-1014,1-6-4474</inkml:trace>
  <inkml:trace contextRef="#ctx0" brushRef="#br0" timeOffset="15300.63">6257 1147 6003,'0'0'13678,"0"-6"-12027,0-17-309,0 18 107,1 8-1396,27 87 126,-14-52-125,-2 1 1,7 44-1,-24-113-264,-19-116-807,20 83 1042,5-87 0,-1 145-43,1 0-1,0 0 0,0 1 1,1-1-1,-1 0 0,1 1 1,0 0-1,0-1 0,5-6 1,-7 10 1,1 0 1,0 0 0,0 0 0,0 0 0,0 0-1,0 0 1,-1 0 0,2 1 0,-1-1 0,0 0-1,0 1 1,0-1 0,0 1 0,0-1 0,0 1-1,1-1 1,-1 1 0,0 0 0,0-1 0,1 1 0,-1 0-1,0 0 1,1 0 0,-1 0 0,0 0 0,0 1-1,1-1 1,-1 0 0,0 0 0,0 1 0,1-1-1,-1 1 1,0-1 0,0 1 0,0 0 0,0-1-1,0 1 1,0 0 0,0 0 0,0 0 0,0-1-1,1 3 1,4 3 33,-1 0 1,0 0-1,0 0 0,-1 1 0,1 0 0,-2 0 1,1 0-1,-1 0 0,0 1 0,4 13 0,-3-4-53,-1-1 0,0 1 0,-1 0 0,0 20-1,-2-36 22,0 1-1,0-1 1,-1 0-1,1 0 1,0 1-1,-1-1 0,1 0 1,0 0-1,-1 1 1,0-1-1,1 0 1,-1 0-1,1 0 1,-1 0-1,0 0 0,0 0 1,0 0-1,0 0 1,0 0-1,0 0 1,0 0-1,0-1 1,0 1-1,0 0 1,0-1-1,0 1 0,-1-1 1,0 1-1,-3 1 47,0-1 0,0 0-1,0 0 1,0-1 0,-10 0-1,15 0 451,19 1-724,-13 1 230,-1-1 1,1 1-1,-1 0 1,0 1-1,0-1 1,0 1-1,0 0 1,0 0-1,0 1 1,-1-1-1,0 1 1,0 0-1,0 0 1,4 6-1,0-1-221,-1 0-1,-1 1 0,0-1 1,0 1-1,-1 0 0,5 14 1,-9-21 111,0 0-1,0 0 1,0 0 0,0 0 0,0 1-1,-1-1 1,1 0 0,-1 0 0,0 1 0,0-1-1,0 0 1,-1 0 0,1 1 0,-1-1 0,0 0-1,0 0 1,0 0 0,0 0 0,-2 4 0,1-4 62,-1-1 1,1 0 0,-1 0-1,1 1 1,-1-2 0,0 1 0,1 0-1,-1-1 1,0 1 0,0-1-1,0 0 1,0 0 0,-1 0 0,1 0-1,0 0 1,0-1 0,0 0-1,-7 1 1,-79-1-1663,88 0 1599,0 1 0,0-1-1,1 0 1,-1 0 0,0 0 0,0 0 0,0 0 0,0 0 0,0 0 0,0 0 0,0-1 0,0 1 0,1 0 0,-1-1 0,0 1 0,0 0 0,0-1 0,0 1 0,1-1 0,-1 1-1,0-1 1,1 1 0,-1-1 0,0 0 0,1 1 0,-1-1 0,1 0 0,-1 0 0,1 1 0,-1-1 0,1 0 0,-1 0 0,1 0 0,0 0 0,-1 1 0,1-1 0,0 0 0,0 0-1,0 0 1,0 0 0,0 0 0,0 0 0,0 0 0,0 0 0,0 1 0,0-1 0,1-1 0,-1-15-4185</inkml:trace>
  <inkml:trace contextRef="#ctx0" brushRef="#br0" timeOffset="15754.75">6669 1043 7411,'0'0'12563,"-1"3"-12074,-7 45-520,3 1-1,0 70 1,5-117 20,0-1-1,0 1 1,1-1 0,-1 1-1,0-1 1,1 1-1,-1-1 1,1 1 0,0-1-1,-1 1 1,1-1-1,0 1 1,0-1 0,0 0-1,0 0 1,0 1-1,0-1 1,0 0-1,0 0 1,1 0 0,-1 0-1,0 0 1,1-1-1,-1 1 1,1 0 0,-1-1-1,1 1 1,-1-1-1,1 1 1,-1-1-1,1 1 1,-1-1 0,1 0-1,0 0 1,-1 0-1,1 0 1,-1 0 0,3-1-1,0 1 50,0 0 0,0 0 0,0-1 0,0 0-1,0 0 1,-1 0 0,1 0 0,0-1 0,0 1 0,-1-1 0,1 0-1,-1 0 1,1 0 0,4-5 0,-4 1 103,1 0 0,-1 0 0,0-1 0,-1 1 0,0-1-1,0 0 1,0 0 0,-1 0 0,0 0 0,0-1 0,-1 1 0,0 0 0,0-1 0,-1 1 0,0-11-1,0 17-86,0 16-204,-4 42 122,-1 75-941,5-129 467,0 0-1,0 0 1,0 0 0,1 0 0,0 0 0,-1 0 0,1 0 0,0-1 0,0 1 0,3 4 0,5 5-5239</inkml:trace>
  <inkml:trace contextRef="#ctx0" brushRef="#br0" timeOffset="16005.34">7069 1367 11797,'0'0'9845,"-9"28"-9669,1-5-208,5-1 32,-1-3-112,2-4-784,0-2-1121,-2-5-529</inkml:trace>
  <inkml:trace contextRef="#ctx0" brushRef="#br0" timeOffset="16788.21">7303 1054 6947,'0'0'13913,"-2"6"-12848,2 55-722,9 77 0,-6-101-352,-1-16 34,-2-21-28,0 0 0,0 0 0,-1 0 0,1 0 0,0 0 0,0 0 0,0 0 0,0 0 0,0 0 0,0 0-1,0 0 1,0 0 0,0 0 0,0 0 0,0 0 0,0 0 0,0 0 0,0 0 0,0 0 0,0 0-1,0 0 1,0 1 0,0-1 0,0 0 0,-1 0 0,-5-32-293,2 11 154,-3-17 159,2 1 0,1 0 0,2-1 0,6-73 0,-4 107 0,1-1-1,1 1 1,-1 0-1,1-1 1,-1 1-1,1 0 1,0 0 0,1 0-1,-1 0 1,4-4-1,-5 7-21,0 0 0,-1 0 0,1 0 0,0 0 0,-1 1 0,1-1 0,0 0 1,0 1-1,0-1 0,0 0 0,-1 1 0,1-1 0,0 1 0,0-1 0,0 1 0,0 0 0,0-1 0,1 1 0,-1 0 0,0 0 0,0 0 0,0 0 0,0 0 0,0 0 0,0 0 0,0 0 0,0 0 0,0 0 0,0 0 0,0 1 0,0-1 1,0 1-1,0-1 0,0 0 0,0 1 0,0 0 0,0-1 0,0 1 0,0 0 0,0-1 0,-1 1 0,1 0 0,0 0 0,-1-1 0,1 1 0,0 0 0,0 2 0,3 3 10,0 1 1,-1 0-1,0 0 0,0 0 0,0 0 1,-1 0-1,0 1 0,-1-1 0,2 9 1,-2-2-46,0-1 0,-1 1 0,0-1 0,-4 20 0,1-26-112,1-11 587,2 4-431,0-1 0,0 0 0,0 1 0,0-1 0,0 1 0,0-1 0,0 1 0,0-1 0,0 1 0,0-1 0,0 1 0,0-1 0,0 1 0,0-1 0,1 1-1,-1-1 1,0 1 0,0-1 0,1 1 0,-1-1 0,0 1 0,1-1 0,-1 1 0,0 0 0,1-1 0,-1 1 0,1 0 0,0-1 0,2-1-15,0 1 1,0 0-1,0 0 1,1 0-1,-1 1 0,0-1 1,1 1-1,-1-1 1,0 1-1,1 0 0,-1 1 1,0-1-1,1 0 1,-1 1-1,0 0 1,0 0-1,1 0 0,-1 0 1,0 0-1,0 1 1,0-1-1,0 1 0,0 0 1,-1 0-1,4 3 1,-2-2 4,-1 1 0,0 0 1,0 0-1,0 1 1,-1-1-1,1 0 0,-1 1 1,0-1-1,0 1 0,-1 0 1,1 0-1,-1 0 1,0 0-1,-1 0 0,1 0 1,-1 7-1,1-9 1,-1-1-1,0 1 1,0-1-1,0 0 1,0 1-1,-1-1 1,1 1-1,-1-1 1,1 1-1,-1-1 1,0 0-1,0 1 1,0-1-1,0 0 1,0 0-1,-1 0 1,1 0-1,-1 0 1,1 0-1,-1 0 1,0 0-1,1 0 1,-1-1-1,0 1 1,0-1-1,-1 1 1,1-1 0,0 0-1,0 0 1,0 0-1,-1 0 1,1 0-1,-1-1 1,1 1-1,-5 0 1,-15 3-132,0-1 0,-1-1 1,-42-1-1,48-1-1117,72-3-6867,-16-7-368</inkml:trace>
  <inkml:trace contextRef="#ctx0" brushRef="#br0" timeOffset="17133.75">7720 1022 8516,'0'0'15007,"-5"-3"-14724,4 2-272,0 0-5,0 0 0,1 0 1,-1 1-1,0-1 0,0 0 1,1 0-1,-1 1 0,0-1 0,0 1 1,0-1-1,0 1 0,0-1 1,0 1-1,0 0 0,0-1 1,0 1-1,0 0 0,0 0 0,0 0 1,0 0-1,0-1 0,0 2 1,0-1-1,0 0 0,0 0 1,0 0-1,0 0 0,0 1 0,0-1 1,0 0-1,0 1 0,0-1 1,0 1-1,0-1 0,0 1 1,0 0-1,0-1 0,0 1 0,1 0 1,-1-1-1,0 1 0,1 0 1,-1 0-1,0 0 0,1 0 1,-1 0-1,1 0 0,-1 0 1,1 0-1,0 0 0,-1 1 0,-1 2 35,1 1 0,-1-1 0,1 0 0,0 1 0,0 0 0,0-1 0,1 1 0,0 0 0,0-1 0,0 1 0,0 0 0,1-1-1,-1 1 1,1 0 0,1-1 0,-1 1 0,1-1 0,-1 0 0,1 1 0,4 5 0,4 5 37,1 0 1,0-1 0,1 0-1,15 13 1,18 23-43,-40-45-129,-4-3-26,1 0 1,0 0-1,-1 0 0,1 0 1,-1 0-1,0 0 0,0 1 1,0-1-1,0 0 0,0 0 1,0 1-1,-1-1 0,1 1 1,-1 2-1,-35-4-4475,33-1 4154,-1 0 1,1 0-1,0 0 0,0-1 0,0 1 1,0 0-1,0-1 0,0 1 0,0-1 1,0 0-1,0 0 0,0 1 1,0-1-1,0-1 0,0 1 0,-2-2 1,-8-12-5337</inkml:trace>
  <inkml:trace contextRef="#ctx0" brushRef="#br0" timeOffset="17381.8">7709 958 7619,'0'0'15608,"13"-9"-15320,10 9 48,9 0-160,4 0 64,1 0-112,1 4-128,-4 1 0,-8 1-400,-11-2-865,-11 0-1952</inkml:trace>
</inkml:ink>
</file>

<file path=xl/ink/ink3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4:27.777"/>
    </inkml:context>
    <inkml:brush xml:id="br0">
      <inkml:brushProperty name="width" value="0.05" units="cm"/>
      <inkml:brushProperty name="height" value="0.05" units="cm"/>
      <inkml:brushProperty name="color" value="#F6630D"/>
    </inkml:brush>
  </inkml:definitions>
  <inkml:trace contextRef="#ctx0" brushRef="#br0">968 384 3201,'0'0'11011,"-1"19"-10171,0 28-259,2 0 0,2 0 0,10 52 0,13 63 755,-22-99 1615,-6-76-2746,0 0 1,0 1-1,-2-1 0,1 0 0,-10-20 1,-2-9-173,0-5-56,3-1 0,2-1-1,3 1 1,1-1 0,1-51 0,5 98 6,0 0 0,0-1 0,1 1 0,-1 0 0,0 0 0,1 0 0,0 0 0,0 0 0,-1 0 0,1 0 0,0 0 0,1 1 0,-1-1 0,0 0 0,0 0 0,1 1 0,-1-1 0,1 1 0,-1-1 0,1 1 0,0 0 0,0 0-1,0-1 1,-1 1 0,1 1 0,0-1 0,0 0 0,0 0 0,0 1 0,0-1 0,1 1 0,-1-1 0,0 1 0,0 0 0,4 0 0,0 0 6,0 0 0,0 0 0,0 1-1,0-1 1,0 1 0,0 1 0,0-1 0,0 1 0,0 0-1,-1 0 1,10 6 0,-8-3-3,0 1-1,0-1 1,0 2-1,-1-1 1,0 1 0,-1 0-1,1 0 1,-1 0-1,-1 1 1,1 0-1,-1 0 1,-1 0 0,6 15-1,-6-11-57,0 0-1,-1 0 0,0 0 1,-1 0-1,-1 1 0,1-1 1,-2 0-1,0 0 0,-4 20 1,2-23 53,-1 0 0,0 0 0,0 0 0,-1-1 1,0 0-1,0 0 0,-1 0 0,0-1 0,0 0 0,-1 0 1,0-1-1,0 1 0,-1-2 0,0 1 0,0-1 0,-16 9 1,23-14 34,1 0 1,-1 1 0,1-1 0,-1 0 0,1 1-1,-1-1 1,1 0 0,-1 0 0,1 1 0,-1-1-1,0 0 1,1 0 0,-1 0 0,1 0 0,-1 0-1,1 0 1,-1 0 0,0 0 0,1 0 0,-1 0-1,1 0 1,-1 0 0,0 0 0,1-1 0,-1 1-1,1 0 1,-1 0 0,1-1 0,-1 1 0,1 0-1,-1-1 1,0 0 0,-1-17 956,2 14-937,0 3-45,0 1 0,0 0-1,0-1 1,1 1 0,-1 0 0,0-1 0,0 1-1,1 0 1,-1-1 0,0 1 0,1 0 0,-1 0-1,0 0 1,1-1 0,-1 1 0,0 0 0,1 0-1,-1 0 1,0 0 0,1-1 0,-1 1 0,1 0-1,-1 0 1,0 0 0,1 0 0,-1 0 0,1 0-1,-1 0 1,0 0 0,1 0 0,-1 0 0,0 1-1,1-1 1,13 2-25,-7 2 23,0 0-1,-1 0 1,1 1-1,-1-1 1,0 1-1,0 1 1,0-1-1,-1 1 0,0 0 1,5 8-1,-2-4-327,0-1 0,1 0 0,11 11 0,-14-16-272,1 0 1,-1-1-1,1 1 0,-1-1 1,1 0-1,0-1 0,0 0 1,13 3-1,33-1-5848,-16-4-208</inkml:trace>
  <inkml:trace contextRef="#ctx0" brushRef="#br0" timeOffset="898">1425 657 5250,'0'0'12078,"-16"-13"-11382,-48-40-416,63 52-272,-1 0-1,1 0 1,0 0-1,-1 0 1,0 0-1,1 0 1,-1 0-1,1 0 1,-1 1-1,0-1 1,0 1-1,1-1 1,-1 1-1,0 0 1,0 0-1,1 0 1,-1 0-1,0 0 1,0 0-1,0 0 0,1 0 1,-1 1-1,0-1 1,0 1-1,1-1 1,-1 1-1,1 0 1,-1 0-1,0-1 1,1 1-1,-1 0 1,1 1-1,0-1 1,-1 0-1,1 0 1,0 0-1,0 1 1,0-1-1,-1 1 1,2-1-1,-1 1 1,0-1-1,-1 3 0,-1 1 3,-2 2-10,0 0 1,1 1-1,0-1 0,0 1 0,1 0 1,0 0-1,0 0 0,-2 13 1,2-1-52,1 0 0,1 29 1,1-45 44,0 0 1,0 0-1,0 0 1,1 0-1,0-1 0,-1 1 1,1 0-1,1-1 1,-1 1-1,0 0 1,1-1-1,0 0 1,0 1-1,0-1 0,0 0 1,1 0-1,-1 0 1,1 0-1,-1-1 1,1 1-1,6 4 1,-3-4 5,0 0 1,1 0 0,-1 0 0,1-1 0,-1 0 0,1 0 0,0-1-1,0 0 1,0 0 0,0 0 0,8-1 0,0 0 26,-9 0 33,0 1 0,0-1 0,1-1-1,-1 1 1,10-3 0,-15 2-31,1 0-1,0 1 0,-1-1 0,1 0 1,-1 0-1,1 0 0,-1 0 0,1 0 1,-1 0-1,0 0 0,1-1 0,-1 1 1,0-1-1,0 1 0,0 0 0,0-1 1,0 0-1,0 1 0,-1-1 0,1 1 1,0-1-1,-1 0 0,1-3 0,2-14 382,-1-1 0,-1 0-1,0 1 1,-2-1 0,0 1 0,-5-24-1,-1 18 397,7 25-739,0 12-246,0 0 1,1 0-1,1 1 1,0-1-1,1 0 1,0 0 0,0-1-1,2 1 1,-1-1-1,1 0 1,1 0-1,0 0 1,1-1 0,0 0-1,0 0 1,11 10-1,-17-18 86,1-1-1,-1 1 1,1-1-1,0 0 1,0 1-1,0-1 1,0 0-1,0 0 1,0 0-1,0 0 1,0 0-1,0-1 1,0 1-1,0-1 1,0 1-1,1-1 1,-1 0-1,0 0 1,0 0-1,1 0 1,-1 0-1,0 0 1,4-2-1,-3 1 141,-1 0 0,0 0-1,1-1 1,-1 1-1,0-1 1,0 1 0,0-1-1,0 0 1,0 0 0,0 0-1,0 0 1,-1 0 0,1 0-1,-1-1 1,0 1-1,1 0 1,-1-1 0,1-3-1,21-78 2437,-16 55-1214,14-38 0,-21 67-1263,0-1-1,0 1 0,1-1 0,-1 0 1,0 1-1,0-1 0,1 1 0,-1-1 1,0 1-1,1-1 0,-1 1 0,1-1 1,-1 1-1,1-1 0,-1 1 1,1-1-1,-1 1 0,1 0 0,-1-1 1,1 1-1,-1 0 0,1 0 0,0-1 1,-1 1-1,1 0 0,-1 0 1,1 0-1,0 0 0,-1 0 0,1 0 1,0 0-1,-1 0 0,1 0 0,0 0 1,-1 0-1,1 0 0,-1 0 0,1 0 1,0 1-1,-1-1 0,1 0 1,-1 0-1,1 1 0,-1-1 0,1 0 1,-1 1-1,1-1 0,-1 1 0,1-1 1,-1 1-1,1-1 0,-1 1 1,0-1-1,1 1 0,0 0 0,25 36-303,-22-31 403,8 13-263,-1 1 1,10 28 0,7 12-1887,-28-59 1894,1 1 0,0-1 1,-1 1-1,1-1 0,0 0 1,0 1-1,0-1 0,0 0 1,0 0-1,0 0 0,0 0 1,1 0-1,-1 0 0,0 0 1,1 0-1,1 1 0,-2-2 123,-1 0-1,1 0 1,0 0-1,-1 0 1,1 0-1,0-1 1,0 1-1,-1 0 1,1 0-1,-1 0 1,1-1-1,0 1 1,-1 0-1,1-1 1,-1 1-1,1 0 1,0-1-1,-1 1 1,1-1-1,-1 1 1,1-1-1,-1 1 1,0-1-1,1 0 1,0 0-1,3-7 260,-1 1-1,1-1 0,-1 0 0,3-14 0,-2 11 80,4-18 475,-6 19-527,1-1 0,0 1-1,1 0 1,0-1 0,1 2 0,0-1 0,0 0 0,12-15 0,-16 25-267,-1 0-1,0 0 1,0 0-1,0-1 1,0 1-1,0 0 1,0 0-1,1 0 1,-1 0-1,0 0 1,0 0 0,0 0-1,0 0 1,1 0-1,-1 0 1,0 0-1,0-1 1,0 1-1,0 0 1,1 0-1,-1 0 1,0 0-1,0 0 1,0 0 0,0 1-1,1-1 1,-1 0-1,0 0 1,0 0-1,0 0 1,0 0-1,1 0 1,-1 0-1,0 0 1,0 0-1,0 0 1,0 0 0,0 1-1,1-1 1,-1 0-1,0 0 1,0 0-1,5 11-182,1 16 78,-5-23 98,3 30-280,-3-24-174,0 0 1,1 0 0,0-1 0,0 1 0,1-1 0,6 15 0,-7-21 91,0-1 0,-1-1 0,1 1 1,0 0-1,1 0 0,-1-1 0,0 1 1,0-1-1,1 0 0,-1 0 0,0 0 1,1 0-1,-1 0 0,1 0 0,0-1 1,-1 1-1,1-1 0,0 1 0,3-1 1,2 0-927,1 0 1,0 0 0,-1 0 0,14-4-1,5-7-1775</inkml:trace>
  <inkml:trace contextRef="#ctx0" brushRef="#br0" timeOffset="1887.66">2140 760 544,'0'0'7054,"0"-16"-3642,-1-51-640,0 64-2551,1 1 0,-1-1 0,0 0 0,0 0 0,0 0 0,0 1 0,0-1 0,0 1 0,-1-1 0,1 1 0,-1-1 0,0 1 0,0 0 0,0 0 0,0 0 0,0 0 0,0 0 0,-1 0 0,1 0-1,-1 1 1,-3-3 0,0 2 103,1-1 0,-1 1 0,0 1 0,0-1-1,0 1 1,0 0 0,-10-1 0,12 2-299,0-1 0,-1 1 0,1 0 0,0 0 0,0 0 0,-1 1 0,1 0 0,0-1 0,0 1 0,0 1 0,0-1 0,0 1 1,0-1-1,0 1 0,0 0 0,1 1 0,-1-1 0,1 1 0,0-1 0,-1 1 0,1 0 0,1 0 0,-1 1 0,0-1 0,1 0 0,-1 1 0,1 0 0,0-1 1,0 1-1,1 0 0,-1 0 0,-1 8 0,0-5-38,1 1-1,1 0 1,0-1 0,0 1 0,0 0 0,1 0 0,0 0 0,0 0-1,1 0 1,0-1 0,4 14 0,-4-17-143,0-1-1,1 1 1,-1-1 0,1 1-1,0-1 1,0 0-1,1 0 1,-1 0 0,1 0-1,-1 0 1,1-1 0,0 1-1,0-1 1,0 1 0,0-1-1,1 0 1,-1 0-1,1-1 1,-1 1 0,1-1-1,-1 1 1,1-1 0,0 0-1,0-1 1,5 2-1,-3-2-85,-1 1 0,1 0 0,-1-1 0,1 0 0,-1-1 0,1 1 0,-1-1 0,0 0 0,1 0 0,-1-1 0,0 1-1,7-4 1,-9 3 315,1-1-1,-1 1 0,0-1 0,0 0 0,0 0 0,-1 0 0,1 0 0,-1 0 1,1 0-1,-1-1 0,0 1 0,0-1 0,-1 0 0,1 0 0,-1 1 0,0-1 1,1-5-1,2-8 1277,-2-1 0,0 1 1,-1-1-1,-1-17 0,0 18 559,-1 72-1902,-1-34-9,2 1-1,0-1 1,1 0-1,1 1 1,1-1-1,6 21 1,68 147 103,-54-141-109,-3 1 1,-1 1 0,19 85-1,-33-78-1626,-25-58 648,12-2 998,1 0 1,0-1 0,0 0 0,0 0-1,1-1 1,0 0 0,0 0 0,0 0-1,0-1 1,-7-9 0,1 0 18,1 0 1,1 0-1,-13-26 1,18 31-39,1-1 1,0 0 0,0 0 0,1 0-1,1 0 1,0 0 0,1-1 0,0 1 0,0-1-1,1 1 1,1-1 0,3-18 0,0 12-80,1 0 0,0 0 0,2 0 0,0 1 1,1 0-1,18-30 0,18-15-543,-27 39 471,25-44 0,-38 58 293,0 0 0,0 0 0,-1 0 0,0 0 0,0-1 0,-1 1 0,-1-1 0,1 0 0,-1-10 0,-14 106-457,12-85 255,1 0-1,0 1 1,0-1-1,0 0 0,0 1 1,1-1-1,-1 1 1,0-1-1,0 0 1,1 0-1,-1 1 1,1-1-1,-1 0 0,1 1 1,0-1-1,-1 0 1,1 0-1,0 0 1,0 0-1,0 0 0,0 0 1,0 0-1,0 0 1,1 1-1,1-1-34,0 0-1,-1-1 1,1 1-1,0-1 1,-1 1-1,1-1 1,0 0-1,0 0 1,0 0-1,-1 0 1,5-2-1,-5 2 113,1-1 0,0 0 0,-1-1 0,1 1 0,-1 0 0,0-1 0,0 0 0,1 1 0,-1-1 0,0 0 0,0 0 0,0 0 0,-1 0 0,1 0 0,0-1 0,-1 1 0,3-5 0,18-46 91,-19 44 22,-1 0 1,0-1 0,-1 1 0,1-1-1,-2 0 1,0 1 0,0-1-1,0 0 1,-4-14 0,4 23-95,-1-1 0,0 1-1,0 0 1,0-1 0,0 1 0,0 0 0,0 0 0,0 0 0,0 0-1,-1 0 1,1 0 0,0 0 0,-1 0 0,1 0 0,-1 0 0,1 1-1,-1-1 1,1 1 0,-1-1 0,1 1 0,-1 0 0,1-1-1,-3 1 1,-42 0 345,35 0-216,8 0-142,-1 1 1,1-1-1,-1 1 1,1 0-1,-1 0 1,1 0-1,-1 0 1,1 0-1,0 1 1,0 0-1,0-1 1,0 1 0,0 0-1,0 1 1,0-1-1,1 0 1,-5 5-1,3-1-11,1-1 0,-1 0-1,1 1 1,0 0 0,0 0-1,1 0 1,-1 0 0,2 0 0,-3 10-1,2-8-11,1 1 0,0-1 0,0 1 0,1-1 0,0 1 0,1-1-1,-1 1 1,2 0 0,-1-1 0,1 0 0,1 1 0,-1-1 0,1 0 0,1 0 0,4 8 0,0-5 110,1 0 1,0-1 0,1 0 0,0-1 0,0 0 0,17 10-1,-19-13-453,1-2-1,0 1 0,17 5 1,-19-7-1023,1-1 0,-1-1 0,1 1 1,0-1-1,10 0 0,1-1-7235</inkml:trace>
  <inkml:trace contextRef="#ctx0" brushRef="#br0" timeOffset="2260.71">2813 232 12358,'0'0'12352,"-4"-8"-12093,1 3-248,-11-15 8,6 18-16,1 15-2,1 14 67,1 0-1,2 1 0,0-1 1,2 1-1,1 0 0,1 0 0,2-1 1,0 1-1,2-1 0,1 0 0,1 0 1,2 0-1,22 49 0,-16-46-54,0 0 0,2-2-1,34 44 1,-49-69-82,1 0 1,0 0-1,0-1 1,1 1 0,-1-1-1,0 0 1,5 3-1,-7-5-66,0 1 0,0-1 0,0 1-1,0-1 1,0 0 0,0 1 0,0-1 0,0 0-1,0 0 1,0 0 0,0 0 0,0 1 0,0-1-1,0-1 1,0 1 0,0 0 0,0 0 0,0 0-1,0-1 1,0 1 0,0 0 0,0-1 0,0 1-1,0-1 1,0 1 0,0-1 0,0 1 0,-1-1-1,1 0 1,0 1 0,0-1 0,-1 0 0,1 0-1,0-1 1,10-20-6345,5-7-5595</inkml:trace>
  <inkml:trace contextRef="#ctx0" brushRef="#br0" timeOffset="2648.14">3045 403 6339,'0'0'13379,"0"0"-13368,-1 0 0,1 0 0,0-1 0,0 1 0,0 0 0,0 0 0,0 0 0,0 0 0,0 0 0,0 0 0,-1 0 0,1-1 0,0 1 0,0 0 0,0 0 0,0 0 0,0 0 0,0 0 0,-1 0 0,1 0 0,0 0 0,0 0 0,0 0 0,0 0 0,0 0 0,-1 0 0,1 0 0,0 0 0,0 0 0,0 0 0,0 0 0,-1 0 0,1 0 0,0 0 0,0 0 0,0 0 0,0 0 0,0 0 0,0 1 0,-1-1 0,1 0 0,0 0 0,0 0 0,0 0 0,0 0 0,0 0 0,0 0 0,0 1 0,0-1 0,-1 0 0,0 8-37,0 1 0,0 0 1,0-1-1,1 1 0,1-1 1,-1 1-1,4 12 0,-3-18 19,0-1 0,0 1 0,0-1 0,1 1 1,-1-1-1,1 0 0,-1 1 0,1-1 0,0 0 0,0 0 0,0 0 0,0 0 0,1-1 0,-1 1 0,0-1 0,1 1 0,-1-1 0,1 0 1,-1 0-1,5 2 0,-3-2-72,1 0 0,-1 0 0,0 0 0,1 0 0,-1-1 0,0 1 0,1-1 0,-1 0 1,1-1-1,-1 1 0,0-1 0,8-2 0,-10 3 64,-1-1-1,1 0 1,-1 0 0,0 0-1,1-1 1,-1 1 0,0 0-1,0 0 1,0-1-1,0 1 1,0 0 0,0-1-1,0 1 1,-1-1 0,1 0-1,-1 1 1,1-1 0,-1 1-1,1-1 1,-1 0 0,0 1-1,0-1 1,1-2 0,-1-47 405,-1 34 575,1 18-940,5 84 640,-4-74-1397,1-1 0,0 0 1,1 0-1,0-1 0,0 1 0,1-1 1,0 1-1,7 8 0,5 6-6234</inkml:trace>
  <inkml:trace contextRef="#ctx0" brushRef="#br0" timeOffset="3178.79">3460 533 9812,'0'0'13740,"-1"4"-13406,-7 29-189,0 1 1,-3 51 0,2-14-36,4-42-65,0 1-62,-2 52-1,7-81-99,-1-20 229,-3-35-98,3 1-1,2-1 1,2 0 0,3 1-1,2 0 1,2 1 0,18-53-1,-28 104-23,0 1 0,0-1 0,1 1-1,-1-1 1,0 1 0,1-1 0,-1 1-1,0 0 1,1-1 0,-1 1 0,0-1 0,1 1-1,-1 0 1,1 0 0,-1-1 0,1 1 0,-1 0-1,1 0 1,-1 0 0,1-1 0,-1 1-1,1 0 1,-1 0 0,1 0 0,-1 0 0,1 0-1,-1 0 1,1 0 0,-1 0 0,1 0-1,-1 0 1,1 0 0,0 0 0,-1 1 0,1-1-1,-1 0 1,0 0 0,1 0 0,-1 1-1,1-1 1,-1 0 0,1 1 0,-1-1 0,0 0-1,1 1 1,0 0 0,18 17-83,12 27-216,-2 1 0,-2 2 0,-2 0 0,-2 2-1,20 66 1,-42-112-283,5 14-2132,-5-7-3737</inkml:trace>
  <inkml:trace contextRef="#ctx0" brushRef="#br0" timeOffset="3366.79">3410 723 4722,'0'0'13863,"64"-21"-13863,-32 21 0,3 0 48,1 0-48,0 0-2962,1-6-1744,-1-5-4242</inkml:trace>
  <inkml:trace contextRef="#ctx0" brushRef="#br0" timeOffset="3617.34">3839 505 10869,'0'0'14190,"0"6"-13864,-1 28-300,1 0-1,2 0 1,2 0-1,14 62 1,-14-87-609</inkml:trace>
  <inkml:trace contextRef="#ctx0" brushRef="#br0" timeOffset="4025.48">3948 271 5507,'0'0'14948,"0"10"-14436,-1 23-549,0-16 20,0 0 0,4 31 0,-3-47-61,1 0 1,-1 0-1,0 0 1,0-1-1,0 1 0,1 0 1,-1 0-1,0-1 1,1 1-1,-1 0 0,0-1 1,1 1-1,-1 0 1,1-1-1,0 1 0,-1-1 1,1 1-1,-1 0 1,1-1-1,0 0 1,-1 1-1,1-1 0,0 1 1,-1-1-1,1 0 1,0 1-1,0-1 0,0 0 1,-1 0-1,1 0 1,0 0-1,0 1 1,0-1-1,-1 0 0,1-1 1,0 1-1,0 0 1,0 0-1,-1 0 0,1 0 1,0 0-1,0-1 1,-1 1-1,1 0 0,1-1 1,0 0 49,0 0 1,1 0-1,-1-1 1,0 1-1,0 0 1,0-1-1,0 1 1,0-1 0,-1 0-1,1 0 1,0 0-1,-1 0 1,3-3-1,-2-1 42,-1 0-1,1 0 1,-1 0-1,0 0 1,-1 0-1,0-11 1,0 12 285,0 0-1,0-1 1,0 1-1,1-1 1,0 1 0,0 0-1,1-1 1,1-5 0,5 30-681,-7-12 321,20 72-1268,-18-72 561,-1 0 0,2 0 0,-1 0 0,1-1 1,5 7-1,6 2-4301</inkml:trace>
  <inkml:trace contextRef="#ctx0" brushRef="#br0" timeOffset="4381.6">4219 0 8740,'0'0'16754,"4"13"-16666,51 125 804,36 106-210,-79-205-676,-2 1 0,-2 0 0,-2 1 0,3 57 0,-9-90 5,1 6-194,-1-1 0,0 0 0,-1 0 0,-1 1 0,-4 17-1,5-28 49,-1 1 0,1-1 0,-1 0 0,1 1 0,-1-1 0,0 0 0,0 0 0,0-1 0,-1 1 0,1 0 0,-1-1 0,1 1 0,-1-1 0,0 0 0,0 0 0,0 0 0,0 0 0,0 0 0,0-1 0,-1 0 0,1 1 0,-1-1-1,1 0 1,-7 0 0,-39 1-5630,49-2 5625,0 0-1,-1 0 1,1 0-1,0 0 1,-1 0 0,1-1-1,0 1 1,0 0-1,-1 0 1,1 0 0,0 0-1,-1 0 1,1 0-1,0-1 1,0 1 0,-1 0-1,1 0 1,0 0-1,0-1 1,-1 1-1,1 0 1,0 0 0,0-1-1,0 1 1,0 0-1,-1-1 1,1 1 0,0 0-1,0 0 1,0-1-1,0 1 1,0 0 0,0-1-1,0 1 1,0 0-1,0-1 1,0 1-1,0 0 1,0-1 0,0 1-1,0 0 1,0 0-1,0-1 1,1 0 0,-1-2-1447,0-11-7113</inkml:trace>
  <inkml:trace contextRef="#ctx0" brushRef="#br0" timeOffset="51776.36">6 836 7443,'0'0'12238,"-5"-11"-9837,5 17-2452,-1 10 21,2 0 0,4 28-1,-4-40 26,-1-1 0,1 1 0,0-1 0,0 1 0,1-1 0,-1 1 0,1-1 0,-1 0 0,1 0 0,0 0 0,1 0 0,-1 0 0,0 0 0,1 0 0,-1-1 0,1 1 0,0-1 0,5 4 0,-4-5 14,0 0 1,-1 0 0,1 0-1,0 0 1,0-1 0,0 1-1,0-1 1,0 0 0,0 0-1,0 0 1,0-1 0,-1 1-1,1-1 1,0 0 0,0 0 0,0-1-1,-1 1 1,1-1 0,-1 1-1,1-1 1,4-4 0,9-5 320,-1-2 1,29-26-1,-28 23-200,44-41 423,-24 21-408,1 2 0,2 1 0,1 2 0,46-26 0,-77 54-664,-15 11-261,-15 13-321,20-21 1099,-120 104-8911,78-68 941</inkml:trace>
  <inkml:trace contextRef="#ctx0" brushRef="#br0" timeOffset="18906.37">1109 1855 6147,'0'0'15842,"0"5"-15685,-1 72 47,0 11 349,16 143 0,-13-249 267,-2-39 1,-17-56-724,7 62-32,-2-66 0,11 94-80,-1 2-61,2 0 0,0 0 0,2 0 0,5-34 0,-6 51 66,0 0 0,0 0 1,0 0-1,1 0 0,0 0 1,-1 0-1,1 1 0,0-1 1,1 1-1,-1-1 1,0 1-1,1 0 0,0 0 1,0 0-1,0 0 0,0 1 1,0-1-1,1 1 1,-1-1-1,1 1 0,0 1 1,-1-1-1,1 0 0,0 1 1,0 0-1,0 0 0,0 0 1,0 0-1,0 1 1,5-1-1,-5 1 4,-1-1 1,1 1-1,0 0 1,0 1-1,-1-1 1,1 1-1,0-1 1,-1 1-1,1 0 1,0 0-1,-1 1 1,0-1-1,1 1 1,-1 0-1,0-1 1,0 2-1,1-1 1,-2 0-1,1 0 1,0 1-1,0 0 1,-1 0-1,0-1 0,1 1 1,-1 1-1,0-1 1,0 0-1,1 5 1,3 6-13,0 1 1,-1-1-1,-1 1 0,-1-1 1,0 1-1,-1 0 0,0 0 1,-1 1-1,-1-1 0,-1 0 1,0 0-1,-4 21 0,1-23 13,0-1-1,-1 1 1,-1-1-1,0 0 1,0 0-1,-1 0 1,-1-1-1,0 0 1,0-1 0,-1 1-1,-1-2 1,1 1-1,-2-1 1,1-1-1,-1 0 1,-18 10-1,28-21 82,0 0-1,0 0 1,0 0-1,1 0 1,-1-1 0,1 1-1,0 0 1,0 0-1,0 0 1,0-4 0,0 4-30,0 3-47,0-1 0,0 0 0,0 0 0,0 0 0,0 0 0,0 0 0,0 0 0,0 0 0,0 0 0,0 0 0,0 0 0,1 0 0,-1 0 0,0 0 0,1 0 0,-1 0 0,1 0 0,-1 0-1,1 1 1,-1-1 0,1 0 0,0 0 0,-1 0 0,1 1 0,0-1 0,0 1 0,-1-1 0,1 0 0,0 1 0,0-1 0,0 1 0,0 0 0,0-1 0,0 1 0,-1 0 0,1-1 0,0 1 0,0 0 0,0 0 0,2 0 0,0 0-10,-1 1 0,0-1 0,0 1 0,1 0 0,-1 0 0,0 0 0,0 0 0,0 0 0,0 0 0,0 0 0,0 1 0,-1-1 0,1 1-1,0-1 1,-1 1 0,3 3 0,7 12 16,0 0 0,11 30 0,-13-27-302,22 35 0,-28-52 46,0 0 0,0 0 0,1 0 0,-1 0 0,1-1-1,-1 1 1,1-1 0,0 0 0,0 0 0,0 0 0,0-1-1,0 1 1,1-1 0,-1 0 0,0 0 0,1-1 0,-1 1-1,0-1 1,6 0 0,0 0-1186,-1-1-1,1 0 1,-1 0 0,1 0-1,-1-1 1,0-1 0,17-6-1,8-9-5744</inkml:trace>
  <inkml:trace contextRef="#ctx0" brushRef="#br0" timeOffset="19761.55">1560 2075 2417,'0'0'14487,"-10"-11"-12999,-32-34-527,41 44-931,-1-1 0,1 1 0,-1 0 0,1 0 0,-1 0 0,0 0 0,1 0 0,-1 1 0,0-1 0,0 0 0,0 1 0,1-1 0,-1 1 0,0 0 0,0 0 0,0-1 0,0 1 0,0 0 0,0 1 0,0-1 0,0 0 0,1 1 0,-1-1 0,0 1 0,0-1 0,0 1 0,1 0 0,-1 0 0,0-1 0,1 1 0,-1 1 0,0-1 0,1 0 0,0 0 0,-1 1 0,1-1 0,0 0 0,-1 1 0,0 1 0,-4 4-22,1 0-1,-1 1 1,1 0-1,1 0 1,-1 0-1,1 0 1,1 1-1,0-1 0,0 1 1,0 0-1,1 0 1,1 0-1,0 0 1,0 0-1,0 0 0,1 0 1,1 1-1,1 11 1,-1-19-17,-1 0 1,1 0-1,0 0 1,0-1 0,0 1-1,0 0 1,0 0-1,0-1 1,1 1-1,-1-1 1,0 1-1,1-1 1,0 1 0,-1-1-1,1 0 1,0 0-1,-1 0 1,1 0-1,0 0 1,0 0-1,0 0 1,0-1 0,0 1-1,0-1 1,0 1-1,0-1 1,2 0-1,9 2-26,0-1 1,0-1-1,14-1 0,-20 1-21,-4 0 54,1-1 0,0 0-1,-1 0 1,1 0 0,-1 0 0,0 0 0,1-1 0,-1 1 0,0-1 0,0 0 0,0 0 0,0 0 0,0 0 0,-1-1 0,1 1 0,0-1 0,-1 1 0,0-1 0,0 0 0,0 0 0,0 0 0,0 0-1,-1-1 1,1 1 0,-1 0 0,0-1 0,2-5 0,1-7 278,-1 0-1,0 0 1,-1 0 0,-1-29-1,-1 44-184,-1 2-97,0-1 0,0 1 1,0-1-1,0 1 0,0-1 0,0 1 1,1 0-1,-1-1 0,0 1 0,0 0 1,0 0-1,1 0 0,-1 0 0,0-1 1,1 1-1,-1 0 0,1 0 0,-1 0 1,1 0-1,0 0 0,-1 0 0,1 0 1,0 1-1,0-1 0,0 0 0,0 0 1,0 2-1,-3 33-208,3-35 210,0 2-99,0 0 0,0 1 1,0-1-1,0 0 0,0 1 0,1-1 0,0 0 1,-1 1-1,1-1 0,0 0 0,1 0 0,-1 0 1,0 0-1,1 0 0,0 0 0,0-1 0,0 1 1,0 0-1,0-1 0,0 1 0,1-1 0,-1 0 1,1 0-1,-1 0 0,1 0 0,0 0 0,0-1 1,0 1-1,4 1 0,0-1-490,-1 1-1,0-1 1,1 0-1,-1-1 1,1 1-1,9-1 1,-14 0 576,-1-1 1,1 0 0,0 0-1,-1 0 1,1 0 0,-1-1-1,1 1 1,-1 0 0,1-1-1,-1 1 1,1-1 0,-1 1-1,1-1 1,-1 0 0,0 1-1,1-1 1,-1 0 0,0 0-1,1 0 1,-1 0 0,0 0-1,0-1 1,0 1 0,0 0-1,0 0 1,0-1 0,-1 1-1,1 0 1,0-1 0,-1 1 0,2-4-1,4-25 2008,-1 0 0,-2 0 0,0-48 0,-3 78-1990,0 0 0,0-1 0,0 1 0,0 0 0,0 0-1,1-1 1,-1 1 0,0 0 0,0 0 0,0 0 0,0-1 0,1 1 0,-1 0 0,0 0 0,0 0 0,0-1 0,1 1 0,-1 0 0,0 0 0,0 0 0,0 0 0,1 0-1,-1 0 1,0 0 0,0-1 0,1 1 0,-1 0 0,0 0 0,1 0 0,-1 0 0,0 0 0,0 0 0,1 0 0,-1 0 0,0 0 0,0 1 0,1-1 0,-1 0 0,0 0-1,0 0 1,1 0 0,-1 0 0,0 0 0,0 0 0,0 1 0,1-1 0,-1 0 0,0 0 0,0 0 0,0 0 0,1 1 0,-1-1 0,0 0 0,0 0 0,0 1 0,0-1 0,0 0-1,1 0 1,-1 1 0,0-1 0,0 0 0,0 0 0,0 1 0,0-1 0,0 0 0,0 0 0,0 1 0,19 44-34,-11-24-684,0-1-1,2 0 1,19 29-1,-29-48 703,0-1 0,0 1 0,1-1-1,-1 1 1,0-1 0,1 1 0,-1-1-1,0 0 1,1 1 0,-1-1 0,1 1-1,-1-1 1,0 0 0,1 1 0,-1-1-1,1 0 1,-1 0 0,1 1 0,-1-1 0,1 0-1,-1 0 1,1 0 0,-1 0 0,1 1-1,0-1 1,-1 0 0,1 0 0,-1 0-1,1 0 1,-1 0 0,1 0 0,-1-1 0,1 1-1,-1 0 1,1 0 0,-1 0 0,1 0-1,-1-1 1,1 1 0,-1 0 0,1 0-1,-1-1 1,1 1 0,-1-1 0,1 1 0,-1 0-1,0-1 1,1 1 0,-1-1 0,0 1-1,1 0 1,-1-1 0,0 1 0,1-2-1,12-31 977,-12 29-1009,9-30 812,-2 7 157,0 0 0,23-46 0,-31 73-924,0-1-1,0 1 1,0-1 0,0 1 0,0 0 0,0-1 0,0 1-1,1-1 1,-1 1 0,0-1 0,0 1 0,1 0-1,-1-1 1,0 1 0,0-1 0,1 1 0,-1 0 0,1-1-1,-1 1 1,0 0 0,1 0 0,-1-1 0,1 1-1,-1 0 1,0 0 0,1-1 0,-1 1 0,1 0 0,-1 0-1,1 0 1,-1 0 0,1 0 0,-1 0 0,1 0-1,-1 0 1,1 0 0,-1 0 0,1 0 0,-1 0 0,0 0-1,1 0 1,-1 1 0,1-1 0,-1 0 0,1 0-1,-1 0 1,1 1 0,-1-1 0,0 0 0,1 0-1,-1 1 1,0-1 0,1 0 0,-1 1 0,0-1 0,1 1-1,-1-1 1,1 1 0,12 29-219,-12-26 266,9 26-374,-5-14-489,0 0 1,14 28 0,-17-40 225,0-1 0,0 1-1,1-1 1,-1 0 0,1 0-1,-1 0 1,1 0 0,0 0-1,0 0 1,0-1 0,1 0-1,-1 1 1,1-1 0,-1-1-1,1 1 1,-1 0 0,6 1 0,20 1-5661</inkml:trace>
  <inkml:trace contextRef="#ctx0" brushRef="#br0" timeOffset="20790.95">2226 2015 6547,'0'0'13243,"-7"-15"-12392,-24-48-546,30 62-302,1 0 0,-1 0 0,0-1 0,1 1 0,-1 0 0,0 1 0,0-1 0,1 0 0,-1 0 0,0 0 0,0 0 1,0 1-1,0-1 0,0 0 0,0 1 0,0-1 0,-1 1 0,1-1 0,0 1 0,0-1 0,0 1 0,-1 0 0,1 0 1,0-1-1,0 1 0,0 0 0,-1 0 0,1 0 0,0 1 0,0-1 0,-1 0 0,0 1 0,-1 0 1,0 0 1,0 1-1,0 0 0,1-1 0,-1 1 1,0 0-1,-3 5 0,4-5-3,-6 5-107,0 0 0,1 1 0,0 0 0,0 1 1,1-1-1,0 1 0,1 0 0,0 1 0,0-1 0,1 1 1,1 0-1,-1 0 0,1 1 0,1-1 0,0 1 0,1-1 1,-1 22-1,2-30-12,0-1 0,1 1 0,-1-1 0,1 1 0,-1-1 0,1 0 0,-1 1 1,1-1-1,0 1 0,-1-1 0,1 0 0,0 0 0,0 1 0,0-1 0,0 0 0,0 0 0,1 0 0,-1 0 1,0 0-1,0 0 0,1-1 0,-1 1 0,0 0 0,1-1 0,-1 1 0,1-1 0,-1 1 0,1-1 1,-1 0-1,1 1 0,-1-1 0,1 0 0,-1 0 0,3 0 0,-1 0 141,0 0-1,0 0 0,-1 0 1,1 0-1,0-1 1,0 1-1,0-1 1,-1 1-1,1-1 0,0 0 1,-1 0-1,1 0 1,-1-1-1,1 1 1,-1-1-1,0 1 1,1-1-1,2-2 0,-2-2 169,0 1-1,0-1 0,-1 1 1,1-1-1,-1 0 0,-1 0 0,1 0 1,-1 0-1,0 0 0,0-7 1,-2-65 2985,1 64-2651,-3-5 609,3 19-1121,0 0 0,0 0 0,0 0 0,0 1 0,0-1 0,0 0-1,0 0 1,0 0 0,0 0 0,0 0 0,0 0 0,0 0 0,0 0 0,0 0 0,0 0 0,0 0-1,0 0 1,0 1 0,0-1 0,0 0 0,0 0 0,0 0 0,0 0 0,0 0 0,0 0 0,0 0-1,0 0 1,0 0 0,0 0 0,0 0 0,0 0 0,-1 0 0,1 0 0,0 0 0,0 0 0,0 0 0,0 0-1,0 0 1,0 0 0,0 0 0,0 0 0,0 0 0,0 0 0,0 0 0,0 0 0,-1 0 0,1 0-1,0 0 1,0 0 0,0 0 0,0 0 0,0 0 0,-2 34 34,3-21-45,0-1 0,1 0 0,1 0 0,0-1 0,8 20-1,30 58 86,-19-44-54,-7-13-225,-2 0 0,0 0 0,-3 1 0,0 1 1,-3-1-1,0 2 0,-3-1 0,2 42 1,-6-73 130,0-1 1,0 0-1,0 1 1,0-1 0,-1 0-1,1 1 1,-1-1-1,1 0 1,-1 0 0,0 0-1,0 1 1,0-1-1,0 0 1,0 0 0,0 0-1,0 0 1,-3 2-1,1-2-27,1-1-1,0 1 0,-1-1 0,1 0 0,-1 0 0,1 0 1,-1 0-1,0 0 0,1-1 0,-1 1 0,0-1 0,1 0 0,-1 1 1,-4-2-1,1 2 117,1-1 0,0 0 0,0-1 0,-1 1 0,1-1 0,0 0 0,0 0 0,0-1 0,0 1 0,0-1 0,0 0 0,1 0 1,-1-1-1,1 0 0,-1 1 0,1-2 0,0 1 0,0 0 0,0-1 0,1 0 0,-1 0 0,1 0 0,0 0 0,0 0 0,0-1 0,0 1 0,1-1 0,-2-4 0,0 0 78,1 0 0,0-1 0,1 1 0,0 0 0,0-1 0,1 1 0,0-1 0,1 1 0,0-1 0,0 0 0,1 1 0,4-18 0,-1 12-88,1 0-1,0 0 1,1 1 0,1 0 0,0 0 0,19-26-1,3 0 22,-5 7-98,34-58-1,-52 79 100,-1 0 0,0 0 0,0-1 0,-1 0 0,-1 1 0,0-2 0,-1 1 1,0 0-1,0-15 0,-2-12 1112,0 40-1005,-3 5-441,1 0 243,1 0 0,-1 0 0,1 0-1,0 0 1,0 0 0,1 0-1,0 0 1,0 0 0,0 0 0,0 0-1,1 0 1,-1 0 0,1 0 0,1 0-1,2 9 1,-2-11-53,-1 0 1,1-1-1,-1 1 1,1 0-1,0-1 1,0 1-1,0-1 0,1 1 1,-1-1-1,0 0 1,1 0-1,0 0 0,-1 0 1,1-1-1,0 1 1,0-1-1,0 1 0,0-1 1,0 0-1,0 0 1,0 0-1,1-1 1,-1 1-1,0-1 0,6 0 1,-7 0 108,1-1 1,-1 1-1,0 0 1,0-1-1,0 0 1,0 0-1,0 1 1,0-1-1,0 0 1,0-1-1,0 1 1,-1 0-1,1 0 1,0-1-1,-1 1 1,1-1-1,-1 0 1,1 1-1,-1-1 1,0 0-1,0 0 1,0 0-1,0 0 1,0 0 0,0 0-1,0 0 1,-1 0-1,1 0 1,-1 0-1,0 0 1,1-4-1,1-11 256,0 0 0,-1 0 0,-2-20-1,0 17 407,1 18-590,0-1 0,0 0 0,0 0 0,0 0 0,0 1 0,-1-1 0,0 0 0,1 1 0,-1-1 0,0 0 0,-3-4 0,3 6-69,0 0 0,0 0 0,0 1 0,0-1 0,0 0 0,0 1 0,0-1-1,0 0 1,0 1 0,-1-1 0,1 1 0,0 0 0,0-1 0,-1 1 0,1 0 0,0 0 0,0 0 0,-1 0 0,1 0 0,0 0 0,0 0 0,-1 0 0,1 1 0,0-1 0,0 0 0,-1 1 0,0 0 0,0 0-7,0 0 0,1-1 0,-1 1 0,1 0 0,-1 1 0,1-1 0,-1 0 0,1 0 0,0 1 0,0-1 0,-1 0 0,1 1 0,0-1 0,0 1 0,-1 3 0,-11 28-14,11-27 10,-2 8-11,0 1 0,1 0 0,0-1 1,1 1-1,1 0 0,1 17 0,0-25 1,0 1 1,1-1 0,0 0-1,0 0 1,1 1 0,0-1-1,0 0 1,0 0 0,1-1-1,0 1 1,1 0-1,-1-1 1,1 0 0,7 8-1,-4-7-127,1 0-1,0 0 0,0-1 1,1 0-1,0-1 1,0 0-1,0 0 0,0-1 1,1 0-1,13 4 0,-9-5-878,0 0 0,-1-1 0,1-1 0,16 0-1,-10-1-3099</inkml:trace>
  <inkml:trace contextRef="#ctx0" brushRef="#br0" timeOffset="21162.98">2853 1541 4130,'0'0'17725,"-8"16"-17068,3-5-512,-2 3-5,0-1 0,2 1-1,0 0 1,0 1 0,1-1-1,-3 29 1,4-6 156,2 1 0,6 61 0,-2-79-256,0-1 0,2 0 0,0 0 0,1 0 0,1 0 0,17 31 0,-14-31-34,1-2 1,1 1-1,1-2 0,28 30 0,-36-41-24,1 1 1,1-1-1,-1 0 1,1 0-1,0-1 0,0 0 1,0 0-1,0 0 1,1-1-1,0-1 0,-1 1 1,1-1-1,0 0 1,0-1-1,12 1 1,-2-1-84,-13 0-25,0-1 0,0 1 0,-1-1 1,1 0-1,0-1 0,-1 1 0,7-2 0,-7-2-1621</inkml:trace>
  <inkml:trace contextRef="#ctx0" brushRef="#br0" timeOffset="22937.42">3252 1643 2417,'0'0'10456,"-2"-3"-10240,2 3-216,0 0 1,0 0-1,0 0 0,0-1 1,0 1-1,-1 0 1,1 0-1,0 0 1,0 0-1,0-1 1,0 1-1,0 0 1,0 0-1,-1 0 0,1 0 1,0 0-1,0 0 1,0-1-1,0 1 1,-1 0-1,1 0 1,0 0-1,0 0 1,0 0-1,-1 0 1,1 0-1,0 0 0,0 0 1,0 0-1,-1 0 1,1 0-1,0 0 1,0 0-1,0 0 1,-1 0-1,1 0 1,0 0-1,0 0 0,0 0 1,0 0-1,-1 1 1,1-1-1,0 0 1,0 0-1,0 0 1,0 0-1,-1 0 1,1 0-1,0 1 0,0-1 1,0 0-1,0 0 1,0 0-1,0 0 1,0 1-1,-1-1 1,1 0-1,0 0 1,0 0-1,0 0 0,0 1 1,0-1-1,0 0 1,0 0-1,0 0 1,0 1-1,0-1 1,0 0-1,0 1 1,-4 28 73,4-23-74,0 0 0,0 0 0,0 0-1,1 1 1,-1-1 0,2 0-1,-1 0 1,5 11 0,-5-15-50,1 0 0,-1 0 0,1 0 0,0 0-1,0-1 1,0 1 0,0 0 0,0-1 0,0 0 0,0 1 0,1-1 0,-1 0 0,0 0 0,1 0 0,-1 0 0,1-1 0,-1 1 0,1-1 0,0 1 0,-1-1 0,1 0 0,-1 0 0,1 0 0,-1-1 0,1 1-1,0 0 1,-1-1 0,1 0 0,-1 1 0,0-1 0,1 0 0,-1 0 0,0-1 0,1 1 0,-1 0 0,0-1 0,0 1 0,0-1 0,0 0 0,0 0 0,-1 0 0,1 0 0,0 0 0,-1 0 0,0 0 0,1 0-1,-1 0 1,0-1 0,0 1 0,0-1 0,0 1 0,-1-1 0,1-3 0,0-57 2270,-1 62-1695,0 9-605,0 19-266,6 35 0,7-3-4327,-6-38-604</inkml:trace>
  <inkml:trace contextRef="#ctx0" brushRef="#br0" timeOffset="23480.06">3573 1692 7876,'0'0'13697,"0"0"-13683,1-1 1,-1 1-1,0 0 1,0 0-1,1 0 1,-1 0 0,0 0-1,0 0 1,1 0-1,-1-1 1,0 1-1,0 0 1,1 0 0,-1 0-1,0 0 1,0 0-1,1 0 1,-1 0-1,0 0 1,0 0 0,1 1-1,-1-1 1,0 0-1,0 0 1,0 0-1,1 0 1,-1 0 0,0 0-1,0 0 1,1 1-1,-1-1 1,0 0-1,0 0 1,0 0 0,0 0-1,1 1 1,-1-1-1,0 0 1,0 0-1,0 0 1,0 1 0,0-1-1,0 0 1,1 0-1,-1 1 1,0-1 0,0 0-1,0 0 1,0 1-1,0-1 1,0 0-1,0 0 1,0 1 0,2 10 1,0 1 0,-1 0 0,0-1 0,-1 1 1,-2 16-1,1 6 33,1 22 11,2 0-1,2 0 0,18 87 1,-19-217 239,-3-250-537,0 323 150,0 1 75,1 0 1,0-1-1,-1 1 0,1 0 1,0-1-1,0 1 0,0 0 1,-1 0-1,1 0 0,0 0 1,0 0-1,0 0 0,-1 0 1,1 0-1,0 0 0,0 0 1,0 0-1,-1 0 0,1 1 0,0-1 1,0 0-1,-1 1 0,1-1 1,0 0-1,-1 1 0,1-1 1,0 1-1,-1-1 0,2 2 1,16 14 3,0 3 91,0 1 0,-2 0 0,-1 1 0,18 33 1,-26-40-324,0 0 0,-1 1 0,4 18 1,-6-20-1085,-2 1 0,0 1 1,1 27-1,-4-34-2111,-2-2-1681</inkml:trace>
  <inkml:trace contextRef="#ctx0" brushRef="#br0" timeOffset="23684.18">3620 1961 3666,'0'0'9092,"4"-12"-9172,22 12 80,6-1 400,8-1-400,3-2-512,-1-4-1265,-3-1-608,-5-6-2737</inkml:trace>
  <inkml:trace contextRef="#ctx0" brushRef="#br0" timeOffset="23976.64">3978 1682 5346,'0'0'15504,"-1"3"-15350,-1 26 141,2 0-1,0 0 0,2-1 0,1 1 1,1 0-1,2-1 0,0 0 1,2 0-1,1-1 0,2 0 0,0-1 1,17 28-1,-23-50-2003,-6-15-2594,0 1 1842,1-13-5572</inkml:trace>
  <inkml:trace contextRef="#ctx0" brushRef="#br0" timeOffset="24225.57">4168 1607 48,'0'0'23275,"-4"-9"-23676,6 18 401,7 10 0,1 3-1232,-1 3-1569,-3 1-2018,-1 1-5601</inkml:trace>
  <inkml:trace contextRef="#ctx0" brushRef="#br0" timeOffset="24442.7">4290 1963 8868,'0'0'12374,"0"5"-12406,0-1-593,0 2-1488,8-3-1344,5-3-3730</inkml:trace>
  <inkml:trace contextRef="#ctx0" brushRef="#br0" timeOffset="25333.3">4606 1667 6371,'0'0'16762,"0"17"-16100,2 9-604,2-1 1,0 1-1,2 0 1,12 34-1,1 4-41,-15-39 27,-4-19-40,1 0-1,0 0 0,1 0 1,-1 0-1,1 0 1,0 0-1,1 0 1,5 9-1,-8-14 40,0-15 45,-2-18-154,-1-1 1,-2 1 0,-14-47 0,11 47 115,1-1 1,1 0-1,-2-50 1,8 30-128,1 52 66,-1 1 1,1-1-1,0 1 1,-1-1-1,1 1 1,0-1-1,0 1 1,-1 0-1,1-1 1,0 1-1,0 0 1,0-1-1,0 1 1,0 0-1,-1 0 1,1 0-1,0 0 1,0 0-1,0 0 1,0 0-1,0 0 1,1 1-1,23 1-97,-19 1 103,-1-1-1,0 1 1,1 0-1,-1 0 1,-1 0-1,1 1 0,0 0 1,-1 0-1,0 0 1,0 0-1,0 1 1,-1-1-1,1 1 1,-1 0-1,3 6 1,-2-2-6,0 0 0,0 0 0,-1 0 0,0 0 0,0 0 0,-1 1 0,-1 0 0,2 13 0,-3-12-2,0 1 0,-1-1-1,0 0 1,0 0 0,-2 0-1,1 0 1,-1 0 0,-1 0-1,0-1 1,0 1 0,-1-1-1,0 0 1,-10 13 0,6-11 392,12-18 731,15-18-660,-13 22-460,0 0-1,0 0 0,0 1 1,-1-1-1,1 1 0,0 1 1,1-1-1,-1 1 0,0 0 1,0 0-1,0 0 0,0 1 1,0-1-1,0 1 0,0 1 1,0-1-1,0 1 0,-1-1 1,1 1-1,0 1 0,-1-1 1,0 1-1,1 0 0,-1 0 1,0 0-1,6 6 0,-5-3-19,-1 1-1,0-1 1,0 1 0,-1 0-1,0 0 1,0 0 0,0 0-1,-1 1 1,0-1 0,-1 1-1,0-1 1,0 1 0,0 0-1,-1-1 1,-1 12 0,1-17 21,0 0 1,0 0-1,0 0 1,-1 0-1,1 0 1,-1-1-1,0 1 1,1 0 0,-1 0-1,0 0 1,0 0-1,0-1 1,0 1-1,-1-1 1,1 1-1,0-1 1,-1 1-1,-1 1 1,-2 0-4,1 0 1,0 0-1,-1 0 0,0-1 0,0 1 1,-9 2-1,-1-1 13,-1-1 1,1 0-1,-31 1 0,33-3-116,5 0 151,-1-1-1,1 0 1,-1 0-1,-12-2 1,20 2-83,0-1 0,0 1 0,0 0 0,0 0 1,0 0-1,0-1 0,1 1 0,-1-1 0,0 1 0,0-1 0,0 1 0,0-1 1,0 1-1,1-1 0,-1 0 0,0 1 0,0-1 0,1 0 0,-1 0 1,1 1-1,-1-1 0,1 0 0,-1 0 0,1 0 0,-1 0 0,1 0 0,0 0 1,-1 0-1,1 0 0,0 0 0,0 0 0,0 0 0,0 0 0,0 0 1,0 0-1,0 0 0,0 0 0,0 0 0,0 0 0,0 0 0,1 0 0,-1 0 1,0 0-1,2-1 0,-1 1-204,0-1 0,0 1-1,0 0 1,0-1 0,0 1 0,0 0 0,1 0 0,-1 0-1,0 0 1,1 0 0,-1 0 0,1 0 0,-1 0-1,1 1 1,0-1 0,-1 1 0,1-1 0,0 1 0,1-1-1,4-1-964,31-9-4904</inkml:trace>
  <inkml:trace contextRef="#ctx0" brushRef="#br0" timeOffset="25705.53">5093 1705 8852,'0'0'12681,"0"0"-12656,0 0 1,-1-1 0,1 1 0,-1 0-1,1 0 1,-1 0 0,1 0 0,-1 0 0,1 0-1,-1 0 1,1 0 0,-1 0 0,1 0 0,-1 0-1,1 1 1,-1-1 0,1 0 0,-1 0 0,1 0-1,-1 1 1,1-1 0,0 0 0,-1 0-1,1 1 1,-1-1 0,1 1 0,-3 2 82,0 1-1,0-1 1,0 1 0,1 0 0,0 0 0,0 0 0,0 0-1,0 0 1,1 0 0,-1 1 0,1-1 0,0 1-1,0-1 1,0 6 0,0-1 7,0 0-1,1 0 1,0 1 0,0-1-1,1 0 1,2 11 0,-1-14-75,1 0 1,-1-1 0,1 1 0,0-1-1,1 0 1,-1 0 0,1 0 0,0 0-1,0-1 1,0 0 0,6 5 0,58 41 130,-54-40-111,14 7-34,23 17 61,-47-31-157,0 0 0,0 0 1,0 1-1,-1-1 0,0 1 0,1 0 1,-2 0-1,6 9 0,-7-13 28,-1 1 0,0 0 0,0-1 0,1 1 0,-1-1 0,0 1-1,0 0 1,0-1 0,0 1 0,0 0 0,0-1 0,0 1 0,0 0 0,0-1 0,0 1 0,0 0 0,0-1-1,-1 1 1,1-1 0,0 1 0,0 0 0,-1-1 0,1 1 0,0-1 0,-1 1 0,1-1 0,0 1 0,-1-1 0,1 1-1,-1-1 1,1 1 0,-1-1 0,1 0 0,-1 1 0,0-1 0,1 0 0,-1 1 0,1-1 0,-1 0 0,0 0-1,1 1 1,-1-1 0,-1 0 0,-32 4-1591,30-4 1311,-11 1-1091,7 0-15,1-1 1,-1 0-1,1 0 1,-1 0 0,-13-3-1,5-7-5991</inkml:trace>
  <inkml:trace contextRef="#ctx0" brushRef="#br0" timeOffset="25922.19">5093 1710 5891,'0'0'11461,"70"-9"-11253,-44 9 112,5 0-320,-1 0-512,-4 0-2289,-3-4-3378</inkml:trace>
  <inkml:trace contextRef="#ctx0" brushRef="#br0" timeOffset="26369.69">5423 1485 8708,'0'0'11416,"0"3"-10736,0 2-709,3 47 310,-3-49-325,0-1 0,1 0 0,-1 0 0,1 0 0,-1 1 0,1-1 0,0 0 0,0 0 0,0 0 0,0 0 0,0 0 0,0 0 0,1 0 0,-1 0 0,0-1 0,1 1 0,0 0 0,-1-1 0,1 0 0,3 3 0,-5-4-10,1 0 1,0 1-1,0-1 0,-1 0 1,1 0-1,0 0 0,0 0 1,0 0-1,0 0 0,-1 0 1,1 0-1,0 0 0,0 0 1,0 0-1,-1 0 0,1 0 1,0-1-1,0 1 0,0 0 1,-1-1-1,1 1 0,0 0 1,-1-1-1,1 1 0,0-1 1,-1 1-1,2-2 0,-1 0-18,1 0-1,-1 0 1,1 0-1,-1 0 1,0-1-1,0 1 1,0-1-1,2-4 1,5-50-291,-8 56 352,3-17-128,0 45-295,1 2 182,-3-20-365,2 0-1,-1 0 0,1 0 0,1 0 0,-1-1 1,11 16-1,-1-6-3704</inkml:trace>
  <inkml:trace contextRef="#ctx0" brushRef="#br0" timeOffset="26712.24">5643 1270 14503,'0'0'11314,"9"14"-10940,27 41 257,16 21 204,72 143 0,-112-193-843,-1 0 1,-1 1-1,-2-1 0,0 2 1,-2-1-1,-1 1 0,-1 0 1,-1 0-1,-2 0 0,-3 40 1,1-60-117,-1 0 0,0 0 0,0 0 1,-1 0-1,0-1 0,0 1 1,-1-1-1,0 0 0,0 0 0,-1 0 1,1 0-1,-2-1 0,1 0 1,-1 0-1,0 0 0,-11 8 0,4-5-706,1-1-1,-2 0 1,1-1-1,-1 0 1,0-1-1,-1-1 1,1 0-1,-16 3 1,-7-2-5146</inkml:trace>
  <inkml:trace contextRef="#ctx0" brushRef="#br0" timeOffset="28312.43">6486 1739 2225,'-3'0'17661,"299"0"-14690,-99 0-9551,-193 0 6038,-4 0 351,1 0 1,0 0-1,-1 0 1,1 0-1,-1 0 0,1 0 1,-1 0-1,1 0 1,0 0-1,-1 0 1,1 0-1,-1 0 1,1 0-1,-1 0 1,1-1-1,-1 1 0,1 0 1,-1 0-1,1-1 1,-1 1-1,1 0 1,-1-1-1,1 1 1,-1 0-1,0-1 1,1 1-1,0-1 0,0-9-4669</inkml:trace>
  <inkml:trace contextRef="#ctx0" brushRef="#br0" timeOffset="28593.31">6890 1607 3362,'0'0'15337,"3"-1"-14859,-1 1-437,1 0 1,-1 0-1,1 0 1,-1 1-1,1-1 0,-1 1 1,1-1-1,-1 1 1,0 0-1,1 0 1,-1 0-1,0 0 0,1 0 1,-1 1-1,0-1 1,0 1-1,0-1 1,0 1-1,-1 0 0,1 0 1,1 2-1,40 47 563,-36-41-520,-1 0 1,1 0-1,-2 1 1,0 0-1,0 0 0,-1 0 1,0 1-1,-1-1 0,0 1 1,-1 0-1,0 0 0,0 23 1,-2-33-66,-1-1 1,1 1-1,0-1 1,-1 0-1,1 1 1,0-1 0,-1 0-1,0 0 1,1 1-1,-1-1 1,0 0-1,0 0 1,1 0-1,-1 0 1,0 0 0,0 0-1,0 0 1,0 0-1,0 0 1,-3 1-1,-11 7-785,0-3-3409,14-6 3242</inkml:trace>
  <inkml:trace contextRef="#ctx0" brushRef="#br0" timeOffset="52501.17">80 2226 3410,'0'0'11906,"0"-4"-11265,25 57-268,-22-48-359,0 0 0,0 0 0,0 0 0,1 0 0,0 0 0,0-1 0,0 0 0,1 1 0,-1-2 0,1 1 0,8 5 0,-7-7 125,0-1-1,1 0 0,-1 0 0,0 0 1,0-1-1,0 0 0,1 0 1,-1 0-1,0-1 0,0 0 1,0-1-1,0 1 0,0-1 0,0 0 1,0 0-1,-1-1 0,8-4 1,10-7 623,-1 0 1,36-33 0,-23 18-304,35-28 548,51-38 326,-118 93-1296,-4 41-3137,1-37 2655,-1 1-1,1-1 0,-1 1 0,0-1 1,1 0-1,-1 0 0,-1 1 0,1-1 1,0 0-1,0 0 0,-1 0 0,-1 2 1,-8 4-5553</inkml:trace>
</inkml:ink>
</file>

<file path=xl/ink/ink3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5:34.957"/>
    </inkml:context>
    <inkml:brush xml:id="br0">
      <inkml:brushProperty name="width" value="0.05" units="cm"/>
      <inkml:brushProperty name="height" value="0.05" units="cm"/>
      <inkml:brushProperty name="color" value="#F6630D"/>
    </inkml:brush>
  </inkml:definitions>
  <inkml:trace contextRef="#ctx0" brushRef="#br0">14 442 5378,'0'0'11520,"0"3"-11381,-2 133 1697,5 155-569,4-244-1091,-7-46-8,0-22 243,-16-373-187,10 301-211,8-105 1,-2 194-21,1-1 0,-1 0 0,1 1 0,0 0 0,1-1 0,-1 1 0,1 0 0,0-1 0,0 1 0,0 0 0,0 0 0,1 0 0,0 1 0,0-1 0,4-4 0,-5 7-2,0-1-1,0 1 1,0 0-1,0 0 1,0 0-1,0 0 1,0 0-1,0 1 1,1-1-1,-1 1 1,0-1-1,0 1 1,1 0-1,-1 0 1,0 0-1,0 0 1,1 0-1,-1 0 0,0 1 1,0-1-1,1 1 1,-1-1-1,0 1 1,0 0-1,0 0 1,0 0-1,0 0 1,0 1-1,0-1 1,0 0-1,-1 1 1,1-1-1,2 3 1,6 7-3,0 0 1,0 0-1,-1 1 0,0 0 1,-1 1-1,0 0 0,-1 0 1,-1 0-1,7 21 0,-5-9-36,0 0 0,-2 0 0,-1 1 0,2 42-1,-6-55 32,0 0 0,-1 0 0,-1 0 0,0 0 0,-1 0 0,-6 19 0,6-25 16,-1-1 0,0 1 0,0-1 1,-1 1-1,0-1 0,0-1 0,0 1 0,-1 0 1,0-1-1,0 0 0,0 0 0,-1-1 0,-7 6 1,4-4 2,-1-1 0,1 1 1,-1-2-1,-15 6 1,20-8 2,1-1 1,0 0 0,-1 0 0,1 0 0,0 0 0,-1-1-1,1 0 1,-1 0 0,1 0 0,-1 0 0,1-1-1,-1 1 1,-6-3 0,10 2 4,-1 0 1,1 0-1,0 0 1,0 0-1,0 0 1,0 0-1,0 0 1,0 0-1,1 0 1,-1 0-1,0-1 1,0 1-1,1 0 0,-1 0 1,1-1-1,-1 1 1,1-1-1,0 1 1,-1-2-1,-1-28 315,16 50-614,19 36 240,-23-36 52,0-1-1,2-1 1,20 26 0,-27-39-129,0 1 0,-1-1 0,1 0 0,1 0 0,-1 0 0,0 0 0,1-1 0,0 0 0,0-1 0,0 1 0,0-1 0,0 0 0,1 0 0,-1-1 0,12 1 0,-13-1 31,-1-1 0,1 1 0,-1-1-1,1-1 1,-1 1 0,1-1 0,-1 1-1,0-1 1,1 0 0,-1-1 0,0 1 0,0-1-1,0 0 1,6-4 0,-6 3 89,-1 0 0,0 0 0,0 0 0,0-1 0,-1 0 0,0 0 0,1 1 0,-1-1 0,0 0 0,-1-1 0,1 1 0,-1 0 0,0-1 0,2-6 0,1-16 145,-1-1-1,-2 0 1,-2-42-1,0 18 709,1 52-837,0-1 0,0 1-1,0-1 1,0 1 0,0 0 0,0-1 0,0 1 0,0-1 0,0 1 0,0-1 0,0 1 0,1 0 0,-1-1-1,0 1 1,0 0 0,0-1 0,1 1 0,-1-1 0,0 1 0,0 0 0,1 0 0,-1-1 0,0 1-1,1 0 1,-1-1 0,0 1 0,1 0 0,-1 0 0,0 0 0,1-1 0,-1 1 0,1 0 0,15 3-48,13 15-3,-7 6 82,-18-20-316,-1 1 0,1-1 0,1 1 0,-1-1 0,0-1 0,9 6 0,-11-8 147,-3-31 558,0 26-367,-1 0-1,1 0 1,-1 0 0,0 1 0,0-1-1,0 1 1,-1-1 0,1 1 0,-1 0 0,1 0-1,-1 0 1,0 0 0,0 1 0,-1-1-1,1 1 1,0 0 0,-1-1 0,0 2 0,1-1-1,-7-2 1,8 3-54,-1 1-1,1-1 1,-1 0-1,1 1 1,-1-1 0,0 1-1,1 0 1,-1 0-1,0 0 1,1 0-1,-1 1 1,0-1 0,1 1-1,-1-1 1,1 1-1,-1 0 1,1 0-1,-1 0 1,1 0 0,0 1-1,-1-1 1,1 1-1,0-1 1,0 1 0,0 0-1,0 0 1,1 0-1,-1 0 1,0 0-1,1 0 1,-3 4 0,-1 4-13,1 1 1,0-1-1,0 1 1,1 0-1,1 0 1,0 0-1,0 0 1,1 1-1,1-1 1,0 0-1,0 1 1,3 15-1,-2-19-14,0 1 0,1-1 0,0 1 1,1-1-1,0 0 0,0 0 0,0 0 0,1-1 0,1 1 0,-1-1 0,1 0 0,0 0 1,1 0-1,-1-1 0,1 0 0,13 11 0,-13-14-96,0 0-1,0-1 1,0 0 0,0 0-1,0 0 1,0 0 0,1-1 0,-1 0-1,1-1 1,-1 1 0,1-1-1,6-1 1,-11 0 107,0 1-1,0-1 1,0 0 0,0 1-1,0-1 1,0 0-1,0-1 1,0 1 0,0 0-1,-1 0 1,1-1 0,0 1-1,-1-1 1,1 1-1,-1-1 1,0 0 0,1 0-1,-1 1 1,0-1 0,0 0-1,0 0 1,0 0-1,-1 0 1,2-4 0,1-3 29,0-1 0,0 0-1,-1 0 1,2-12 0,-2 3 625,-1 0 0,-1-1 0,-3-36 0,3 56-622,0-1 0,0 1 0,0 0 0,0-1 0,0 1-1,0 0 1,0-1 0,0 1 0,0 0 0,0-1 0,0 1 0,-1 0 0,1-1-1,0 1 1,0 0 0,0-1 0,0 1 0,-1 0 0,1-1 0,0 1 0,0 0-1,-1 0 1,1-1 0,0 1 0,0 0 0,-1 0 0,1 0 0,0-1 0,-1 1 0,1 0-1,0 0 1,-1 0 0,1 0 0,0 0 0,-1 0 0,1 0 0,-11 9 72,-3 22-277,11-18 143,1 0 1,0 0 0,1 0-1,0 0 1,1 0-1,1 0 1,0 1-1,1-1 1,5 18-1,-6-26-89,0-1 0,1 1 0,0 0 0,0-1 0,0 1 0,0-1 0,1 0 0,-1 0 0,1 0 0,0 0 0,1 0 0,-1-1-1,1 1 1,-1-1 0,1 0 0,0 0 0,0 0 0,0-1 0,1 0 0,-1 1 0,1-1 0,-1-1 0,1 1 0,0-1 0,-1 1 0,1-2 0,0 1-1,6 0 1,-9-1 106,0 1 1,0-1-1,0 0 0,0 0 0,0 0 0,1-1 0,-1 1 0,0 0 0,0-1 0,0 0 0,0 1 0,0-1 1,0 0-1,0 0 0,-1 0 0,1 0 0,0 0 0,0-1 0,-1 1 0,3-2 0,-1-1 90,-1-1-1,1 1 0,-1-1 0,0 0 1,0 0-1,0 0 0,1-6 0,1-7 623,0-1-1,-2 1 0,1-28 1,-2 26 212,1-1 0,6-28 0,-8 49-901,0-1 1,0 1 0,0 0 0,0-1-1,0 1 1,0 0 0,0 0-1,1-1 1,-1 1 0,0 0 0,0-1-1,0 1 1,0 0 0,0 0 0,0-1-1,1 1 1,-1 0 0,0 0-1,0-1 1,0 1 0,1 0 0,-1 0-1,0 0 1,0 0 0,0-1 0,1 1-1,-1 0 1,0 0 0,1 0-1,-1 0 1,0 0 0,0 0 0,1 0-1,-1-1 1,0 1 0,1 0 0,-1 0-1,10 9 62,5 18-50,-15-27-15,28 64-441,-15-33-195,20 36 0,-33-65 537,1-1 0,-1 0 0,1 1 0,0-1 0,0 0 0,0 0 0,-1 1 0,1-1-1,0 0 1,1 0 0,-1 0 0,0 0 0,0 0 0,0-1 0,1 1 0,-1 0 0,0 0 0,1-1 0,-1 1-1,0-1 1,1 1 0,-1-1 0,1 0 0,-1 1 0,1-1 0,1 0 0,-1-1 93,0 1 0,-1-1 0,1 0 0,0 0 0,-1 0 0,1 0 0,0 0 0,-1-1 0,0 1 0,1 0 0,-1-1-1,0 1 1,0-1 0,1 1 0,-1-1 0,0 0 0,-1 1 0,1-1 0,1-2 0,7-19 430,-1 0-1,-1-1 1,4-27-1,-5 21 599,13-36 0,-14 58-640,0 12-472,-1 15-127,0 24 145,7 37-344,-10-73 82,1-1-1,-1 0 0,2 0 1,-1 0-1,0 0 1,1 0-1,0 0 0,1 0 1,5 6-1,-6-9-241,0-1-1,0 1 1,0-1 0,1 0-1,-1 0 1,1 0 0,0 0-1,-1-1 1,1 0 0,0 1-1,0-1 1,0-1 0,0 1-1,0 0 1,0-1 0,0 0-1,0 0 1,7-1-1,-8 1-136,20 0-4879</inkml:trace>
  <inkml:trace contextRef="#ctx0" brushRef="#br0" timeOffset="997.25">1105 792 480,'0'0'7737,"0"-16"-4840,0-51-693,1 65-2036,-1-1-1,0 0 1,0 1-1,0-1 1,-1 1 0,1-1-1,0 0 1,-1 1-1,0-1 1,0 1-1,1-1 1,-2 1-1,1 0 1,0-1 0,0 1-1,-1 0 1,1 0-1,-1 0 1,0 0-1,1 0 1,-1 0 0,0 0-1,0 1 1,0-1-1,0 1 1,-1-1-1,-2-1 1,-2 1-23,0 1 0,1-1 0,-1 1 0,0 0-1,0 1 1,0 0 0,-11 1 0,15-1-111,-1 0-36,1 1 0,0 0 0,-1 0 0,1 0 0,0 0 0,0 0 0,0 1 0,-1-1 0,2 1 0,-1 0-1,0 0 1,0 0 0,0 0 0,1 0 0,-1 1 0,1-1 0,0 1 0,0 0 0,0-1 0,0 1 0,0 0-1,1 0 1,-1 0 0,1 1 0,0-1 0,0 0 0,-1 4 0,-1 5-39,0 0 1,1 0 0,0 0-1,1 0 1,0 0-1,2 18 1,-1-27-20,1 1 0,0-1 0,0 0 0,0 1 0,0-1 0,0 0 0,1 0 0,0 0 1,0 0-1,0 0 0,0 0 0,0 0 0,0-1 0,1 1 0,-1-1 0,1 1 0,-1-1 0,1 0 0,0 0 0,0-1 0,0 1 0,0 0 0,7 1 0,-4 0-133,1-1 1,-1 0-1,1 0 0,-1-1 0,1 0 0,0 0 0,0-1 0,0 0 0,-1 0 0,1 0 0,12-3 0,-16 2 221,0 0-1,-1-1 0,1 1 1,0-1-1,-1 0 1,1 0-1,-1 0 0,0 0 1,1 0-1,-1 0 1,0 0-1,0-1 0,-1 1 1,1-1-1,0 1 1,-1-1-1,0 0 0,1 0 1,-1 0-1,0 1 1,-1-1-1,2-4 0,1-7 656,0 1-1,-1-1 0,0-20 0,-1 11 350,0 13-353,0 0-1,-1 0 0,0 0 0,-3-17 0,-1 80-560,5-37-98,0-1 0,1 0 0,1 0 0,0 0 1,7 19-1,33 73 164,-28-75-156,16 34-2,12 27 16,-39-81-49,0-1-1,-1 1 1,0 0 0,-1 0-1,0 1 1,0 13-1,-2-13 25,-3 21-378,3-33 346,-1 0 0,1 0-1,-1 0 1,1 0 0,-1 0 0,0 0 0,0 0 0,1 0 0,-1 0-1,0-1 1,0 1 0,0 0 0,0 0 0,0-1 0,0 1 0,0-1-1,0 1 1,0-1 0,-1 1 0,1-1 0,0 1 0,0-1 0,0 0-1,-3 0 1,-4 2-10,-1-1-1,0 0 0,1-1 0,-1 0 1,0 0-1,1-1 0,-13-2 1,18 2 28,0 0 0,0 0 1,1 0-1,-1-1 1,0 1-1,1-1 0,-1 1 1,1-1-1,-1 0 1,1 0-1,0 0 0,0 0 1,0 0-1,0-1 1,0 1-1,1-1 0,-1 1 1,1-1-1,-1 0 1,1 1-1,0-1 0,0 0 1,0 0-1,0 0 1,0-3-1,-2-13 17,1 0 0,1 0 0,0 0 0,1-1 0,2 1 0,4-29 0,35-112 80,-25 108-27,12-72 1,-28 120-46,1-6 100,1 1-1,-1-1 1,2 1 0,-1 0 0,7-15 0,-10 27-173,1 0 1,-1 1-1,1-1 0,0 0 1,-1 1-1,1-1 0,1 1 1,-1-1-1,0 0 0,1 1 1,0-1-1,0 0 0,0 0 1,0 1-1,0-1 0,1 0 1,-1 0-1,1 0 0,0-1 1,0 1-1,0 0 0,4 4 1,-4-6 34,1 1 1,-1-1-1,0 0 1,0 0-1,1 0 1,-1 0-1,0-1 1,1 1-1,-1-1 1,0 1-1,1-1 1,-1 0-1,1 0 1,-1 0 0,1 0-1,-1 0 1,1-1-1,-1 1 1,0-1-1,1 0 1,-1 1-1,0-1 1,1 0-1,1-2 1,-1 1 11,-1 0 0,0 0 0,0-1 1,0 1-1,0-1 0,0 0 0,0 1 0,-1-1 1,1 0-1,-1 0 0,0 0 0,1 0 0,-2 0 0,1 0 1,0 0-1,-1 0 0,1-5 0,1-6 5,-1 0 0,0 0 0,-1 0 0,-1 0 0,0 0-1,-5-19 1,6 30-5,-1-1 0,0 1 1,-1 0-1,1 0 0,0-1 0,-1 1 0,0 0 0,0 0 0,0 1 0,0-1 0,0 0 0,-1 1 0,1-1 0,-1 1 0,1 0 0,-1 0 0,0 0 1,0 0-1,0 0 0,0 0 0,0 1 0,0 0 0,-1 0 0,1 0 0,0 0 0,-1 0 0,1 0 0,-1 1 0,1 0 0,-7 0 0,7 0-2,1 0-1,-1 0 1,1 1-1,0-1 0,-1 1 1,1 0-1,0 0 1,0 0-1,-1 0 0,1 0 1,0 0-1,0 0 1,0 1-1,0-1 0,0 1 1,1-1-1,-1 1 1,0 0-1,1 0 0,-1 0 1,1 0-1,0 0 1,-1 0-1,1 0 0,0 0 1,0 0-1,0 1 1,1-1-1,-1 0 0,1 1 1,-1-1-1,1 4 1,-2 10-3,0 0 1,1 0 0,3 30 0,-1-29 9,0-5 2,1 0 0,1 0 0,0-1 0,0 1 0,1-1-1,1 1 1,0-1 0,0 0 0,1-1 0,0 0 0,1 0 0,8 10 0,-10-13-12,1-1 0,0 1 0,0-1 0,0-1 0,0 1 0,1-1 0,0 0 0,0 0 0,1-1 0,-1 0 0,1 0 0,0-1-1,0 0 1,0 0 0,0-1 0,1 0 0,15 2 0,-24-4-70,0 0 0,1 0 0,-1 0 0,1 0 0,-1-1 0,0 1-1,1 0 1,-1 0 0,1 0 0,-1 0 0,0 0 0,1 0 0,-1-1 0,0 1-1,1 0 1,-1 0 0,0-1 0,0 1 0,1 0 0,-1 0 0,0-1 0,1 1-1,-1 0 1,0-1 0,0 1 0,0 0 0,0-1 0,1 1 0,-1 0 0,0-1-1,0 1 1,0-1 0,0 1 0,0 0 0,0-1 0,0 1 0,0-1 0,-2-17-4586,2 16 3965,-10-29-10744</inkml:trace>
  <inkml:trace contextRef="#ctx0" brushRef="#br0" timeOffset="1634.8">1728 126 7652,'0'0'11557,"-13"4"-11013,10-3-511,-1-1-2,1 1-1,0 0 0,-1 0 1,1 0-1,0 0 1,-1 1-1,1-1 0,0 1 1,0 0-1,0 0 1,0 0-1,1 0 1,-1 1-1,0-1 0,1 1 1,0-1-1,-1 1 1,1 0-1,0 0 0,1 0 1,-1 0-1,0 0 1,1 0-1,0 0 0,0 1 1,0-1-1,0 1 1,-1 4-1,-3 43 430,1 1-1,3-1 1,11 102-1,-6-124-330,2-1 0,1 1 0,15 37 0,-15-48-99,0-1-1,2 0 1,0 0 0,1-1-1,1 0 1,15 18-1,-21-29-22,-1-1 0,1 1 1,0-1-1,1 0 0,-1 0 0,1-1 0,-1 0 0,1 0 0,0 0 0,0 0 0,1-1 0,7 2 0,-10-3-186,-1-1 0,1 1-1,-1-1 1,1 0 0,-1 0-1,1 0 1,-1-1 0,1 1-1,-1-1 1,0 0 0,1 0-1,-1 0 1,0 0 0,0 0-1,1-1 1,-1 0 0,0 1-1,0-1 1,-1 0 0,1-1-1,0 1 1,-1 0 0,1-1-1,2-3 1,19-28-4605</inkml:trace>
  <inkml:trace contextRef="#ctx0" brushRef="#br0" timeOffset="2037.43">1999 341 7299,'0'0'10301,"0"2"-10125,-1 1-171,-1 49 148,2-49-144,0 0 1,0 0-1,0 0 1,1 0-1,-1 0 1,1 0-1,0 0 1,0 0-1,0 0 1,0 0-1,0-1 1,1 1-1,-1-1 1,1 1-1,3 3 1,-4-5-14,0 0 0,-1 0 0,1-1 0,0 1 0,0 0 0,0-1 1,0 1-1,0-1 0,0 1 0,0-1 0,0 1 0,0-1 0,0 0 0,0 0 1,0 1-1,0-1 0,1 0 0,-1 0 0,0 0 0,0 0 0,0 0 0,0 0 1,0-1-1,0 1 0,2 0 0,-2-1-2,1 0 1,-1 0-1,1-1 1,-1 1-1,0 0 1,1 0-1,-1-1 1,0 1-1,0-1 1,0 1-1,0-1 1,0 1-1,1-4 1,2-3 1,-1-1 0,0 0 0,-1 0 0,2-15 0,-1-62 1325,0 106-1515,0-1 0,2 1 1,11 32-1,-13-42-224,1 1-1341,0 1-1,0-1 1,11 17-1,1-4-7073</inkml:trace>
  <inkml:trace contextRef="#ctx0" brushRef="#br0" timeOffset="2569.14">2437 444 9172,'0'0'14719,"-2"-5"-14570,2 5-146,0-1-1,0 1 0,0-1 0,0 1 0,0 0 1,0-1-1,-1 1 0,1-1 0,0 1 1,0-1-1,-1 1 0,1 0 0,0-1 0,0 1 1,-1-1-1,1 1 0,0 0 0,-1-1 1,1 1-1,0 0 0,-1 0 0,1-1 0,-1 1 1,1 0-1,0 0 0,-1-1 0,1 1 1,-1 0-1,1 0 0,-1 0 0,1 0 0,-1 0 1,-5 16 39,1 48 25,4-42-23,-1 249 210,5-261-207,1-10 87,4-18 130,-4-30-211,-1 1-1,-5-54 1,0 45-45,-1-31 41,1-79 83,2 166-138,0-1 0,0 0 0,0 0 0,0 1 0,1-1 1,-1 0-1,0 0 0,0 1 0,0-1 0,0 0 0,1 1 0,-1-1 0,0 0 0,1 0 1,-1 1-1,1-1 0,-1 1 0,1-1 0,-1 0 0,1 1 0,-1-1 0,1 1 0,-1-1 0,1 1 1,0 0-1,-1-1 0,1 1 0,0 0 0,-1-1 0,1 1 0,0 0 0,0 0 0,-1-1 1,1 1-1,0 0 0,0 0 0,-1 0 0,1 0 0,0 0 0,0 0 0,-1 0 0,1 0 1,0 1-1,0-1 0,-1 0 0,1 0 0,0 0 0,-1 1 0,1-1 0,1 1 0,2 1-9,-1 0 0,1 0 0,0 0 0,-1 0-1,0 1 1,1-1 0,-1 1 0,4 4-1,4 8 13,-1 1-1,0 0 0,-1 1 0,-1 0 0,11 32 1,20 97-15,-19-12-123,-18-105-3602,-1 0-3877</inkml:trace>
  <inkml:trace contextRef="#ctx0" brushRef="#br0" timeOffset="2737.59">2460 602 4306,'0'0'10405,"79"-15"-10373,-41 15-32,3 0-1649,2 0-3393</inkml:trace>
  <inkml:trace contextRef="#ctx0" brushRef="#br0" timeOffset="3016.95">2878 420 2609,'0'0'20233,"-2"-7"-19643,-4-11-451,3 24 1,3 42 150,1-17-112,-2 15 51,3 67 180,0-102-465,-1 1 1,1 0-1,1-1 0,0 1 0,1-1 1,0 0-1,8 14 0,-4-18-1480,0-10-3371,-1-8-1464</inkml:trace>
  <inkml:trace contextRef="#ctx0" brushRef="#br0" timeOffset="3485.73">3045 243 6339,'0'0'15340,"-2"-13"-14878,2 31-574,-1-9-66,0 0 1,1 0-1,1 0 0,-1-1 0,1 1 0,1 0 1,4 13-1,-6-21 102,0-1 1,0 0 0,1 1-1,-1-1 1,0 0 0,0 1 0,1-1-1,-1 0 1,0 1 0,1-1-1,-1 0 1,0 0 0,1 1-1,-1-1 1,1 0 0,-1 0-1,0 0 1,1 0 0,-1 0-1,1 0 1,-1 1 0,0-1-1,1 0 1,-1 0 0,1 0-1,-1 0 1,1 0 0,-1-1-1,0 1 1,1 0 0,-1 0-1,1 0 1,-1 0 0,0 0 0,1 0-1,-1-1 1,1 1 0,-1 0-1,0 0 1,1-1 0,-1 1-1,13-14-92,-3-43 14,-8 41 434,-1 13 46,0 5 161,1 13-564,0 1 1,2-1 0,0 0-1,10 25 1,-10-32-754,0 0 1,0 0-1,1 0 0,0-1 1,10 13-1,2-6-4052</inkml:trace>
  <inkml:trace contextRef="#ctx0" brushRef="#br0" timeOffset="3906.15">3248 28 7587,'0'0'16573,"0"0"-16551,0 0-1,0-1 1,0 1 0,0 0-1,-1-1 1,1 1-1,0 0 1,0-1-1,0 1 1,0 0-1,0-1 1,0 1-1,0 0 1,0-1 0,1 1-1,-1 0 1,0-1-1,0 1 1,0 0-1,0-1 1,0 1-1,0 0 1,1-1-1,-1 1 1,0 0-1,0-1 1,0 1 0,1 0-1,-1 0 1,0 0-1,0-1 1,1 1-1,-1 0 1,0 0-1,1 0 1,-1-1-1,0 1 1,1 0 0,-1 0-1,6 4 65,-1 1-1,0 0 0,-1 0 1,1 1-1,-1-1 1,4 8-1,2 0 45,19 27 23,-1 2-1,-1 1 1,-3 1-1,-2 0 0,-2 2 1,-1 1-1,23 94 1,-37-114-146,-1 0 0,-2 0 0,0 1 0,-2-1 0,-5 46 0,4-67-2,0-1-1,-1 0 1,1 1-1,-1-1 1,0 0-1,0 0 1,-1 1-1,0-2 1,0 1-1,0 0 0,0-1 1,-1 1-1,-6 5 1,0-1-42,-1-1 0,0-1 0,-1 1 0,-12 4 0,-8 6-406,17-8-314,11-4-1025,10-3-3525,16-3 1790,8 0-2795</inkml:trace>
  <inkml:trace contextRef="#ctx0" brushRef="#br0" timeOffset="4311.41">3824 595 5170,'0'0'15941,"-16"-10"-13940,16 10-1976,-1 0 0,1 1 0,0-1 0,0 0 0,0 0 0,0 0 0,0 0 0,0 0 0,0 0 1,0 0-1,0 0 0,0 0 0,0 0 0,0 0 0,0 0 0,0 0 0,0 1 0,0-1 0,-1 0 0,1 0 0,0 0 0,0 0 0,0 0 0,0 0 0,0 0 1,0 0-1,0 0 0,0 0 0,0 1 0,0-1 0,0 0 0,0 0 0,1 0 0,-1 0 0,0 0 0,0 0 0,0 0 0,0 0 0,0 0 0,0 0 0,0 0 1,0 1-1,0-1 0,0 0 0,0 0 0,0 0 0,0 0 0,0 0 0,0 0 0,0 0 0,1 0 0,-1 0 0,0 0 0,0 0 0,0 0 0,0 0 0,0 0 0,0 0 1,0 0-1,0 0 0,0 0 0,0 0 0,1 0 0,-1 0 0,4-5-163</inkml:trace>
  <inkml:trace contextRef="#ctx0" brushRef="#br0" timeOffset="5634.06">4091 429 5731,'0'0'14785,"-1"-6"-14441,-3-12-299,3 41-24,8 52 113,-1-51-83,0 1 0,2-1 0,0 0-1,14 26 1,-17-40-30,1 1 1,0-1-1,1 0 0,0 0 1,1-1-1,0 0 0,0 0 1,0-1-1,1 0 0,20 12 1,-26-18-9,0 0 0,0 0 1,0-1-1,0 1 1,0-1-1,0 0 1,1 0-1,-1 0 0,0-1 1,1 1-1,-1-1 1,1 0-1,-1 0 1,1 0-1,-1 0 0,0-1 1,5 0-1,-5 0 0,-1 0 0,0 0 0,1-1-1,-1 1 1,0-1 0,0 1 0,0-1 0,0 0-1,0 0 1,0 0 0,0 0 0,-1 0-1,1 0 1,-1 0 0,1 0 0,-1-1 0,0 1-1,0-1 1,0 1 0,0-1 0,0-4-1,4-19 26,-2 0 0,-1-1 0,-1 1 0,-4-32 0,2-1-3,1 0-49,28 102-10503,-11-17 2162</inkml:trace>
  <inkml:trace contextRef="#ctx0" brushRef="#br0" timeOffset="7065.84">4550 527 7619,'0'0'13652,"-3"-13"-12950,-12-40-241,15 52-452,-1 0-1,1 0 0,0 1 1,-1-1-1,1 0 1,-1 0-1,1 1 0,-1-1 1,1 0-1,-1 0 1,1 1-1,-1-1 0,0 1 1,1-1-1,-1 0 1,0 1-1,1 0 0,-1-1 1,0 1-1,0-1 1,0 1-1,1 0 0,-1-1 1,0 1-1,0 0 0,0 0 1,0 0-1,0 0 1,0 0-1,1 0 0,-1 0 1,0 0-1,0 0 1,0 0-1,0 0 0,0 1 1,0-1-1,1 0 1,-1 1-1,-1-1 0,-23 19 219,24-19-216,-7 8 12,0 1-1,1 0 1,0 0 0,0 0-1,1 1 1,0 0 0,1 0-1,0 1 1,0-1 0,1 1-1,1 0 1,0 1 0,0-1-1,1 0 1,1 1 0,0-1-1,0 21 1,2-30-30,-1 1 0,1 0 0,0-1 0,-1 1 0,1-1 0,0 1-1,1-1 1,-1 1 0,0-1 0,1 0 0,-1 0 0,1 1 0,0-1 0,0 0 0,0-1 0,0 1 0,0 0-1,0 0 1,0-1 0,1 1 0,-1-1 0,0 0 0,1 0 0,-1 0 0,1 0 0,-1 0 0,1 0 0,0-1 0,4 1-1,-3 0 5,0-1 0,-1 1 0,1-1 0,-1 0 0,1 0-1,0 0 1,-1 0 0,1-1 0,-1 1 0,1-1 0,-1 0-1,1 0 1,-1 0 0,1-1 0,-1 1 0,0-1 0,0 0-1,0 0 1,0 0 0,0 0 0,0 0 0,3-4 0,1-6 215,0 0 1,-1 0 0,0-1 0,0 0-1,-2 0 1,0 0 0,0-1 0,-1 0-1,-1 1 1,0-1 0,0-26 0,-2 58-210,0 0 0,2 1-1,0-1 1,7 29 0,-7-43-41,-1 0 0,1 1 1,-1-1-1,1 0 0,1 0 0,-1-1 0,0 1 0,1 0 0,0-1 0,0 0 0,4 5 1,-4-6-27,-1-1 0,1 1 1,-1-1-1,1 0 0,-1 0 1,1 0-1,0 0 0,0 0 1,0 0-1,0-1 1,-1 1-1,1-1 0,0 0 1,0 0-1,0 0 0,0 0 1,0 0-1,0-1 1,3-1-1,-3 1 67,0 0 1,-1 0-1,1 0 0,-1-1 1,0 1-1,1-1 1,-1 0-1,0 0 0,0 0 1,0 0-1,0 0 0,0 0 1,0 0-1,-1-1 0,1 1 1,-1-1-1,2-4 1,19-53 38,-19 49-38,7-26-1,-2 1 0,-1-1 1,1-45-1,-3-114 247,-5 172-169,-7-3 160,0 22 68,-1 18-243,3 11-68,1-1 0,2 1 0,0 0 0,4 45 0,-1-19 1,-1-21 2,2-1-1,0 1 0,2-1 0,1 0 1,17 51-1,-18-67 5,1 0 1,1 0-1,0-1 0,0 0 1,1 0-1,15 16 0,-17-21-9,1 0 0,0-1-1,1 1 1,-1-1 0,1-1-1,0 1 1,0-1 0,1-1-1,-1 1 1,1-1-1,10 3 1,-16-5-7,0 0 0,0-1 0,0 1 0,0-1 1,0 1-1,0-1 0,0 0 0,0 1 0,0-1 0,0 0 0,0 0 0,0-1 0,0 1 0,0 0 0,1-1 0,-1 1 0,0-1 1,-1 1-1,1-1 0,0 0 0,0 0 0,0 0 0,0 0 0,-1 0 0,4-3 0,-3-1 15,1 0 0,0 0 0,-1 0 0,0 0 0,0 0 0,-1-1 0,0 1 0,2-8 0,3-35 244,-1 0 1,-3-87-1,-2 89 325,1 89-613,2 0 0,2-1 0,17 73 0,-22-112-65,1 1-1,0-1 1,1 0-1,-1 0 1,1 0 0,-1 0-1,1 0 1,0 0 0,0 0-1,0 0 1,0-1 0,0 1-1,1-1 1,-1 1 0,1-1-1,0 0 1,0 0 0,0 0-1,0-1 1,0 1 0,0-1-1,0 1 1,0-1 0,1 0-1,-1 0 1,0-1 0,1 1-1,-1-1 1,1 1-1,-1-1 1,0 0 0,1 0-1,-1-1 1,1 1 0,-1-1-1,4-1 1,-4 1 67,-1 0-1,0-1 1,1 0-1,-1 0 1,0 0-1,0 0 1,0 0-1,0 0 1,0 0-1,0-1 1,-1 1-1,1-1 1,-1 1-1,2-6 1,16-43 78,-16 40-52,29-105 3477,-32 126-3447,0 1-69,0 1 0,1 0 0,0-1 1,0 1-1,5 14 0,-5-23-19,0 0 0,0 0 1,0 0-1,0-1 0,1 1 0,-1-1 0,1 1 1,0-1-1,0 0 0,0 1 0,0-1 1,0 0-1,0 0 0,1-1 0,-1 1 0,0 0 1,1-1-1,0 1 0,-1-1 0,1 0 1,0 0-1,0 0 0,-1 0 0,1 0 0,0-1 1,0 0-1,3 1 0,0-1 33,0 1 0,0-1 0,0-1 1,0 1-1,-1-1 0,1 0 0,0 0 0,0-1 0,-1 1 0,1-1 1,-1-1-1,0 1 0,1-1 0,-1 0 0,0 0 0,0 0 0,-1-1 0,1 0 1,-1 0-1,0 0 0,0 0 0,0-1 0,0 1 0,-1-1 0,0 0 1,0 0-1,0 0 0,-1-1 0,0 1 0,1-1 0,-2 1 0,3-11 1,-1 3 355,-1-1 0,0 1 0,-1 0 0,0-1 0,-1 1 0,-1-1 1,-2-14-1,3 27-303,-1 0 0,1 0 0,-1 0 0,1 0 0,-1 0 1,1 0-1,-1 0 0,0 0 0,0 0 0,1 0 0,-1 0 0,0 0 0,0 0 1,0 1-1,0-1 0,0 0 0,0 1 0,0-1 0,0 1 0,0-1 1,0 1-1,-1-1 0,1 1 0,0 0 0,0-1 0,0 1 0,-1 0 1,1 0-1,0 0 0,0 0 0,0 0 0,-1 0 0,1 1 0,0-1 1,-2 1-1,0-1 9,0 1 1,0 0 0,0 0 0,0 0-1,1 0 1,-1 0 0,0 0 0,1 1 0,-1 0-1,1-1 1,-1 1 0,1 0 0,-3 3-1,-2 6-20,0 0 0,0 1 0,1 0 0,1 0-1,0 0 1,1 1 0,0 0 0,1 0 0,1 0-1,0 0 1,0 0 0,1 0 0,1 1 0,2 20-1,-1-30 4,0 0 0,0 0 0,0 0 0,1 1 0,0-1 0,0-1 0,0 1 0,0 0 0,0 0 0,1-1 0,-1 1 0,1-1 0,0 0 0,0 0 0,1 0 0,-1 0 0,1-1 0,-1 1 0,1-1 0,0 0 0,0 0 0,0 0 0,0-1-1,0 1 1,0-1 0,8 2 0,6 0-60,1-1-1,-1 0 0,1-1 1,-1-1-1,19-3 0,-29 3-310,0-1-1,-1-1 1,1 0 0,0 0 0,11-5-1,17-12-5878,-10 3-3827</inkml:trace>
  <inkml:trace contextRef="#ctx0" brushRef="#br0" timeOffset="7344.26">6040 401 9364,'0'0'11974,"-7"-4"-11910,24 4 160,7 0 80,2 0-208,6 0-192,-2 6-400,1 1-2161,-7-1-1153,-3 1-5170</inkml:trace>
  <inkml:trace contextRef="#ctx0" brushRef="#br0" timeOffset="7531.13">6029 598 7764,'0'0'13190,"115"6"-13030,-87-4-320,0-2-129,0 0-2880,14-2-3554</inkml:trace>
  <inkml:trace contextRef="#ctx0" brushRef="#br0" timeOffset="8167.36">6654 132 6163,'0'0'10583,"-7"7"-10271,5-3-192,1 0-1,0 0 1,0 0-1,1 1 0,-1-1 1,1 0-1,0 0 0,1 9 1,-1 0 147,35-12 62,-31-1-312,0-1 0,0 0 1,0 0-1,0 0 0,0 0 1,0-1-1,0 1 0,-1-1 1,1 0-1,0 0 1,-1 0-1,0-1 0,0 1 1,1-1-1,-1 0 0,-1 0 1,1 0-1,0 0 1,-1 0-1,0-1 0,1 1 1,-1-1-1,2-5 0,0-1 137,0 0-1,-1 0 0,0 0 1,0-1-1,-1 1 0,0-1 1,0-20-1,-1 51 38,1 1 0,1-1 0,1 1 1,1-1-1,12 33 0,-11-38-673,1 0-1,0 0 1,1-1 0,18 25-1,-2-14-2795,5-9-2146</inkml:trace>
  <inkml:trace contextRef="#ctx0" brushRef="#br0" timeOffset="8449.94">7109 111 8788,'0'0'13814,"0"9"-13611,6 213 738,-2-163-948,23 110-1,-26-164-441,7 21-123,-2-14-1538,1-8-3352</inkml:trace>
  <inkml:trace contextRef="#ctx0" brushRef="#br0" timeOffset="8818.7">7139 465 2721,'0'0'11483,"-5"-11"-10672,-16-32-374,20 43-434,1 0 0,0-1-1,0 1 1,0-1-1,0 1 1,0 0-1,0-1 1,0 1-1,0-1 1,0 1-1,0 0 1,0-1 0,0 1-1,0-1 1,0 1-1,0 0 1,0-1-1,1 1 1,-1 0-1,0-1 1,0 1 0,0-1-1,1 1 1,-1 0-1,0 0 1,0-1-1,1 1 1,-1 0-1,0-1 1,1 1 0,-1 0-1,0 0 1,1-1-1,-1 1 1,0 0-1,1 0 1,-1 0-1,0 0 1,1 0 0,-1 0-1,1-1 1,-1 1-1,0 0 1,1 0-1,-1 0 1,1 0-1,-1 0 1,0 0-1,1 1 1,-1-1 0,1 0-1,-1 0 1,0 0-1,1 0 1,-1 0-1,1 0 1,-1 1-1,0-1 1,1 1 0,0-1 11,10 0-198,-1 0 0,0-1-1,1 0 1,-1-1 0,0 0-1,0 0 1,0-1 0,11-5-1,-16 6 78,-1-1-1,1 0 0,-1 0 0,1 0 1,-1 0-1,0-1 0,0 0 0,-1 0 0,1 0 1,-1 0-1,0 0 0,0-1 0,0 0 1,0 1-1,-1-1 0,0 0 0,2-8 1,1-5 281,0 0 0,-2 0 1,2-36-1,-4 22 2675,-5-46-1,4 76-2644,0 1-1,0 0 1,0-1-1,0 1 1,0-1-1,-1 1 1,1 0-1,0-1 1,-1 1-1,1-1 1,-1 1-1,0 0 1,1 0-1,-1-1 1,0 1-1,0 0 1,0 0-1,0 0 1,0 0-1,0 0 1,-2-2-1,2 4-187,1 0 0,-1 0 0,1 0 0,-1 0-1,0-1 1,1 1 0,0 0 0,-1 0 0,1 0 0,0 0-1,-1 0 1,1 0 0,0 0 0,0 0 0,0 0 0,0 0 0,0 0-1,0 0 1,0 0 0,0 1 0,0 3 27,-2 46-6,1 0-1,3-1 0,2 1 0,2-1 0,2 0 1,28 90-1,-34-133-21,0 0 1,1-1 0,0 1-1,1-1 1,6 10 0,-9-14-195,1-1 1,-1 1 0,1-1 0,-1 1 0,1-1 0,0 0-1,-1 0 1,1 1 0,0-1 0,2 0 0,-2 0-315,0-1-1,-1 1 1,1-1 0,0 0 0,0 1 0,-1-1 0,1 0 0,0 0 0,0 0 0,-1-1 0,1 1 0,0 0 0,3-2-1,10-6-6896</inkml:trace>
  <inkml:trace contextRef="#ctx0" brushRef="#br0" timeOffset="9742.28">7476 418 6403,'0'0'13716,"-1"-3"-13378,-3-9-348,3 21 69,1 32 115,0-30-141,0-10-33,1-1 0,-1 1 0,0 0 0,1 0 0,-1 0 0,1-1 0,-1 1 0,1 0 0,-1-1 0,1 1 0,0 0 0,-1-1 0,1 1 0,0-1 0,-1 1 0,1-1-1,0 1 1,0-1 0,-1 0 0,1 1 0,0-1 0,0 0 0,0 1 0,0-1 0,-1 0 0,1 0 0,0 0 0,0 0 0,0 0 0,0 0 0,0 0 0,-1 0 0,1 0-1,1-1 1,0 1-52,0 0 0,0 0 0,0 0 1,0 0-1,-1-1 0,1 1 0,0-1 0,0 1 0,0-1 0,-1 0 0,1 0 0,0 0 0,-1 0 0,1 0 0,-1 0 0,2-1 0,0-6 66,0 0 0,-1 0 0,-1 0-1,1 0 1,-1 0 0,0 0 0,-1 0 0,0 0 0,-1-1 0,-1-8 0,2 3 284,-1 11-170,0 0 0,1 0 1,-1 0-1,0 0 0,-1 0 1,1 0-1,0 0 0,-1 1 1,1-1-1,-1 0 0,-2-2 1,3 5-106,1-1 0,-1 0 1,1 1-1,-1-1 1,1 1-1,-1-1 0,1 1 1,-1-1-1,1 1 0,-1-1 1,0 1-1,1 0 1,-1-1-1,0 1 0,1 0 1,-1-1-1,0 1 1,0 0-1,1 0 0,-1 0 1,0 0-1,0 0 0,1 0 1,-1 0-1,0 0 1,0 0-1,1 0 0,-1 0 1,0 0-1,0 0 1,1 1-1,-1-1 0,0 0 1,1 0-1,-1 1 0,0-1 1,1 1-1,-1-1 1,0 1-1,1-1 0,-1 1 1,1-1-1,-1 1 0,1-1 1,-1 1-1,1-1 1,0 1-1,-1 0 0,1-1 1,0 1-1,-1 1 1,-3 6-22,0 1 0,1 0 1,0 0-1,0 1 1,1-1-1,0 1 1,1-1-1,-1 13 1,1 7 14,4 43 0,-2-67-51,0-1 1,0 1-1,0 0 1,0 0-1,1-1 1,-1 1 0,1-1-1,0 1 1,1-1-1,-1 0 1,1 0 0,0 0-1,0 0 1,0 0-1,1-1 1,-1 1-1,1-1 1,0 0 0,-1 0-1,2-1 1,-1 1-1,0-1 1,0 1 0,1-2-1,-1 1 1,1 0-1,0-1 1,-1 0-1,1 0 1,0 0 0,0 0-1,0-1 1,0 0-1,0 0 1,-1 0-1,1-1 1,8-1 0,-9 1 34,-1-1 0,1 0 1,0 1-1,0-1 0,-1 0 1,1-1-1,-1 1 1,0-1-1,1 1 0,-1-1 1,0 0-1,-1 0 0,1 0 1,-1-1-1,1 1 0,-1-1 1,0 1-1,0-1 0,0 0 1,-1 0-1,1 0 1,0-4-1,3-7 22,-1-1 0,-1 0 0,0 0 0,1-22 0,-3 18 41,3-33 351,-3 0-1,-6-67 1,-7 78 316,11 41-674,1-1-1,-1 0 1,1 1 0,-1 0-1,0-1 1,0 1 0,0-1-1,0 1 1,0 0 0,0-1-1,0 1 1,0 0 0,0 0-1,0 0 1,-1 0 0,1 0 0,0 0-1,-1 0 1,1 1 0,-1-1-1,1 0 1,-1 1 0,-1-1-1,2 1-54,0 1 0,0-1 0,0 1 0,1 0-1,-1-1 1,0 1 0,1 0 0,-1-1 0,0 1 0,1 0 0,-1 0-1,1 0 1,-1 0 0,1-1 0,-1 1 0,1 0 0,0 0-1,-1 0 1,1 0 0,0 0 0,0 0 0,0 0 0,0 2-1,-4 28 4,4-31-3,-4 72-9,8 118 1,-2-176-20,0 0 0,0 0 0,1 0 1,9 23-1,-11-33-26,0-1 0,1 0 0,-1 0 0,1 1 0,0-1 0,0 0 0,0-1 0,0 1-1,0 0 1,1-1 0,-1 1 0,1-1 0,0 1 0,0-1 0,0 0 0,0 0 0,0-1 0,0 1 0,0-1 0,1 1 0,-1-1 0,0 0 0,1 0 0,3 0 0,-3 0 46,0-1 0,0 0 0,0 0 0,0 0 0,0 0 0,0 0 0,0-1 0,0 0 1,0 1-1,0-2 0,0 1 0,-1 0 0,1-1 0,0 0 0,-1 0 0,1 0 0,-1 0 0,1 0 0,-1-1 1,0 1-1,0-1 0,0 0 0,-1 0 0,1 0 0,-1 0 0,1-1 0,-1 1 0,0-1 0,-1 1 1,1-1-1,0 0 0,0-4 0,3-5 14,0-1 0,-2 0-1,1-1 1,-2 1 0,2-19 0,-3-76 328,-2 61 20,1 41-336,-2-38 314,2 43-287,0 0-1,-1 0 0,1-1 1,-1 1-1,1 0 0,-1 0 1,0 0-1,0 0 0,0 0 1,0 0-1,0 0 0,0 0 0,0 0 1,-1 0-1,1 1 0,-2-3 1,2 4-44,1 0-1,-1 0 1,1 0 0,0 0 0,-1 0-1,1 0 1,0 0 0,-1 0 0,1 1 0,0-1-1,-1 0 1,1 0 0,-1 0 0,1 0 0,0 0-1,-1 1 1,1-1 0,0 0 0,0 0 0,-1 0-1,1 1 1,0-1 0,-1 0 0,1 1 0,0-1-1,0 0 1,0 0 0,-1 1 0,1-1 0,0 0-1,0 1 1,0-1 0,0 1 0,0-1-1,0 0 1,0 1 0,-1-1 0,1 0 0,0 1-1,0-1 1,0 1 0,1-1 0,-1 1 0,-4 21-32,4-20 33,-4 40-7,2-1 0,4 55 0,0-73-52,1-1 1,1 0-1,0 0 0,2-1 1,1 1-1,9 20 0,-14-37-214,1-1 0,0 1 0,-1-1 0,2 1 0,-1-1 0,0 0 0,1 0 0,0 0 0,0-1 0,0 1 0,0-1-1,7 4 1,-5-4-1053,-1-1-1,1 1 1,0-1 0,-1 0-1,1-1 1,9 2-1,11 0-8695</inkml:trace>
  <inkml:trace contextRef="#ctx0" brushRef="#br0" timeOffset="10079.92">8123 450 5603,'0'0'16095,"-9"-14"-15223,-29-41-365,37 54-497,1 0-1,0 1 1,-1-1 0,1 0-1,-1 1 1,1-1 0,-1 0-1,1 1 1,-1-1-1,1 1 1,-1-1 0,1 1-1,-1-1 1,0 1-1,1 0 1,-1-1 0,0 1-1,1 0 1,-1-1 0,0 1-1,0 0 1,1 0-1,-1 0 1,0-1 0,0 1-1,1 0 1,-1 0 0,0 0-1,0 0 1,1 1-1,-1-1 1,0 0 0,0 0-1,1 0 1,-1 0-1,0 1 1,0-1 0,1 0-1,-1 1 1,0-1 0,1 1-1,-1-1 1,0 2-1,-14 22 172,14-21-134,-4 13-5,0 0-1,1 0 0,1 1 1,0-1-1,1 1 0,1 0 1,1 26-1,0-41-35,0 0 0,0 1 0,0-1-1,0 0 1,1 0 0,-1 1 0,0-1 0,1 0 0,0 0-1,0 0 1,-1 0 0,1 1 0,0-1 0,1-1 0,-1 1-1,0 0 1,1 0 0,-1 0 0,1-1 0,-1 1 0,1 0 0,0-1-1,-1 0 1,5 3 0,-2-2 11,1-1-1,0 1 1,0-1-1,-1 0 1,1 0-1,0-1 1,0 1 0,0-1-1,0 0 1,9-2-1,-12 2-16,1-1 0,0 0 0,0 0-1,-1 0 1,1 0 0,-1 0 0,1-1 0,-1 1-1,1-1 1,-1 0 0,0 0 0,0 0 0,0 0 0,0 0-1,0 0 1,0 0 0,0-1 0,-1 1 0,1-1-1,-1 1 1,0-1 0,0 1 0,0-1 0,0 0-1,0 0 1,0 1 0,0-7 0,2-8-207,-1-1 0,-1 1 1,0-24-1,-1 32-17,0 3-14,-1 1 1,1 0-1,-1 0 1,0 0-1,0 0 0,0 0 1,-1 0-1,0 1 1,0-1-1,0 0 1,-1 1-1,1-1 1,-6-6-1,3 6-1550,0-1 0,-1 0-1,1 1 1,-13-9 0,4 6-6603</inkml:trace>
  <inkml:trace contextRef="#ctx0" brushRef="#br0" timeOffset="10528.84">8298 30 5619,'0'0'13291,"0"0"-13280,0-1 0,-1 1 0,1 0 0,0 0 0,0-1 0,0 1 0,-1 0 0,1-1 0,0 1 0,0 0 0,-1 0 0,1 0 0,0-1 0,-1 1 0,1 0-1,0 0 1,-1 0 0,1 0 0,0-1 0,-1 1 0,1 0 0,0 0 0,-1 0 0,1 0 0,0 0 0,-1 0 0,1 0 0,-1 0 0,1 0 0,0 0 0,-1 0 0,1 0 0,0 1 0,-1-1 0,1 0 0,-1 1 10,0 6 24,0-1 0,0 1 0,0-1 0,1 1 0,0 0 0,1 10 0,0-16-91,0 0-1,0 0 1,-1 0-1,1 0 1,0 0-1,0 0 1,0-1 0,0 1-1,0 0 1,0-1-1,0 1 1,0-1 0,0 1-1,0-1 1,0 1-1,1-1 1,-1 0-1,0 0 1,0 1 0,0-1-1,0 0 1,1 0-1,-1 0 1,0 0-1,0-1 1,0 1 0,3-1-1,-2 1 27,0 0 0,0 0 1,0-1-1,1 1 0,-1-1 0,0 1 0,0-1 0,0 0 0,0 0 0,0 0 0,0 0 1,0 0-1,-1-1 0,4-1 0,-2-5 229,0 1 0,0-1 0,-1 0 0,0 1 0,0-1 0,-1 0 0,0 0 0,0-12 0,-1 48-378,2-1 1,7 34-1,9 18-3146,-10-52-1471,-4-8-4354</inkml:trace>
</inkml:ink>
</file>

<file path=xl/ink/ink3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5:46.438"/>
    </inkml:context>
    <inkml:brush xml:id="br0">
      <inkml:brushProperty name="width" value="0.05" units="cm"/>
      <inkml:brushProperty name="height" value="0.05" units="cm"/>
      <inkml:brushProperty name="color" value="#F6630D"/>
    </inkml:brush>
  </inkml:definitions>
  <inkml:trace contextRef="#ctx0" brushRef="#br0">1403 501 1505,'0'0'1809</inkml:trace>
  <inkml:trace contextRef="#ctx0" brushRef="#br0" timeOffset="837.71">12 188 2817,'0'0'18510,"-2"-8"-17824,1 2-617,-4-17 76,3 20-107,1 15-21,1 20 65,1 0 1,11 60-1,-10-80-66,2 1 0,-1-1 0,2 0 1,0 0-1,0 0 0,1 0 0,0-1 0,1 0 0,0-1 0,11 13 0,-16-21-6,0 0 0,0 1 0,0-1-1,1 0 1,-1 0 0,0 0-1,1-1 1,0 1 0,-1 0 0,1-1-1,0 0 1,0 0 0,-1 0 0,1 0-1,0 0 1,0 0 0,0-1-1,0 1 1,0-1 0,0 0 0,1 0-1,-1 0 1,0-1 0,0 1-1,0-1 1,0 1 0,5-3 0,-3 1 10,0-1 1,-1 0 0,1 0 0,-1 0 0,1 0-1,-1-1 1,0 0 0,0 0 0,-1 0 0,1 0-1,-1 0 1,0-1 0,0 0 0,3-6 0,7-22 37,-1 0 1,-1-1 0,-2 0-1,-2 0 1,-1-1 0,-1 0 0,-2 0-1,-2-43 1,-2 94-508,-1 1 1,-4 20-1,3-25-605,1-1 0,0 1 0,1-1 0,0 1 0,1 0 0,3 22 0,6-9-4677</inkml:trace>
  <inkml:trace contextRef="#ctx0" brushRef="#br0" timeOffset="1603.86">488 200 8756,'0'0'14412,"-3"-10"-14105,1 2-274,-8-17 64,10 25-96,0-1 0,0 1-1,0 0 1,0 0 0,0 0-1,0 0 1,0 0 0,0 0-1,0 0 1,0 0-1,0 0 1,0 0 0,0-1-1,0 1 1,0 0 0,0 0-1,0 0 1,0 0 0,0 0-1,0 0 1,0 0-1,-1 0 1,1 0 0,0 0-1,0 0 1,0 0 0,0 0-1,0 0 1,0-1-1,0 1 1,0 0 0,0 0-1,0 0 1,-1 0 0,1 0-1,0 0 1,0 0 0,0 0-1,0 0 1,0 0-1,0 0 1,0 0 0,0 0-1,0 0 1,0 0 0,-1 0-1,1 0 1,0 1-1,0-1 1,0 0 0,0 0-1,0 0 1,0 0 0,0 0-1,0 0 1,0 0 0,0 0-1,0 0 1,0 0-1,-1 0 1,1 0 0,0 0-1,0 0 1,0 1 0,-1 16 30,3 28 52,17 90 1,-1-24 7,-19-294 0,-3 139-78,-10-188 38,14 231-56,1 1 0,-1 0-1,0 0 1,0-1 0,0 1 0,1 0-1,-1 0 1,0-1 0,0 1 0,1 0 0,-1 0-1,0 0 1,0 0 0,1-1 0,-1 1-1,0 0 1,1 0 0,-1 0 0,0 0 0,0 0-1,1 0 1,-1 0 0,0 0 0,1 0-1,-1 0 1,0 0 0,1 0 0,-1 0 0,0 0-1,0 0 1,1 0 0,-1 0 0,0 0-1,1 1 1,-1-1 0,0 0 0,0 0 0,1 0-1,-1 0 1,0 1 0,0-1 0,1 0-1,-1 0 1,0 0 0,0 1 0,1 0 0,14 9-241,-6-1 243,-1 0 0,-1 1 1,1 0-1,-1 0 0,-1 0 0,0 1 0,-1 0 0,0 0 0,0 1 1,2 11-1,-1 0-4,-1-1 0,-2 1 0,0 0 0,0 34-1,-3-55 17,0 0-1,0 0 0,-1 0 1,1 0-1,0 0 0,-1 0 0,1 0 1,-1 0-1,0-1 0,0 1 0,1 0 1,-1 0-1,0-1 0,-1 1 1,1-1-1,0 1 0,0-1 0,-1 1 1,1-1-1,-1 0 0,1 1 1,-1-1-1,1 0 0,-1 0 0,0 0 1,1 0-1,-1-1 0,0 1 0,0 0 1,0-1-1,0 1 0,0-1 1,0 0-1,0 0 0,1 1 0,-1-1 1,0 0-1,-3-1 0,4 1 240,3-3-231,1 1 0,-1 0-1,1-1 1,0 1 0,-1 0 0,1 0-1,0 0 1,0 1 0,0-1-1,1 1 1,-1 0 0,0-1 0,0 1-1,1 1 1,-1-1 0,1 0-1,-1 1 1,1 0 0,-1 0-1,6 0 1,-2 0-33,0 0-1,0 1 1,0-1 0,0 1-1,0 1 1,0-1-1,0 1 1,0 0 0,12 7-1,-15-7 10,0 1-1,0 0 0,0 0 1,0 0-1,-1 1 1,1-1-1,-1 1 0,0 0 1,0 0-1,0 0 1,-1 0-1,1 0 0,-1 1 1,0-1-1,0 1 1,0-1-1,-1 1 0,0 0 1,0 0-1,0 0 1,-1 0-1,1 0 0,-1-1 1,0 1-1,-1 6 1,0-9 10,0 0 0,0 1 0,-1-1 0,1 0 0,-1 0-1,1 0 1,-1 0 0,0 0 0,0-1 0,0 1 0,0 0 0,0-1 0,0 1 0,0-1 0,0 0 0,0 0 0,-1 0 0,1 0 0,0 0 0,-1 0 0,1-1 0,-4 1 0,-8 2 28,1 0-1,-23 1 1,-16-3 17,54-9-1556,1 5 694,0 0 0,1 0 0,0 1 0,-1-1 0,1 1 0,0 0 0,4-2 0,-2 2-584,22-11-6811</inkml:trace>
  <inkml:trace contextRef="#ctx0" brushRef="#br0" timeOffset="2071.81">1013 188 10805,'0'0'12947,"0"6"-12845,-3 58 118,3-1 0,11 78 0,-8-106-165,0-14-40,0-14-33,-1-12 71,2-48 50,-3-79 1,-3 92-90,2 0 0,1 0 0,2 0 1,11-48-1,-14 87-14,0 0 1,0-1-1,0 1 1,1 0-1,-1 0 1,0 0-1,0 0 0,1-1 1,-1 1-1,1 0 1,-1 0-1,1 0 1,0 0-1,-1 0 1,1 0-1,0 0 1,0 0-1,-1 1 1,1-1-1,0 0 1,0 0-1,0 1 0,0-1 1,0 0-1,0 1 1,0-1-1,0 1 1,1-1-1,-1 1 1,0 0-1,0-1 1,3 1-1,-3 1-4,1-1 0,0 1 0,0 0 0,0 0 0,0 0-1,-1 1 1,1-1 0,0 0 0,-1 1 0,1-1 0,-1 1 0,1-1 0,-1 1-1,0 0 1,0-1 0,0 1 0,2 4 0,23 44 45,19 55 0,-36-80-308,-1 0 1,-1 1-1,-1 0 0,3 39 1,-9-51-1794</inkml:trace>
  <inkml:trace contextRef="#ctx0" brushRef="#br0" timeOffset="2243.44">998 333 6067,'0'0'12181,"119"4"-12005,-76 2-176,0-1-1200,10-5-3250</inkml:trace>
  <inkml:trace contextRef="#ctx0" brushRef="#br0" timeOffset="2602.87">1901 467 7988,'0'0'13851,"-4"0"-13141,-8 0-423,8 0 12,6 0 758,161-7-120,3 1-3253,-126 6-867,-15 0-2302,-11 0-4386</inkml:trace>
  <inkml:trace contextRef="#ctx0" brushRef="#br0" timeOffset="2817.39">1969 632 4178,'0'0'17032,"-40"15"-15544,52-15-735,16 0-33,13 0-112,8 0-608,2 0 288,-2 0-256,-2 0-32,-6 0 0,-5-2-1040,-8-3-1201,3-5-3474</inkml:trace>
</inkml:ink>
</file>

<file path=xl/ink/ink4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04.934"/>
    </inkml:context>
    <inkml:brush xml:id="br0">
      <inkml:brushProperty name="width" value="0.05" units="cm"/>
      <inkml:brushProperty name="height" value="0.05" units="cm"/>
      <inkml:brushProperty name="color" value="#F6630D"/>
    </inkml:brush>
  </inkml:definitions>
  <inkml:trace contextRef="#ctx0" brushRef="#br0">1 396 6067,'0'0'13598,"-1"-9"-12968,11 29-431,0 0 1,6 21-1,-7-17-77,20 40 0,-25-57-102,1 0 1,0 0 0,0 0-1,0-1 1,1 1 0,0-1-1,0-1 1,0 1-1,11 6 1,-15-10-57,0-1 0,1 1 1,-1-1-1,0 0 0,0 0 0,0 0 0,1 0 0,-1 0 0,0-1 1,1 1-1,-1-1 0,1 0 0,-1 1 0,1-1 0,-1 0 1,1 0-1,-1-1 0,1 1 0,-1 0 0,0-1 0,1 1 0,-1-1 1,1 0-1,-1 0 0,3-2 0,-1 1-25,-1-1-1,-1 0 1,1 0 0,0 0 0,-1 0-1,1 0 1,-1 0 0,0-1-1,0 1 1,0-1 0,-1 0-1,1 1 1,-1-1 0,1-6 0,5-20 82,-2 0 0,0 0-1,-3-1 1,0 1 0,-2-1 0,-4-34 0,4 64-13,0 0 0,0-1 0,0 1 0,0 0 0,0 0 0,0-1 0,-1 1 0,1 0 0,0-1 0,-1 1 0,1 0 0,-1 0 0,1 0 0,-1-1 0,1 1 0,-1 0 0,0 0 0,0 0 0,0 0 0,1 0 0,-1 0 0,0 0 0,0 0 0,0 1 0,-1-1 0,1 0 0,0 1 0,0-1 0,0 0 0,-3 0 0,4 1-24,-1 1 0,0-1 0,1 1-1,-1-1 1,1 1 0,-1-1 0,1 1-1,-1-1 1,1 1 0,-1-1-1,1 1 1,0-1 0,-1 1 0,1 0-1,0-1 1,-1 1 0,1 0 0,0-1-1,0 1 1,0 0 0,-1-1 0,1 1-1,0 0 1,0 0 0,0-1-1,0 2 1,0 24-901,0-23 641,0-3 238,-1 7-644,1 0 1,1 0-1,-1 0 0,1 0 1,0-1-1,1 1 1,2 8-1,16 17-4878</inkml:trace>
  <inkml:trace contextRef="#ctx0" brushRef="#br0" timeOffset="1578.6">454 428 4402,'0'0'11771,"-18"-11"-10616,-55-33-157,72 43-962,-1 0 1,1 0 0,-1 0 0,0 0-1,1 0 1,-1 0 0,0 0-1,0 1 1,0-1 0,0 1-1,0-1 1,1 1 0,-1 0 0,0 0-1,0 0 1,0 0 0,0 0-1,0 0 1,0 0 0,0 1-1,0-1 1,0 1 0,1-1 0,-1 1-1,0 0 1,0 0 0,1 0-1,-1 0 1,0 0 0,1 0-1,-1 0 1,-2 3 0,1 1 1,0-1 1,1 1-1,-1 0 1,1-1-1,0 1 1,1 0-1,-1 0 1,0 7-1,1-10-8,-2 14 15,1 0 0,0 0 0,1 1-1,2 29 1,-1-44-63,1 0-1,-1 0 1,1 0 0,-1 0-1,1 0 1,0 0-1,0 0 1,0 0 0,0 0-1,0 0 1,1 0-1,-1-1 1,0 1 0,1 0-1,-1-1 1,1 1-1,0-1 1,-1 0-1,1 1 1,0-1 0,0 0-1,0 0 1,0 0-1,0 0 1,0-1 0,0 1-1,0 0 1,3-1-1,6 3-148,1-2 0,-1 1 0,24-1-1,-33-1 157,0 0 15,0-1-1,0 1 1,1 0-1,-1 0 1,0-1-1,0 0 1,0 1-1,0-1 0,0 0 1,0 0-1,0 0 1,-1 0-1,1 0 1,0 0-1,0-1 1,-1 1-1,1 0 1,-1-1-1,2-2 0,0 0-21,0 0-1,0-1 0,-1 1 0,0-1 0,0 0 0,0 1 0,2-10 0,0-5 875,-2 1-1,0-1 1,0-26 0,-5 86-855,2-32-8,0 0 0,0 0 0,1 0 0,1 0 0,-1 0 0,3 10 0,-2-16-17,0 0 0,0 0 0,1 0 0,-1 0 0,1-1-1,-1 1 1,1 0 0,0-1 0,0 1 0,0-1 0,1 0-1,-1 0 1,0 1 0,1-2 0,-1 1 0,1 0 0,0 0-1,0-1 1,-1 0 0,1 1 0,0-1 0,4 1 0,-5-1-18,1 0 1,-1 0 0,1 0-1,0 0 1,-1-1 0,1 1 0,0-1-1,-1 0 1,1 1 0,0-1-1,-1 0 1,1-1 0,0 1 0,0 0-1,-1-1 1,1 1 0,-1-1-1,1 0 1,0 0 0,-1 0 0,1 0-1,-1-1 1,0 1 0,1-1-1,-1 1 1,0-1 0,0 0 0,0 0-1,0 0 1,0 0 0,-1 0-1,1 0 1,-1 0 0,1 0 0,-1-1-1,0 1 1,1-3 0,3-9 49,-1 0 0,-1 0 0,0 0 0,-1 0 0,0-27 0,-2 38 15,3-32 528,-2 0-1,-2 0 0,-9-66 1,3 82 255,2 29-470,2 31-283,3 16-112,2 94 237,0-133-316,0 0 0,1 0 0,1-1 1,1 1-1,0-1 0,10 20 0,-14-34 12,0 0-1,1-1 0,-1 1 0,1 0 0,0-1 0,-1 1 1,1-1-1,0 0 0,0 0 0,1 0 0,-1 0 0,0 0 1,1 0-1,-1 0 0,1-1 0,-1 1 0,1-1 1,0 0-1,0 0 0,0 0 0,0 0 0,-1 0 0,1-1 1,0 1-1,0-1 0,0 0 0,0 0 0,0 0 0,0 0 1,0 0-1,0-1 0,0 1 0,0-1 0,0 0 0,0 0 1,0 0-1,0 0 0,-1-1 0,1 1 0,0-1 0,-1 1 1,1-1-1,-1 0 0,0 0 0,0 0 0,0 0 0,0-1 1,0 1-1,0-1 0,0 1 0,1-4 0,1-2 119,0 0 0,-1 0 0,0-1-1,0 1 1,-1-1 0,0 1-1,-1-1 1,1-9 0,-2-74 2642,-1 48 1124,-4 81-3406,4-13-392,0-7 54,1 0 0,1 0 0,0 0 0,5 22 0,-5-36-77,0 1 1,-1-1 0,1 0 0,0 0-1,1 0 1,-1-1 0,0 1 0,1 0-1,0 0 1,-1-1 0,1 1 0,0-1-1,0 1 1,1-1 0,-1 0 0,0 0-1,1 0 1,0 0 0,-1 0 0,1-1-1,0 1 1,0-1 0,-1 0-1,1 0 1,0 0 0,1 0 0,-1 0-1,0 0 1,5-1 0,-3 1 13,0-1 1,0 0-1,0 0 1,0 0-1,0-1 1,0 1-1,0-1 1,0-1-1,-1 1 1,1-1-1,0 0 1,-1 0-1,1 0 1,-1 0-1,0-1 1,0 0-1,0 1 1,0-2-1,0 1 1,0 0-1,-1-1 1,0 0-1,0 0 1,0 0-1,0 0 1,4-8-1,-2 3 282,0-1 0,0 0 0,-1-1 0,0 1 0,0-1 0,-1 0 0,-1 0 0,0 0 0,0 0 0,-1-1 0,-1 1 0,0 0 0,0 0 0,-3-13 0,3 24-225,0 0 1,0-1-1,-1 1 0,1 0 1,0-1-1,0 1 1,-1 0-1,1-1 0,0 1 1,0 0-1,-1-1 1,1 1-1,0 0 0,-1 0 1,1-1-1,0 1 0,-1 0 1,1 0-1,-1 0 1,1-1-1,0 1 0,-1 0 1,1 0-1,-1 0 1,1 0-1,0 0 0,-1 0 1,1 0-1,-1 0 0,1 0 1,0 0-1,-1 0 1,1 0-1,-1 0 0,1 0 1,0 1-1,-1-1 1,1 0-1,-1 0 0,1 0 1,0 1-1,-1-1 0,1 0 1,0 0-1,-1 1 1,1-1-1,0 0 0,0 1 1,-1-1-1,1 0 1,0 1-1,0-1 0,-1 0 1,1 1-1,0-1 0,0 0 1,0 1-1,0-1 1,0 1-1,0-1 0,0 0 1,0 2-1,-3 6-12,2 1-1,-1-1 1,1 1 0,0 0-1,1 0 1,0 0-1,1-1 1,-1 1-1,2 0 1,2 12 0,-3-18-60,0 1 1,0-1-1,1 0 1,-1 1-1,1-1 1,-1 0-1,1 0 1,0 0-1,0 0 1,1 0 0,-1 0-1,1-1 1,-1 1-1,1-1 1,0 0-1,0 0 1,0 0-1,0 0 1,0 0-1,0 0 1,0-1 0,1 0-1,-1 1 1,1-1-1,-1-1 1,1 1-1,-1 0 1,5-1-1,-4 1 38,0-1 0,-1 0-1,1-1 1,0 1 0,0-1 0,-1 1-1,1-1 1,0 0 0,-1 0-1,1-1 1,-1 1 0,1-1 0,-1 0-1,0 0 1,0 0 0,0 0-1,0 0 1,0-1 0,0 1 0,0-1-1,-1 0 1,0 0 0,1 0-1,-1 0 1,0 0 0,3-7 0,0 2 186,1-1 0,-1 1 0,-1-1 0,0 0 0,0-1 0,0 1 0,-1-1 0,-1 1 0,0-1 0,0 0 0,-1 0 1,0-10-1,-1 20-161,-1 0 0,1 0 0,-1 0 0,0 0 0,1 1 0,-1-1 0,1 0 0,-1 1 1,1-1-1,-1 0 0,1 1 0,-1-1 0,1 1 0,-1-1 0,1 1 0,0-1 0,-1 1 1,1-1-1,0 1 0,-1-1 0,1 1 0,0-1 0,-1 2 0,0 2-15,0 0 0,1 0-1,-1 0 1,1 0 0,0 0-1,0 0 1,0 0 0,0 0 0,1 0-1,0 0 1,-1 0 0,2 0-1,-1 0 1,0 0 0,1 0 0,-1-1-1,4 5 1,-3-5-45,0-1 0,0 0 0,0 0 0,0 0 0,0-1 0,1 1 0,-1 0 0,1-1 0,-1 0 0,1 1 0,0-1 0,-1 0 1,1 0-1,0-1 0,0 1 0,0 0 0,-1-1 0,1 0 0,0 0 0,0 0 0,0 0 0,0 0 0,0 0 0,0-1 0,4-1 0,-5 2 40,0-1 1,0 0-1,1-1 1,-1 1-1,0 0 0,0-1 1,0 1-1,0-1 1,-1 1-1,1-1 0,0 0 1,-1 0-1,1 0 0,-1 0 1,0 0-1,1 0 1,-1 0-1,0 0 0,0-1 1,0 1-1,-1 0 1,1-1-1,-1 1 0,1-4 1,2-7 36,-2-1 1,1 1 0,-2-14 0,0 24 16,0 1-1,0 0 1,0-1 0,-1 1 0,1 0 0,-1-1-1,1 1 1,-1 0 0,0 0 0,0-1 0,0 1-1,0 0 1,-1 0 0,1 0 0,0 0 0,-1 0-1,1 1 1,-1-1 0,0 0 0,0 1 0,0-1-1,1 1 1,-4-2 0,1 1 1,1 1 1,0 0 0,-1-1-1,1 2 1,0-1-1,-1 0 1,1 1-1,-1-1 1,1 1-1,-1 0 1,1 0-1,-1 0 1,1 1-1,-1-1 1,-6 3-1,8-2-32,0 0 0,0 0 0,1 0 1,-1 0-1,0 0 0,0 1 0,1-1 0,-1 1 0,1-1 0,-1 1 0,1-1 0,0 1 1,0 0-1,0 0 0,0 0 0,0-1 0,0 1 0,0 0 0,0 0 0,1 0 0,-1 1 0,1-1 1,-1 3-1,0 8 22,0 0 0,1 23 0,0-22-16,0-9 3,0-1 0,0 0 0,1 1 0,-1-1 1,1 1-1,0-1 0,0 0 0,1 0 0,-1 0 0,1 1 1,0-1-1,0-1 0,1 1 0,-1 0 0,1 0 0,-1-1 0,1 0 1,0 1-1,1-1 0,-1 0 0,0-1 0,1 1 0,0-1 0,-1 1 1,1-1-1,0 0 0,0 0 0,0-1 0,5 2 0,3 1-388,0-1 0,1 0-1,20 1 1,38-2-5673,-22-2-3167</inkml:trace>
  <inkml:trace contextRef="#ctx0" brushRef="#br0" timeOffset="1811.15">1733 313 9236,'0'0'11542,"2"-7"-11366,15 7 80,8 0-256,1 0 80,2 0-192,-2 3-176,-1 1-1601,-4 2-1153,-6-1-3072</inkml:trace>
  <inkml:trace contextRef="#ctx0" brushRef="#br0" timeOffset="1996.86">1760 460 6339,'0'0'15015,"30"-23"-14727,-6 23-288,1 0-48,1 0-1201,4 0-1696,10 0-2033</inkml:trace>
  <inkml:trace contextRef="#ctx0" brushRef="#br0" timeOffset="2663.45">2285 72 9172,'0'0'11656,"-3"-5"-11026,-7-10-505,6 25-90,6 42 61,-2-47-72,0-2-20,0 0 0,1 0 0,-1 1 0,0-1 0,1 0 0,0 0-1,0 0 1,0 0 0,0 0 0,0 0 0,1 0 0,0-1 0,-1 1 0,1 0 0,4 4 0,-4-6-32,1 1 1,0-1 0,0 1 0,-1-1-1,1 0 1,0 0 0,0 0 0,0 0-1,0 0 1,1-1 0,-1 0 0,0 1-1,0-1 1,0 0 0,6-1-1,-7 1-8,1-1-1,-1 1 0,1-1 1,-1 0-1,1 0 0,-1 0 1,1 0-1,-1 0 0,0 0 1,0-1-1,0 1 0,1-1 0,-1 1 1,-1-1-1,1 0 0,0 0 1,0 0-1,-1 0 0,1 0 1,-1 0-1,1-1 0,-1 1 1,0 0-1,0-1 0,0 1 0,0-1 1,-1 1-1,2-6 0,0-6 69,1 0 0,-2-1-1,0-26 1,-1 36 17,-3-13 397,3 17-424,0 1-1,0-1 1,0 1 0,0-1 0,0 1-1,0-1 1,-1 1 0,1-1-1,0 1 1,0 0 0,0-1-1,-1 1 1,1-1 0,0 1 0,-1 0-1,1-1 1,0 1 0,-1 0-1,1-1 1,-1 1 0,1 0-1,0 0 1,-1-1 0,1 1 0,-1 0-1,1 0 1,-1 0 0,1 0-1,-1-1 1,1 1 0,-1 0-1,1 0 1,0 0 0,-1 0 0,0 0-1,0 1-25,1 0 0,-1 0-1,1 0 1,-1 0 0,1 0-1,-1 0 1,1 1 0,0-1-1,-1 0 1,1 0-1,0 0 1,0 0 0,0 0-1,0 1 1,0-1 0,0 0-1,0 0 1,1 2 0,-1 2-15,0 15 1,1 1 0,5 37 0,-4-51-470,0 0 1,0 0-1,0-1 1,1 1-1,0-1 1,0 1-1,1-1 0,0 0 1,0 0-1,0-1 1,1 1-1,5 5 1,9 5-5023</inkml:trace>
  <inkml:trace contextRef="#ctx0" brushRef="#br0" timeOffset="2956.48">2646 87 7668,'0'0'16330,"0"-9"-15917,-1 80-286,-1-18-195,2 0 0,3 0 1,10 60-1,-5-88-531,-1-12-2826</inkml:trace>
  <inkml:trace contextRef="#ctx0" brushRef="#br0" timeOffset="3318.06">2670 398 1409,'0'0'13969,"-8"-13"-12678,-26-35-352,25 35 235,24 13-851,-3-1-381,0 0 0,0 0 0,-1-1 0,1-1 0,-1 0 0,1-1 0,-1 0 0,15-8 0,-21 9 30,0 0 0,0 0 0,-1-1 0,1 1 0,-1-1 0,0 0 0,0 0 0,0 0 0,0-1 0,-1 0 0,0 1 1,0-1-1,0 0 0,-1 0 0,0-1 0,0 1 0,0 0 0,0-1 0,1-10 0,-1 7 365,-1-1 0,1 1-1,-2-1 1,1 0 0,-2 1-1,1-1 1,-1 1 0,-1-1-1,1 1 1,-2-1 0,1 1-1,-1 0 1,-1 0 0,-4-10 0,7 19-330,1 0 1,0 0 0,0 0 0,0 0 0,0 0 0,0 0 0,0 0 0,0 0 0,0-1 0,-1 1 0,1 0-1,0 0 1,0 0 0,0 0 0,0 0 0,0 0 0,0 0 0,0 0 0,-1 0 0,1 0 0,0 0-1,0 0 1,0 0 0,0 0 0,0 1 0,0-1 0,0 0 0,0 0 0,-1 0 0,1 0 0,0 0 0,0 0-1,0 0 1,0 0 0,0 0 0,0 0 0,0 0 0,0 0 0,0 1 0,0-1 0,-1 0 0,1 0 0,0 0-1,0 0 1,0 0 0,0 0 0,0 0 0,0 0 0,0 1 0,0-1 0,0 0 0,0 0 0,0 0-1,0 0 1,0 0 0,0 0 0,0 0 0,0 1 0,0-1 0,0 0 0,0 0 0,-1 11 198,1 246-86,1-240-194,1 0 0,7 27 1,7-7-2367,-15-35 1854,1 0-1,-1 0 1,1 0-1,-1 0 1,1-1-1,0 1 1,0 0 0,0-1-1,0 1 1,0-1-1,0 0 1,3 2-1,14 3-6904</inkml:trace>
  <inkml:trace contextRef="#ctx0" brushRef="#br0" timeOffset="4219.85">3030 337 8100,'0'0'12325,"-4"-10"-11668,-11-31-249,9 31-315,1 11-75,1 11-19,4-12 6,-1 4-2,0 0 1,1 0 0,-1 0-1,1-1 1,0 1 0,0 0-1,0 0 1,0 0 0,1 0-1,1 5 1,-1-8-63,-1 1-1,1-1 1,0 1 0,0-1-1,0 0 1,0 1-1,0-1 1,0 0-1,1 0 1,-1 0 0,0 0-1,0 0 1,1 0-1,-1 0 1,1 0 0,-1-1-1,1 1 1,-1 0-1,1-1 1,0 1 0,-1-1-1,1 0 1,-1 1-1,1-1 1,0 0 0,2 0-1,-2 0-31,0 0 0,0 1 1,0-1-1,1 0 0,-1 0 0,0-1 0,0 1 0,0 0 0,0-1 1,0 1-1,0-1 0,1 0 0,-1 1 0,0-1 0,-1 0 1,1 0-1,0-1 0,0 1 0,1-2 0,-1 1 88,0-1-1,-1 1 1,0-1 0,0 1-1,0-1 1,0 0 0,0 1-1,0-1 1,-1 0-1,1 0 1,-1 0 0,0 0-1,0 0 1,0-4 0,0 4-20,0-8 250,0 1 0,0-1 0,-1 1-1,-1-1 1,-3-15 0,4 24-144,0-1 0,0 1 0,-1 0 0,1-1 1,0 1-1,-1 0 0,1-1 0,-1 1 0,0 0 0,1 0 0,-1 0 0,0 1 1,0-1-1,-1 0 0,1 1 0,0-1 0,0 1 0,-1 0 0,1 0 0,-1 0 1,1 0-1,-1 0 0,1 0 0,-1 1 0,0-1 0,1 1 0,-5 0 0,5 0-62,0-1 0,1 1 1,-1 0-1,0 0 0,0 0 0,0 1 0,0-1 0,0 0 0,0 1 0,1-1 0,-1 1 0,0 0 0,0-1 0,1 1 0,-1 0 1,0 0-1,1 0 0,-1 0 0,1 1 0,0-1 0,-1 0 0,1 1 0,-2 2 0,1 0-12,0 0-1,0 0 0,0 0 1,1 1-1,0-1 0,0 1 1,0-1-1,0 1 1,1 4-1,-2 8 26,1 0 1,0 0-1,2 0 0,0 0 1,4 19-1,-4-32-80,0 0 1,0 0-1,0 0 0,0 0 1,1-1-1,-1 1 0,1 0 1,0-1-1,0 1 0,0-1 1,1 0-1,-1 0 0,1 0 1,0 0-1,0 0 0,0-1 1,0 1-1,0-1 0,1 0 1,-1 0-1,1 0 0,-1 0 1,1 0-1,0-1 0,0 0 1,0 0-1,6 1 0,-4 0-50,0-2-1,0 1 1,0-1-1,0 0 0,1 0 1,-1 0-1,0-1 1,0 0-1,0 0 0,0-1 1,-1 0-1,1 0 1,0 0-1,9-6 1,-9 4 95,-1 0 0,0-1 0,-1 1 1,1-1-1,-1 0 0,0-1 0,0 1 1,0-1-1,-1 1 0,0-1 0,0 0 1,-1 0-1,4-12 0,0-7 236,0 0-1,-2 0 0,-1-1 1,-1 1-1,-2-1 1,0 0-1,-5-31 1,-5 17 496,10 39-659,0-1-1,-1 1 1,1-1 0,-1 1-1,1 0 1,-1-1 0,0 1-1,1 0 1,-1 0 0,0-1 0,0 1-1,0 0 1,0 0 0,0 0-1,0 0 1,-1 0 0,1 0 0,0 0-1,0 1 1,-1-1 0,1 0-1,0 1 1,-1-1 0,-1 0-1,3 2-67,-1-1-1,0 0 0,0 1 0,0-1 0,1 1 0,-1 0 0,0-1 0,1 1 1,-1 0-1,0-1 0,1 1 0,-1 0 0,1-1 0,-1 1 0,1 0 0,-1 0 1,1 0-1,0 0 0,0-1 0,-1 1 0,1 0 0,0 1 0,-7 26-63,6-24 64,-3 26 49,2 1-1,2 60 0,0-38 0,0-47-55,0 0 1,1 0-1,-1 0 1,1 0-1,1 0 1,-1 0-1,1-1 1,0 1-1,5 11 1,-6-15-22,1 1 1,0-1 0,0 0 0,0 1-1,0-1 1,0 0 0,0 0-1,1 0 1,-1-1 0,1 1 0,-1-1-1,1 1 1,-1-1 0,1 0 0,0 0-1,0 0 1,0 0 0,0 0-1,0-1 1,-1 1 0,1-1 0,4 0-1,-3 1-17,0-1-1,0 0 0,1-1 0,-1 1 1,0-1-1,0 0 0,0 0 0,0 0 1,0 0-1,0-1 0,0 1 1,0-1-1,0 0 0,3-3 0,-1 0 4,-1 0 0,1-1 0,-1 1 0,-1-1 0,1 0 0,-1 0-1,5-9 1,-3 4 26,-1-1-1,0 1 1,-1-1 0,0 0-1,-1 0 1,-1 0-1,3-22 1,-4 8 155,0 0 1,-5-44-1,-4 40 413,8 29-528,0 0 1,-1 0-1,1 0 0,0 0 1,-1 0-1,1 0 0,-1 0 1,0 0-1,1 0 0,-1 0 1,0 0-1,1 0 0,-1 1 1,0-1-1,0 0 0,0 1 1,0-1-1,0 0 1,0 1-1,0-1 0,0 1 1,0-1-1,0 1 0,-2-1 1,2 6-40,0-1 0,0 1 0,0 0 0,1-1 0,0 1 0,0-1 0,1 10 0,-1-8-5,-1 24-315,1-4 313,0 0 1,1 1-1,7 30 0,-6-49-485,0 1 1,0-2-1,1 1 0,1 0 1,7 14-1,-8-18-286,0 1 1,1-1-1,0 1 0,0-1 1,0 0-1,0 0 1,0-1-1,1 1 0,8 4 1,14 4-8235</inkml:trace>
  <inkml:trace contextRef="#ctx0" brushRef="#br0" timeOffset="4562.17">3630 251 7027,'0'0'15026,"-9"-10"-14463,-27-28-166,36 37-390,-1 1 0,1-1-1,-1 1 1,1-1 0,-1 1-1,1-1 1,-1 1 0,1-1-1,-1 1 1,1 0 0,-1 0-1,0-1 1,1 1 0,-1 0 0,1 0-1,-1-1 1,0 1 0,1 0-1,-1 0 1,0 0 0,1 0-1,-1 0 1,0 0 0,1 0-1,-1 0 1,0 0 0,1 1 0,-1-1-1,0 0 1,1 0 0,-1 1-1,0-1 1,1 0 0,-1 1-1,1-1 1,-1 0 0,1 1-1,-1-1 1,1 1 0,-1-1 0,1 1-1,-1-1 1,1 1 0,-1-1-1,1 1 1,0-1 0,-1 2-1,-9 29 163,9-28-109,-2 13-16,1 0-1,0 0 1,1 0 0,2 25 0,-1-40-50,0 1 0,0 0 0,1 0 1,-1-1-1,1 1 0,-1 0 0,1-1 1,0 1-1,0-1 0,-1 1 1,1-1-1,0 1 0,0-1 0,1 0 1,-1 1-1,0-1 0,0 0 0,1 0 1,-1 0-1,0 0 0,1 0 1,-1 0-1,1 0 0,-1 0 0,1-1 1,3 2-1,-1-1-59,0 0 0,1 0 0,-1 0 0,1-1-1,-1 0 1,1 1 0,0-1 0,-1-1 0,8 0 0,-10 0 55,0 0 1,0-1-1,0 1 1,0 0 0,0 0-1,0-1 1,-1 1-1,1-1 1,0 0-1,-1 1 1,1-1-1,-1 0 1,0 0-1,1 0 1,-1 0-1,0 0 1,0 0-1,0 0 1,-1-1-1,1 1 1,-1 0 0,1 0-1,-1-1 1,1-1-1,1-10-119,-1 0 0,1-21 0,-2 32 25,0-3-213,0 0-1,0 0 0,-1 0 1,0 0-1,-2-9 0,-8-1-3143,-10 6-3898,11 8-738</inkml:trace>
  <inkml:trace contextRef="#ctx0" brushRef="#br0" timeOffset="4998.22">3829 1 2913,'0'0'17568,"-3"-1"-17354,2 2-208,0-1 0,0 0 1,0 1-1,0-1 0,0 1 1,0-1-1,0 1 0,0-1 1,0 1-1,0 0 1,0-1-1,1 1 0,-1 0 1,0 0-1,0 0 0,1 0 1,-1-1-1,0 1 0,1 0 1,-1 0-1,1 0 0,-1 0 1,1 1-1,0-1 0,-1 0 1,1 0-1,0 0 0,0 0 1,0 0-1,0 0 0,0 0 1,0 1-1,0 0 0,-1 7 33,1-1 0,0 1 0,2 16 0,-1-24-141,0 1 1,-1-1 0,1 0-1,0 1 1,0-1 0,0 0-1,0 0 1,0 0 0,0 0-1,0 0 1,0 0 0,1 0-1,-1 0 1,0 0 0,0-1-1,1 1 1,-1 0 0,1-1-1,-1 1 1,1-1 0,-1 0-1,1 1 1,-1-1 0,1 0-1,-1 0 1,1 0 0,2 0-1,-2 0-106,1 0 1,-1 0-1,1 0 0,-1 0 0,1 0 0,-1 0 0,1-1 1,-1 0-1,1 1 0,-1-1 0,1 0 0,-1 0 0,0 0 1,1 0-1,3-4 0,-4 2 96,0 0 0,0 0 0,0 0 0,-1-1 0,1 1 1,-1-1-1,0 1 0,0-1 0,0 1 0,-1-1 0,1-6 0,0-24 2051,-1 29-1129,0 4-127,0 3-374,-7 181-1837,11-157-1967,7-8-3100</inkml:trace>
</inkml:ink>
</file>

<file path=xl/ink/ink4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5:57.620"/>
    </inkml:context>
    <inkml:brush xml:id="br0">
      <inkml:brushProperty name="width" value="0.05" units="cm"/>
      <inkml:brushProperty name="height" value="0.05" units="cm"/>
      <inkml:brushProperty name="color" value="#F6630D"/>
    </inkml:brush>
  </inkml:definitions>
  <inkml:trace contextRef="#ctx0" brushRef="#br0">98 587 5587,'0'0'16834,"-14"-14"-16239,-41-40-219,41 45-311,9 15-55,1 16-10,1-1 0,1 1 0,1 0 0,2 31 0,0-11 2,1-14 31,1 0-1,1 0 1,1-1-1,2 0 1,15 41-1,-3-8 67,-16-163 386,-17-11-466,-3-88 99,17 188-126,-1 2 7,1-1 1,1 0 0,0 1 0,1-1-1,4-15 1,-5 24-9,0 1 0,0 1 0,0-1 1,1 0-1,-1 0 0,1 0 0,0 1 0,0-1 0,0 1 1,0-1-1,0 1 0,1 0 0,-1 0 0,1 0 0,-1 0 1,1 0-1,0 1 0,-1-1 0,1 1 0,0 0 0,0 0 1,0 0-1,0 0 0,1 0 0,-1 1 0,5-1 0,-3 0-4,1 1 1,0-1-1,0 1 0,-1 1 0,1-1 0,0 1 0,-1 0 0,1 0 0,-1 1 0,1 0 0,-1 0 0,0 0 0,1 0 0,-1 1 0,6 4 0,-6-2 4,1 0 0,-1 0 0,0 0 0,0 1 0,0 0 0,-1 0 0,0 0 0,0 0 1,0 1-1,-1 0 0,4 10 0,-4-8-38,0 0 0,0 0 0,0 0 0,-1 0 0,-1 1 0,1-1 0,-2 1 1,1-1-1,-1 1 0,-1-1 0,1 1 0,-2-1 0,1 0 0,-1 1 0,-1-1 1,0 0-1,0 0 0,-1 0 0,0-1 0,0 1 0,-1-1 0,0 0 0,-1 0 1,1-1-1,-1 1 0,-1-1 0,-11 10 0,-61 45-62,78-61 165,2-2-45,0 0 1,0 0 0,-1 0-1,1 0 1,0 1 0,0-1 0,0 0-1,0 0 1,0 1 0,0-1-1,0 0 1,0 1 0,0-1 0,0 1-1,0 0 1,0-1 0,1 1-1,1-1 1,24-4-82,-19 4 47,-1 1 0,1 1 1,0-1-1,0 1 0,-1 1 1,1-1-1,-1 1 1,14 6-1,-3 1-729,-1 0 0,21 16 0,-34-22 395,7 5-2086,1-1 0,24 13 0,-12-12-2928</inkml:trace>
  <inkml:trace contextRef="#ctx0" brushRef="#br0" timeOffset="854.9">625 747 5795,'0'0'12653,"-15"-16"-11575,-49-48-333,63 63-735,0-1 0,0 1 1,-1 0-1,1-1 1,0 1-1,-1 0 0,1 0 1,-1 0-1,0 0 1,1 0-1,-1 0 0,0 1 1,1-1-1,-1 1 1,0-1-1,0 1 0,0-1 1,1 1-1,-1 0 1,0 0-1,0 0 0,0 0 1,0 0-1,1 1 1,-1-1-1,0 0 0,0 1 1,0-1-1,1 1 1,-1 0-1,0 0 0,-2 1 1,1 1 0,0 0-1,0 0 1,0 1 0,0-1 0,1 1 0,0-1 0,-1 1-1,-2 7 1,5-11-9,-5 13-2,1-1 0,0 1 0,1 0 0,1 0 0,0 0 0,0 0 0,2 0 0,-1 0 0,2 1 0,0-1 0,2 14 0,-2-24-114,-1 0-1,1 1 0,0-1 0,1 0 1,-1 0-1,0 0 0,1 0 0,0 0 1,0 0-1,0 0 0,0 0 0,0 0 1,0-1-1,1 0 0,-1 1 0,1-1 1,0 0-1,-1 0 0,1 0 0,0 0 0,0-1 1,6 3-1,0-1-478,1-1 0,0 1 0,0-2 0,0 1 0,0-1 1,14-1-1,-21 0 541,-1 0 0,1-1 1,0 1-1,-1-1 0,1 1 1,-1-1-1,1 0 0,-1 0 1,1 0-1,-1 0 0,0-1 1,1 1-1,-1-1 0,0 1 0,0-1 1,0 0-1,0 1 0,0-1 1,0 0-1,-1-1 0,1 1 1,-1 0-1,1 0 0,-1-1 1,0 1-1,0 0 0,0-1 1,0 1-1,0-1 0,-1 0 1,1-2-1,2-11 518,-1 0-1,0 0 1,-2-1 0,0-15 0,-1 13 409,2 13-424,-1 0 1,0 0-1,-1 0 1,0 0-1,0 0 1,0 0-1,-1 0 0,-4-11 1,7 21-471,0-1 1,0 0 0,-1 0-1,0 1 1,0-1-1,0 0 1,0 1-1,-1 4 1,0 13 5,3-11-236,0-1 0,1 0-1,0 0 1,1 0 0,-1 0 0,2-1-1,-1 1 1,1-1 0,10 13 0,-12-17-298,0 0 0,1 1 1,0-2-1,-1 1 1,1 0-1,1-1 0,-1 1 1,0-1-1,1 0 1,0-1-1,0 1 0,0-1 1,0 0-1,0 0 1,0-1-1,0 1 1,0-1-1,8 0 0,-12-1 567,1 0 0,-1-1-1,1 1 1,-1-1 0,0 0 0,1 1-1,-1-1 1,0 0 0,1 0 0,-1 0-1,0 0 1,0 0 0,0 0 0,0 0-1,0 0 1,0-1 0,0 1-1,0 0 1,0-1 0,-1 1 0,1 0-1,0-1 1,-1 1 0,0-1 0,1 1-1,-1-1 1,1-1 0,8-52 3411,-8 42-2466,2-29 1817,-3 31-1986,1 0 1,0 0 0,1 1 0,0-1-1,0 0 1,6-15 0,-8 25-786,1 1 1,-1 0-1,0 0 1,0-1-1,1 1 1,-1 0-1,0-1 0,0 1 1,1 0-1,-1 0 1,0 0-1,1-1 1,-1 1-1,0 0 1,1 0-1,-1 0 1,0 0-1,1 0 1,-1 0-1,1-1 0,-1 1 1,0 0-1,1 0 1,-1 0-1,0 0 1,1 0-1,-1 1 1,1-1-1,-1 0 1,0 0-1,1 0 1,-1 0-1,0 0 1,1 0-1,-1 1 0,0-1 1,1 0-1,-1 0 1,0 0-1,1 1 1,-1-1-1,0 0 1,0 0-1,1 1 1,-1-1-1,0 0 1,0 1-1,0-1 0,1 0 1,-1 1-1,0-1 1,0 0-1,0 1 1,0 0-1,12 19-166,-8-9 69,-1 0 1,0 1-1,0 0 1,1 20-1,-4-21-449,2-1 0,-1 0 0,1 0-1,1 0 1,0 0 0,0 0 0,6 10 0,-9-20 499,0 1 0,0-1 0,1 1 0,-1-1 0,1 1 0,-1-1 0,0 1 0,1-1-1,-1 0 1,1 1 0,-1-1 0,1 0 0,-1 0 0,1 1 0,-1-1 0,1 0 0,-1 0 0,1 0 0,-1 1 0,1-1 0,-1 0 0,1 0 0,0 0 0,-1 0 0,1 0 0,-1 0 0,1 0 0,-1 0 0,1 0 0,-1-1 0,1 1 0,0 0 0,-1 0 0,1 0 0,-1-1 0,1 1-1,-1 0 1,1 0 0,-1-1 0,0 1 0,1-1 0,-1 1 0,1 0 0,-1-1 0,1 0 0,16-21 419,-5-5 1295,14-42 1,-16 40 119,15-32-1,-25 61-1793,0 0 1,0-1-1,0 1 0,0-1 0,1 1 1,-1-1-1,0 1 0,0 0 0,0-1 1,0 1-1,1 0 0,-1-1 0,0 1 1,0 0-1,1-1 0,-1 1 0,0 0 1,1-1-1,-1 1 0,0 0 0,1 0 1,-1-1-1,0 1 0,1 0 0,-1 0 1,0 0-1,1-1 0,-1 1 0,1 0 1,-1 0-1,0 0 0,1 0 0,-1 0 1,1 0-1,-1 0 0,1 0 0,-1 0 1,0 0-1,1 0 0,-1 0 0,1 0 1,-1 1-1,0-1 0,1 0 0,-1 0 1,1 0-1,-1 1 0,0-1 0,1 0 1,-1 0-1,0 1 0,1-1 0,-1 0 1,0 0-1,0 1 0,1-1 0,-1 0 1,0 1-1,0-1 0,1 1 0,-1-1 1,0 0-1,0 1 0,0-1 0,0 1 1,0-1-1,11 29-185,-10-22 153,1 3-240,0 1 0,1-1 0,0 0 1,1 0-1,6 12 0,-8-19-117,0 0-1,0 0 1,0 0-1,0-1 1,1 1 0,-1-1-1,1 1 1,3 2-1,-2-3-364,0 0 0,-1 0 0,1-1-1,0 1 1,0-1 0,0 0 0,0 0-1,5 1 1,15 0-8617</inkml:trace>
  <inkml:trace contextRef="#ctx0" brushRef="#br0" timeOffset="1846.47">1257 691 4258,'0'0'11765,"-1"-18"-9604,-7-55-531,8 72-1579,0-1-1,0 1 1,-1 0-1,1 0 1,0-1-1,-1 1 1,1 0-1,-1 0 1,0 0-1,1-1 1,-1 1-1,0 0 1,0 0-1,0 0 1,0 0-1,0 1 1,0-1-1,0 0 1,0 0-1,0 0 1,0 1-1,0-1 1,0 1-1,0-1 1,-1 1-1,1-1 1,0 1-1,0 0 1,-1-1-1,1 1 1,0 0-1,-1 0 1,0 0-1,-2 0-24,1 0 0,-1 1-1,1-1 1,0 1-1,-1 0 1,1 0 0,0 0-1,-5 2 1,3 0-25,1 0 0,-1 1 0,1-1 0,0 1 0,0 0 0,0 0 1,0 1-1,1-1 0,0 1 0,-1-1 0,2 1 0,-1 0 0,1 0 0,-4 10 0,3-5-8,0 0-1,1 0 1,0 0 0,1 0-1,0 0 1,0 1 0,2 13-1,-1-22-97,0 0 0,1 0 0,-1 1 0,1-1-1,0 0 1,0 0 0,0 0 0,0 1 0,0-1 0,0 0-1,1-1 1,-1 1 0,1 0 0,-1 0 0,1-1 0,-1 1-1,1 0 1,0-1 0,0 0 0,0 1 0,0-1 0,0 0-1,0 0 1,0 0 0,1 0 0,-1-1 0,2 1 0,4 1-744,0 0 1,0-1 0,0 0 0,0 0 0,1-1 0,13-1 0,-19 0 855,-1 1 1,0-1-1,1 0 1,-1 0-1,0 0 1,0 0-1,0 0 1,0 0-1,0-1 1,0 1-1,0-1 1,0 1-1,0-1 0,-1 0 1,1 1-1,0-1 1,-1 0-1,0 0 1,1 0-1,-1-1 1,0 1-1,0 0 1,0 0-1,-1-1 1,1 1-1,0 0 1,0-5-1,1-8 1511,0 1 0,-1-1 0,0-20 0,-1 27-705,0-48 2968,0 52-2302,0 33-1467,2 21 0,3-1 1,2 1 0,3-2 0,26 83 0,-28-103-28,4 9-288,-1 1-1,-2 0 1,-2 1 0,4 68-1,-11-106 288,0 1 0,0-1 0,0 1 0,0-1 0,0 1 0,0-1-1,-1 1 1,1-1 0,0 0 0,-1 1 0,0-1 0,1 1 0,-1-1 0,0 0 0,1 0-1,-1 1 1,0-1 0,0 0 0,0 0 0,0 0 0,0 0 0,0 0 0,-1 0 0,1 0-1,0 0 1,0-1 0,-1 1 0,1 0 0,0-1 0,-1 1 0,-1 0 0,-2 0 14,0-1 1,0 1-1,0-1 1,0 0 0,0 0-1,0-1 1,0 1-1,-5-3 1,7 3 2,1-1 1,0 1-1,-1-1 1,1 0-1,0 0 0,0-1 1,-1 1-1,1 0 1,0-1-1,0 1 0,0-1 1,1 1-1,-1-1 1,0 0-1,1 0 1,-1 0-1,-1-2 0,1-1 5,-1 0 0,1 0-1,0 0 1,0 0 0,1 0-1,-1 0 1,0-10 0,1 4-3,0 1 1,1-1-1,1 0 1,-1 1-1,2-1 1,-1 0-1,6-17 1,5 0-17,1 1 0,32-51 1,10-18-396,-49 83 345,-1 0 0,0 0 0,0-1 0,-1 0-1,3-24 1,-5-67 1109,-2 104-806,-1 4-251,0-1 0,0 1-1,0 0 1,1-1 0,0 1-1,-1 0 1,1 0 0,0-1-1,0 1 1,1 4 0,-1-3-1,0 6 12,0-1 1,0 1-1,1 0 0,0-1 0,1 1 1,3 11-1,-4-19-38,0 1 0,1-1 0,-1 1 1,1-1-1,-1 0 0,1 1 0,0-1 0,-1 0 1,1 0-1,1 0 0,-1 0 0,0-1 0,0 1 1,1-1-1,-1 1 0,0-1 0,1 0 0,0 0 1,-1 0-1,1 0 0,0 0 0,-1 0 0,1-1 0,0 1 1,0-1-1,4 0 0,-6 0 13,1 0 1,0 1-1,0-1 0,-1 0 1,1 0-1,0-1 0,0 1 1,-1 0-1,1-1 0,0 1 1,-1-1-1,1 1 1,-1-1-1,1 0 0,0 1 1,-1-1-1,0 0 0,1 0 1,-1 0-1,1 0 0,-1-1 1,0 1-1,0 0 0,0 0 1,2-3-1,-1-1-12,0 0 1,-1 0-1,1 0 1,-1 0-1,0 0 0,0 0 1,0-9-1,0 6 49,1-14-27,-1 0 0,-2-26 1,1 44 56,0-1 0,-1 0 0,1 0 0,-1 1 0,-1-1 0,1 0 0,-1 1 0,1-1 1,-1 1-1,0 0 0,-1-1 0,1 1 0,-1 0 0,0 1 0,0-1 0,-4-4 0,6 7-26,0 0 0,1 0 0,-1 0-1,0 1 1,0-1 0,0 0 0,0 0 0,0 0-1,0 1 1,-1-1 0,1 1 0,0-1 0,0 1-1,0-1 1,-1 1 0,1 0 0,0-1 0,0 1-1,-1 0 1,1 0 0,0 0 0,0 0 0,-1 0-1,1 0 1,0 0 0,-1 1 0,1-1 0,0 0-1,0 1 1,0-1 0,-1 1 0,1-1 0,0 1-1,0 0 1,0-1 0,0 1 0,0 0 0,0 0-1,0 0 1,0 0 0,0 0 0,1 0 0,-1 0-1,0 0 1,0 0 0,1 0 0,-1 0 0,1 0-1,-1 0 1,1 1 0,-1 1 0,-2 7-2,0 0 1,1 0 0,0-1 0,1 1-1,0 12 1,0 2 38,1-1 1,1 1-1,6 38 1,-4-51-38,0 0 1,0 0 0,1-1 0,0 1 0,1-1-1,0 0 1,1 0 0,0 0 0,12 14-1,-11-15-217,1-1-1,0 0 0,0 0 1,10 7-1</inkml:trace>
  <inkml:trace contextRef="#ctx0" brushRef="#br0" timeOffset="2486.35">1983 143 7395,'0'0'12857,"-6"2"-12460,3-1-367,1 1-1,-1-1 1,1 1-1,0 0 1,-1 0-1,1 0 1,0 0-1,0 0 1,0 0-1,0 0 1,1 1-1,-1-1 1,1 1-1,-1-1 1,1 1 0,0 0-1,0-1 1,0 1-1,0 0 1,1 0-1,-1 0 1,1 0-1,-1 0 1,1 4-1,-1 18 248,0 0 1,3 25-1,-1-12-83,0 0 59,2 1 0,14 69 0,-11-85-216,0 0 1,2 0-1,0-1 0,2 0 0,21 37 0,-26-51-27,0-1 0,1 0 1,0 0-1,0-1 0,1 0 1,-1 0-1,1 0 0,0-1 1,1 0-1,8 4 0,-11-6-257,0-1 0,1 1-1,-1-1 1,1-1-1,0 1 1,-1-1-1,1 0 1,0 0 0,0-1-1,0 1 1,0-2-1,0 1 1,-1 0-1,1-1 1,0 0 0,6-2-1,-10 2-151,0 0-1,0 0 1,0 0 0,0 0-1,0 0 1,0-1-1,-1 1 1,1 0 0,2-4-1,15-19-6120</inkml:trace>
  <inkml:trace contextRef="#ctx0" brushRef="#br0" timeOffset="2885.2">2233 254 6451,'0'0'11896,"-2"1"-11813,0-1-79,1 1-1,0 0 1,0 0 0,0-1 0,0 1-1,0 0 1,0 0 0,0 0 0,0 0 0,0 0-1,1 0 1,-1 0 0,0 1 0,1-1-1,-1 0 1,1 0 0,-1 1 0,1-1 0,0 0-1,-1 0 1,1 1 0,0-1 0,0 0-1,0 1 1,0 1 0,0 48 99,1-32-48,-1-17-65,0-1 0,0 1 0,0 0 0,0-1 0,1 1 0,-1 0 0,1-1 0,-1 1 0,1-1 0,-1 1 0,1-1 0,0 1 0,0-1 0,0 0 0,0 1 0,0-1 0,0 0 0,0 0 0,1 0 0,-1 1 0,0-1 0,1-1 0,-1 1 0,0 0 0,1 0 0,-1 0 0,1-1 0,-1 1 0,1-1 0,0 1 1,-1-1-1,1 0 0,0 1 0,-1-1 0,1 0 0,1 0 0,0 0-50,-1 0 0,1 0 0,0 0 1,-1-1-1,1 1 0,-1-1 0,1 1 1,-1-1-1,0 0 0,1 0 0,-1 0 1,0 0-1,1-1 0,-1 1 0,0 0 0,0-1 1,0 0-1,0 1 0,-1-1 0,1 0 1,0 0-1,-1 0 0,3-3 0,-1-4 55,-1 1 0,0 0 0,0-1 0,0 0 0,-1 1 0,-1-1-1,1 0 1,-2-11 0,1 6 617,1 35-620,1-1-1,1 1 1,0-1-1,9 24 1,30 80-5302,-30-96-543</inkml:trace>
  <inkml:trace contextRef="#ctx0" brushRef="#br0" timeOffset="3386.02">2640 337 11157,'0'0'12443,"-1"-4"-12345,0 10-105,-1 47 102,2 0-1,2 1 1,3-1 0,2-1-1,17 65 1,-23-117-644,0-7 167,1-25-3,-1-42 236,-6-215 510,4 288-332,1-1 0,0 1 0,0-1 0,1 1-1,-1-1 1,0 1 0,0-1 0,1 1 0,-1-1 0,1 1 0,-1 0 0,1-1 0,0 1 0,-1 0 0,3-3 0,-3 4-19,1-1 0,-1 1 0,1 0 0,-1-1 0,1 1 0,0 0 0,-1-1 0,1 1 0,0 0 0,-1 0 0,1 0 1,0 0-1,-1-1 0,1 1 0,0 0 0,-1 0 0,1 0 0,0 0 0,-1 0 0,1 1 0,0-1 0,0 0 0,0 0 0,2 2-11,0-1 0,0 1 0,0-1 1,-1 1-1,1 0 0,-1 0 0,1 0 0,-1 0 0,1 1 1,-1-1-1,0 1 0,3 3 0,8 20 23,-1 1 0,-1 0 0,-1 0 0,-2 1 0,0 0 0,4 39 0,22 73-2275,-33-137 1794,2 12-5533</inkml:trace>
  <inkml:trace contextRef="#ctx0" brushRef="#br0" timeOffset="3573.83">2717 587 544,'0'0'16744,"5"-54"-16584,22 54-160,1 0 0,2 0-16,0 0-1361,4 0-1792,-4-2-3314</inkml:trace>
  <inkml:trace contextRef="#ctx0" brushRef="#br0" timeOffset="3868.01">2982 361 9076,'0'0'14759,"-2"-10"-13921,1 6-747,-5-29 169,3 28-186,2 23-59,10 161 448,-5-151-434,0 0-1,2-1 1,1 0-1,15 37 0,-21-63-159,-1 0-1,1 1 0,-1-1 1,1 0-1,0 0 0,0 0 1,0 0-1,0 0 0,0 0 0,0 0 1,0 0-1,0 0 0,0 0 1,0-1-1,0 1 0,1 0 0,-1-1 1,0 1-1,1-1 0,-1 1 1,2-1-1,19-2-10561</inkml:trace>
  <inkml:trace contextRef="#ctx0" brushRef="#br0" timeOffset="4145.22">3230 382 7780,'0'0'13526,"-7"-11"-13526,7 22-224,0 6-2065,4 6-1329,5 3-3409</inkml:trace>
  <inkml:trace contextRef="#ctx0" brushRef="#br0" timeOffset="4331.84">3276 662 544,'0'0'14535,"9"-37"-18009,12 29-4481</inkml:trace>
  <inkml:trace contextRef="#ctx0" brushRef="#br0" timeOffset="5109.01">3556 324 10309,'0'0'12827,"-2"-4"-12147,2 3-676,0 1 0,0-1 0,0 1 0,-1 0-1,1-1 1,0 1 0,0 0 0,0-1 0,0 1 0,0 0 0,-1-1-1,1 1 1,0 0 0,0-1 0,-1 1 0,1 0 0,0-1 0,0 1-1,-1 0 1,1 0 0,0-1 0,-1 1 0,1 0 0,0 0 0,-1 0-1,1 0 1,-1-1 0,1 1 0,0 0 0,-1 0 0,1 0-1,0 0 1,-2 0 0,-1 15 56,4 44-52,0-43-12,17 174 119,-15-165-664,-1-38 100,-1-41 345,-3 12 195,-12-66-1,8 67 553,-4-70 0,11 111-640,-1-1 0,0 1 0,1 0 0,-1-1 0,0 1 0,1-1 0,-1 1 0,1 0 0,-1 0 0,0-1 0,1 1 0,-1 0 0,1 0 0,-1-1 0,1 1 0,-1 0 0,1 0 0,-1 0 0,1 0 0,-1 0 0,1 0 0,-1 0 0,1 0 0,-1 0 0,1 0 0,-1 0 0,2 0 0,17 3-97,-14-1 82,0 1 0,1 0 0,-2 0 0,1 1 1,0 0-1,-1-1 0,1 2 0,-1-1 0,0 0 1,4 7-1,-1-2 13,-1 0 1,0 1-1,0-1 0,7 19 1,-11-21-38,0 0 0,0 1 0,0-1 0,-1 1 0,0-1 0,-1 1 0,1-1 1,-2 1-1,0 7 0,1-11 31,-1-1 0,1 0 0,-1 0 0,0 0 0,0 0 1,0 0-1,0 0 0,-1-1 0,1 1 0,-1 0 0,1-1 1,-1 1-1,0-1 0,0 1 0,0-1 0,-1 0 0,1 0 0,-1 0 1,1 0-1,-1 0 0,1-1 0,-1 1 0,0-1 0,-4 2 1,19-4 84,0 0 1,-1 0 0,1 1 0,0 1 0,0 0-1,13 3 1,-21-3-86,0 1-1,0 0 0,0-1 1,0 2-1,0-1 1,-1 0-1,1 1 0,-1 0 1,0-1-1,1 1 1,-1 1-1,-1-1 0,1 0 1,0 1-1,-1-1 1,0 1-1,0 0 0,0 0 1,2 6-1,0 0-10,-1 0 0,0 1 0,-1 0 0,0-1 0,-1 1 0,1 18 0,-2-27 16,-1 0 0,1 0 1,0 0-1,-1 0 0,1 0 0,-1 0 0,1 0 1,-1-1-1,0 1 0,0 0 0,0 0 0,0-1 1,0 1-1,0 0 0,0-1 0,-1 1 0,1-1 1,-4 3-1,1-1 1,-1 0 1,0 0 0,0 0-1,0-1 1,0 0 0,-9 3-1,-5 0-12,0-1 0,-36 3-1,0-6-262,54-1-116,26-5-2086,54-15-5362,-34 7 26</inkml:trace>
  <inkml:trace contextRef="#ctx0" brushRef="#br0" timeOffset="5432.87">3991 373 9044,'0'0'14391,"-4"-7"-13876,-8-12-417,8 25-43,3 16 125,1 0-80,1-1-1,0 1 1,9 37 0,-7-48-85,1 0 0,-1-1 0,2 0 0,-1 0 0,2 0 0,-1-1 0,1 1 0,0-1 1,11 11-1,56 42-1181,-84-61-6322,7-1 6276,-19-2-3870,-2-8-1425</inkml:trace>
  <inkml:trace contextRef="#ctx0" brushRef="#br0" timeOffset="5636.22">3972 314 1008,'0'0'11286,"73"-13"-10758,-62 13 192,1 0-256,-5 0-31,3-4 31,-1-1-368,-3-1-192,-3-1-432,1-1-3586</inkml:trace>
  <inkml:trace contextRef="#ctx0" brushRef="#br0" timeOffset="6056.27">4211 105 8244,'0'0'13110,"0"-3"-12899,-1-11-293,-1 35 153,1-14-144,1 0-1,0 0 1,0 1-1,1-1 1,2 11 0,-1-17 7,-1 0 0,0 0 0,0 0 0,1-1 0,-1 1 0,1 0 0,-1-1 0,1 1 0,-1-1 0,1 0 0,-1 1 0,1-1 1,-1 0-1,1 0 0,-1 0 0,1 0 0,-1 0 0,1 0 0,-1-1 0,1 1 0,-1 0 0,1-1 0,-1 1 0,1-1 0,-1 0 0,0 1 0,1-1 0,-1 0 1,0 0-1,1 0 0,-1 0 0,0 0 0,0 0 0,1-1 0,1-5 114,0 1 1,-1-1-1,0 1 0,0-1 1,-1 0-1,0 0 0,0 0 0,0-8 1,-1 15 140,0 5-63,-1 25-649,0-4 482,5 41 0,-3-58-1258,1 0 0,0 0 0,1 0 0,6 15 0,-2-13-5154</inkml:trace>
  <inkml:trace contextRef="#ctx0" brushRef="#br0" timeOffset="6399.21">4399 6 12358,'0'0'13833,"-3"-6"-13235,3 6-598,0 0 1,0 0-1,0 1 1,0-1-1,0 0 1,0 0-1,0 0 1,0 0-1,0 0 1,0 0-1,0 0 1,0 0-1,0 0 1,0 0-1,0 0 1,0 0-1,0 0 1,0 0-1,0 1 0,0-1 1,-1 0-1,1 0 1,0 0-1,0 0 1,0 0-1,0 0 1,0 0-1,0 0 1,0 0-1,0 0 1,0 0-1,0 0 1,0 0-1,0 0 1,-1 0-1,1 0 1,0 0-1,0 0 1,0 0-1,0 0 0,0 0 1,0 0-1,0 0 1,0 0-1,0 0 1,0 0-1,0-1 1,-1 1-1,3 14 74,0 0-1,1 0 0,0 0 0,1 0 1,0-1-1,9 16 0,-2 2-4,48 118 127,-26-71-64,27 103-1,-55-162-425,-1 1 0,-1-1 0,-1 1 0,-1 0 0,-2 36 0,1-55 258,0 0 0,0 0 1,-1 0-1,1 0 0,0-1 0,-1 1 0,1 0 0,0 0 0,-1 0 0,0 0 0,1-1 0,-1 1 1,1 0-1,-1 0 0,0-1 0,0 1 0,1-1 0,-1 1 0,0 0 0,0-1 0,0 0 0,1 1 0,-3 0 1,-28 4-664,26-5 461,0 0 1,1-1 0,-1 1 0,0-1 0,1 0-1,-1 0 1,1-1 0,-1 1 0,1-1 0,-7-4-1,10 5-104,-1 0 0,1 0 0,0-1-1,0 1 1,0 0 0,0-1 0,0 1 0,0-1-1,0 1 1,1-1 0,-1 1 0,1-1-1,-1 0 1,1 1 0,-1-1 0,1 0-1,0-2 1,-1-11-6005</inkml:trace>
  <inkml:trace contextRef="#ctx0" brushRef="#br0" timeOffset="6629.94">4867 454 11957,'0'0'13463,"-9"-29"-13463</inkml:trace>
</inkml:ink>
</file>

<file path=xl/ink/ink4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5:56.343"/>
    </inkml:context>
    <inkml:brush xml:id="br0">
      <inkml:brushProperty name="width" value="0.05" units="cm"/>
      <inkml:brushProperty name="height" value="0.05" units="cm"/>
      <inkml:brushProperty name="color" value="#F6630D"/>
    </inkml:brush>
  </inkml:definitions>
  <inkml:trace contextRef="#ctx0" brushRef="#br0">0 238 5683,'0'0'10100,"81"-8"-10100,-30 4 96,9 2-192,2 2-208,-4 0-1201,-12 0-912,-18 0-2113</inkml:trace>
  <inkml:trace contextRef="#ctx0" brushRef="#br0" timeOffset="187.23">105 354 4514,'0'0'13622,"21"-9"-13462,17 1-160,9-1 0,4 3-16,-1 1-1520,-1-1-945,-7-2-3218</inkml:trace>
  <inkml:trace contextRef="#ctx0" brushRef="#br0" timeOffset="497.45">382 0 9076,'0'0'9172,"1"3"-9052,9 16 123,1-1 0,1 0-1,1-1 1,0-1-1,19 18 1,-14-14-167,0 1 0,24 37 0,-40-55-168,0 0 0,0 0 0,-1 0 0,0 0 0,1 0 1,-1 1-1,0-1 0,-1 1 0,1-1 0,-1 0 0,1 1 0,-1-1 0,-1 7 0,1-7-203,-1-1 0,1 0 0,-1 0-1,0 0 1,0 0 0,0 0 0,0 0-1,0 0 1,0 0 0,-1-1 0,1 1-1,-1 0 1,1-1 0,-1 1-1,0-1 1,1 0 0,-1 1 0,0-1-1,0 0 1,0 0 0,-3 1 0,-11 4-4147</inkml:trace>
</inkml:ink>
</file>

<file path=xl/ink/ink4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21.703"/>
    </inkml:context>
    <inkml:brush xml:id="br0">
      <inkml:brushProperty name="width" value="0.05" units="cm"/>
      <inkml:brushProperty name="height" value="0.05" units="cm"/>
      <inkml:brushProperty name="color" value="#F6630D"/>
    </inkml:brush>
  </inkml:definitions>
  <inkml:trace contextRef="#ctx0" brushRef="#br0">14 540 2817,'0'0'10707,"-2"-5"-9774,-1 0-490,-4-7-245,6-1 5228,2 11-5331,0 1 1,1-1-1,-1 1 1,1 0-1,-1 0 1,1 0-1,0 0 0,0 0 1,-1 0-1,1 0 1,0 1-1,0-1 1,0 1-1,0-1 0,0 1 1,0 0-1,0-1 1,2 1-1,44-1 136,-40 1-146,422 5 257,-330 7-110,42-11 200,150-3-29,-234-4-213,59-14 1,5 0 1,-16 14-144,-26 4-16,22-4 251,-221 6 321,-180 23 1,250-15-552,-286 32 182,208-39-1772,126-5 467,0 1 0,1-1 0,-1 1 0,1-1-1,0 0 1,0 1 0,1-4 0,-1 2-1892,0-16-10377</inkml:trace>
  <inkml:trace contextRef="#ctx0" brushRef="#br0" timeOffset="2023.11">2533 226 768,'0'0'10160,"1"-9"-9056,1 2-971,4-31 834,-6 36-868,0 0 1,0 0 0,0 0 0,0 1 0,0-1-1,0 0 1,-1 0 0,1 0 0,-1 1 0,0-1-1,1 0 1,-1 0 0,0 1 0,0-1-1,0 1 1,0-1 0,-9 1 7559,12 41-7298,18 37 337,-12-53-228,7 41 0,-6-15 242,-8-49-647,-1 0 0,1 0-1,-1 0 1,1-1 0,-1 1-1,1 0 1,0 0 0,0-1-1,-1 1 1,1 0 0,0-1 0,0 1-1,0 0 1,0-1 0,0 0-1,0 1 1,0-1 0,0 1-1,0-1 1,0 0 0,0 0 0,0 0-1,0 1 1,0-1 0,0 0-1,1-1 1,29 3-99,7-1 52,-24 0 27,1 0 0,-1-1 0,1-1 1,-1 0-1,0-1 0,1 0 0,-1-2 0,0 1 0,18-9 1,-8 3-3,-1 0 1,2 1 0,37-7 0,26-8 13,-65 18-42,0 1 1,0 0-1,0 2 1,0 1-1,0 1 1,24 3-1,15-1 21,20-3-36,250 10 0,72 20 133,-296-17-66,-107-12 125,-1-22 80,0-283 1580,0 301-1824,0 0 1,0 0 0,0 0-1,-1 0 1,0 0 0,0 0-1,-1-4 1,1 7-5,-16 3-3100,-5 8 1098,17-7 819,0-1 0,0 1 0,0-1 0,0-1 0,-10 3 0,-9-2-8811</inkml:trace>
</inkml:ink>
</file>

<file path=xl/ink/ink4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45.883"/>
    </inkml:context>
    <inkml:brush xml:id="br0">
      <inkml:brushProperty name="width" value="0.05" units="cm"/>
      <inkml:brushProperty name="height" value="0.05" units="cm"/>
      <inkml:brushProperty name="color" value="#F6630D"/>
    </inkml:brush>
  </inkml:definitions>
  <inkml:trace contextRef="#ctx0" brushRef="#br0">1 1 5202,'0'0'12630,"11"21"-11893,19-21-545,6 0-192,3 0-112,-3 2-1617,-4-1-1089,-10 3-2944</inkml:trace>
</inkml:ink>
</file>

<file path=xl/ink/ink4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46.069"/>
    </inkml:context>
    <inkml:brush xml:id="br0">
      <inkml:brushProperty name="width" value="0.05" units="cm"/>
      <inkml:brushProperty name="height" value="0.05" units="cm"/>
      <inkml:brushProperty name="color" value="#F6630D"/>
    </inkml:brush>
  </inkml:definitions>
  <inkml:trace contextRef="#ctx0" brushRef="#br0">0 0 5843,'0'0'9652,"109"23"-9508,-66-23-144,-1 0-1392,-1-4-5476</inkml:trace>
</inkml:ink>
</file>

<file path=xl/ink/ink4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29.828"/>
    </inkml:context>
    <inkml:brush xml:id="br0">
      <inkml:brushProperty name="width" value="0.05" units="cm"/>
      <inkml:brushProperty name="height" value="0.05" units="cm"/>
      <inkml:brushProperty name="color" value="#F6630D"/>
    </inkml:brush>
  </inkml:definitions>
  <inkml:trace contextRef="#ctx0" brushRef="#br0">8 613 3682,'0'0'10074,"-2"-2"-9629,2 2-432,-1-1 0,1 1 0,0 0 0,0 0 0,-1 0-1,1 0 1,0 0 0,0 0 0,-1-1 0,1 1 0,0 0 0,0 0-1,0 0 1,-1-1 0,1 1 0,0 0 0,0 0 0,0-1 0,0 1 0,0 0-1,-1 0 1,1-1 0,0 1 0,0 0 0,0 0 0,0-1 0,0 1-1,0 0 1,0 0 0,0-1 0,0 1 0,0 0 0,0-1 0,0 1 0,0 0-1,0 0 1,0-1 0,0 1 0,0 0 0,1-1 0,15 0 457,-12 1-523,102-1 353,26 0-517,-46 3-5037,-70 0 401</inkml:trace>
  <inkml:trace contextRef="#ctx0" brushRef="#br0" timeOffset="203.79">16 739 3666,'0'0'13158,"15"-6"-12998,15 2-48,8 1-32,3-3-80,6 0 0,2 1-48,-4-3-112,-7 1-1585,-8-5-1601,-8-3-2576</inkml:trace>
  <inkml:trace contextRef="#ctx0" brushRef="#br0" timeOffset="484.17">334 474 3602,'0'0'12755,"0"-1"-12739,0 1 0,0-1-1,1 1 1,-1 0 0,0-1 0,0 1 0,1 0 0,-1-1-1,0 1 1,1 0 0,-1 0 0,0-1 0,1 1 0,-1 0 0,0 0-1,1-1 1,-1 1 0,1 0 0,-1 0 0,0 0 0,1 0 0,-1 0-1,1 0 1,-1 0 0,1 0 0,-1 0 0,0 0 0,1 0 0,-1 0-1,1 0 1,-1 0 0,1 0 0,0 0 0,5 3 84,1 0 0,-1 0 1,0 1-1,0 0 1,-1 0-1,1 0 0,-1 1 1,7 6-1,8 7 32,-7-8-76,-1 0 1,0 1-1,0 1 1,12 15-1,-21-22-51,1 0 0,-1 1 0,0-1 0,0 1 0,-1 0 0,0-1 0,0 1 0,0 0 0,-1 0 0,0 0 0,0 0 0,0 1 0,-1-1 0,0 7 0,0-11-7,0-1 0,0 1-1,-1-1 1,1 0-1,0 1 1,-1-1-1,1 1 1,-1-1 0,0 0-1,1 1 1,-1-1-1,0 0 1,0 0 0,0 0-1,0 1 1,0-1-1,0 0 1,0 0-1,0 0 1,0-1 0,0 1-1,-3 1 1,-33 11 379,33-13-718,0 1-1,0 0 0,0 0 1,0 0-1,1 1 0,-1-1 1,0 1-1,1 0 0,-6 4 1</inkml:trace>
  <inkml:trace contextRef="#ctx0" brushRef="#br0" timeOffset="3268.25">892 474 10373,'0'0'10631,"0"4"-10500,-1 17 72,2 1 0,0-1 0,1 0 0,1 0 0,9 31 1,-1 0-73,-5-18-20,0 4 16,2 0-1,20 60 1,-24-132 294,-6-10-390,-2 0 0,-12-50 0,-4-43-25,19 119-11,-1 3 2,1 0 1,1 0 0,0-1 0,4-20 0,-4 32 0,1 1 1,-1 0-1,1 0 1,0 0-1,0 0 0,1 0 1,-1 0-1,1 1 1,-1-1-1,1 0 1,0 1-1,0-1 0,0 1 1,0-1-1,0 1 1,1 0-1,-1 0 1,1 0-1,-1 0 0,1 1 1,0-1-1,0 1 1,0-1-1,0 1 1,0 0-1,5-1 0,-3 1-2,-1 0 0,1 0 1,0 0-1,0 1 0,0 0 0,0 0 0,0 1 0,0-1 0,0 1 0,0 0 0,0 0 0,0 0 0,-1 1 0,1 0 0,0 0 0,-1 0 0,0 1 0,9 5 0,-6-2-4,0 1 0,0 0 0,-1 1 0,0-1 0,0 1 0,-1 1 1,0-1-1,7 17 0,-6-10 4,-2-1 1,0 1-1,0 0 1,-2 0-1,1 0 0,-2 0 1,0 1-1,-2 20 1,1-29 3,-1-1-9,1-1 0,-1 1 1,0 0-1,-1 0 0,1-1 1,-1 1-1,0-1 1,-1 0-1,1 1 0,-1-1 1,0 0-1,0-1 0,-1 1 1,0 0-1,1-1 1,-1 0-1,-1 0 0,1 0 1,-1 0-1,1-1 0,-1 0 1,0 0-1,0 0 0,0-1 1,-1 1-1,1-1 1,-1 0-1,1-1 0,-1 1 1,0-1-1,1 0 0,-1-1 1,-11 1-1,16-1 10,0 0 0,0 0 0,0 0 0,0 0 0,0 0 0,-1 0 0,1 0 0,0-1 0,0 1 0,0 0 0,0-1 0,0 1 0,0 0 0,0-1 0,1 1 0,-1-1 0,0 0-1,0 1 1,0-1 0,0 0 0,-1-1 0,2 0 9,-1 1 0,0-1-1,1 0 1,-1 0 0,1 0 0,-1 0-1,1 0 1,0 0 0,0 0 0,0-3-1,1 4-13,-1 1-1,1 0 0,-1-1 1,0 1-1,1 0 0,-1 0 1,1 0-1,-1-1 1,1 1-1,-1 0 0,1 0 1,0 0-1,-1 0 0,1 0 1,-1 0-1,1 0 1,-1 0-1,1 0 0,-1 0 1,1 0-1,-1 0 0,1 1 1,-1-1-1,1 0 1,-1 0-1,1 0 0,-1 1 1,1-1-1,0 1 1,9 6 5,-1 1 0,0 0 0,0 0 1,14 17-1,-19-18-71,1-1 0,1 0 0,-1 0-1,1 0 1,0-1 0,0 0 0,1 0 0,-1 0 0,1-1-1,0 0 1,0 0 0,1-1 0,-1 0 0,15 4 0,-10-5-263,0 0 0,0-1 1,0 0-1,0-1 0,0 0 1,13-3-1,-21 2 229,0 0 0,0 0 0,0 0 0,0 0 0,-1-1 0,1 1 1,-1-1-1,1 0 0,-1 0 0,0-1 0,0 1 0,0-1 0,0 0 0,0 1 0,0-1 0,-1 0 0,1 0 0,-1-1 0,0 1 0,0-1 0,0 1 0,1-5 0,1-4 80,-1 0 0,-1-1 0,1 0 0,-2 0 0,0 0 0,-1 0 0,-1-21 0,1-28 990,-1 61-950,1 0 1,1 0 0,-1 0-1,0 0 1,0 0-1,0 0 1,1 0-1,-1-1 1,0 1-1,1 0 1,-1 0 0,1 1-1,-1-1 1,1 0-1,-1 0 1,1 0-1,0 0 1,0 0-1,-1 1 1,1-1-1,0 0 1,0 0 0,0 1-1,0-1 1,0 1-1,0-1 1,0 1-1,0-1 1,0 1-1,0 0 1,0-1 0,0 1-1,0 0 1,0 0-1,0 0 1,0 0-1,0 0 1,0 0-1,0 0 1,0 0 0,0 0-1,1 1 1,-1-1-1,0 0 1,0 1-1,1 0 1,8 2 171,0 1 0,-1 0 0,18 11 0,-17-9-136,3 2-36,14 6 48,-27-14-59,0-2-1,-1 0 0,0 0 0,0 0 1,0 0-1,0 0 0,0 0 0,0 0 0,0 0 0,-1 0 0,1 0 0,-1 0 0,1 1 0,-1-1 0,-3-2 0,-26-19 61,28 21-61,-1 0 0,1 0 0,0 0 0,0 1 0,-1-1 0,1 1 0,0 0 0,-1 0 0,1 0 0,-1 1 0,0-1 0,1 1 0,-1 0 0,0 0 0,1 0 0,-1 0 1,1 1-1,-1-1 0,0 1 0,-4 2 0,5-2-2,0 1 0,-1 0 1,1 0-1,0 1 0,0-1 0,0 1 1,0 0-1,1-1 0,-1 1 0,1 0 1,0 1-1,0-1 0,0 0 0,0 1 1,0-1-1,1 1 0,-1-1 0,-1 7 1,1-1 0,0-1 0,0 1 0,1-1 1,0 1-1,1 0 0,-1 0 0,2 0 0,-1-1 0,1 1 1,1 0-1,-1-1 0,4 11 0,-3-15 3,0 0 0,-1 0-1,1 0 1,1-1 0,-1 1 0,0-1 0,1 1-1,0-1 1,0 0 0,0 0 0,0 0-1,0 0 1,1 0 0,-1-1 0,1 0 0,-1 0-1,1 0 1,0 0 0,0 0 0,0-1 0,0 1-1,0-1 1,1 0 0,-1-1 0,0 1-1,7 0 1,-6-1-17,0 0 1,0 0-1,-1 0 0,1 0 0,0-1 0,0 1 0,-1-1 0,1 0 1,0-1-1,-1 1 0,9-5 0,-10 4 6,0-1 0,-1 1 0,1-1 0,-1 0 0,1 0 0,-1 0 0,0 0 0,0 0 0,0 0 0,0-1 0,-1 1 0,1-1 0,-1 1 0,0-1-1,1-6 1,1-8 152,0 0 0,-1 0-1,-2-36 1,0 29 720,-6 29-624,4 4-242,0 0 1,0 0-1,1 0 0,0 0 0,0 0 0,1 0 0,0 0 1,1 0-1,-1 0 0,2 0 0,-1 0 0,1 0 0,0 0 1,1-1-1,3 9 0,-1-10-10,-1 0 0,1-1 0,0 1 0,0-1 0,1 0 0,0 0 0,0-1 0,0 0 0,7 4 1,-10-6-36,1 0 1,0 0 0,0-1 0,0 0-1,0 1 1,0-1 0,0 0 0,0-1 0,0 1-1,0-1 1,1 0 0,-1 0 0,0 0 0,0 0-1,0-1 1,1 0 0,5-2 0,-8 2 44,0 0 1,0-1 0,0 1-1,-1-1 1,1 1-1,0-1 1,-1 0 0,0 0-1,1 0 1,-1 0 0,0 0-1,0 0 1,0 0-1,0 0 1,0 0 0,-1 0-1,1 0 1,0-4-1,7-45 25,-7 42 1,0-5 107,1 0 1,0 0 0,1 0-1,1 0 1,5-15 0,-8 29-130,-1-1 0,0 1 1,0 0-1,1-1 0,-1 1 0,0 0 0,1-1 1,-1 1-1,1 0 0,-1 0 0,0-1 1,1 1-1,-1 0 0,1 0 0,-1 0 0,1 0 1,-1 0-1,0 0 0,1 0 0,-1 0 1,1-1-1,-1 2 0,1-1 0,-1 0 1,1 0-1,-1 0 0,0 0 0,1 0 0,-1 0 1,1 0-1,-1 0 0,1 1 0,-1-1 1,0 0-1,1 0 0,-1 1 0,0-1 0,1 0 1,-1 1-1,0-1 0,1 0 0,-1 1 1,0-1-1,1 0 0,-1 1 0,0-1 0,0 0 1,0 1-1,1-1 0,-1 1 0,0 0 1,14 19-59,35 98 95,-29-65-231,-20-53 183,0 0 1,0 1-1,0-1 1,0 0-1,1 0 1,-1 1-1,0-1 0,0 0 1,0 1-1,1-1 1,-1 0-1,0 0 1,0 0-1,0 1 0,1-1 1,-1 0-1,0 0 1,0 0-1,1 1 1,-1-1-1,0 0 0,1 0 1,-1 0-1,0 0 1,1 0-1,-1 0 1,0 0-1,1 0 1,-1 0-1,0 0 0,0 0 1,1 0-1,-1 0 1,0 0-1,1 0 1,-1 0-1,0 0 0,1 0 1,-1 0-1,0 0 1,1-1-1,-1 1 1,0 0-1,0 0 0,1 0 1,-1 0-1,0-1 1,0 1-1,1 0 1,-1 0-1,0-1 0,0 1 1,0 0-1,1 0 1,-1-1-1,0 0 1,11-15-6,10-47 65,3-6 43,-22 63-73,0 0 1,1 1-1,0-1 1,1 1-1,-1 0 0,1 0 1,0 0-1,8-7 1,-12 12-25,1-1 0,-1 0 0,1 1 0,0-1 1,-1 0-1,1 1 0,0-1 0,0 1 0,-1-1 1,1 1-1,0 0 0,0-1 0,0 1 1,0 0-1,0 0 0,-1-1 0,1 1 0,0 0 1,0 0-1,0 0 0,0 0 0,0 0 0,0 0 1,0 0-1,0 0 0,-1 1 0,1-1 0,0 0 1,0 0-1,0 1 0,0-1 0,0 1 0,-1-1 1,1 1-1,0-1 0,0 1 0,-1-1 0,1 1 1,0 0-1,-1-1 0,1 1 0,-1 0 1,1-1-1,-1 1 0,1 0 0,-1 0 0,1 0 1,-1 1-1,4 6 0,-1 1 1,-1-1-1,1 1 1,1 11-1,-1-3-15,-1-8-23,0-1-1,1 1 1,0-1 0,1 0-1,0 0 1,8 12 0,-10-17-130,0-1-1,0 1 1,0-1 0,1 0-1,-1 0 1,1 0 0,0 0 0,0 0-1,-1-1 1,1 1 0,0-1 0,0 1-1,1-1 1,-1 0 0,0 0 0,0-1-1,0 1 1,1-1 0,-1 0-1,5 1 1,-5-1-31,-1 0-1,1 0 1,-1 0-1,1-1 1,-1 1-1,0 0 1,1-1-1,-1 0 1,1 1 0,-1-1-1,0 0 1,1 0-1,-1 0 1,0-1-1,0 1 1,3-3-1,-3 2 167,-1 0 1,1-1-1,-1 1 0,0 0 0,1-1 0,-1 0 0,-1 1 0,1-1 1,0 1-1,-1-1 0,1 0 0,-1 0 0,0 1 0,1-1 1,-2-4-1,1-7 766,0 1 0,-1-1 0,-4-19 0,4 29-493,0 0 0,0-1 0,-1 2-1,0-1 1,1 0 0,-1 0 0,-1 0-1,1 1 1,0-1 0,-1 1 0,0 0-1,0 0 1,0 0 0,0 0-1,-5-4 1,7 7-214,0-1-1,0 0 0,0 1 1,-1-1-1,1 1 1,0-1-1,0 1 1,0-1-1,0 1 0,0 0 1,-1-1-1,1 1 1,0 0-1,0 0 0,0 0 1,0 0-1,-1 0 1,1 0-1,0 1 0,0-1 1,0 0-1,-1 1 1,-1 0-1,1 0-16,1 0 0,-1 1 1,0-1-1,0 1 0,0-1 0,1 1 0,-1 0 1,1 0-1,0 0 0,-1 0 0,0 3 0,-3 5-13,1 0-1,0 0 0,-4 21 1,6-23 18,0 1 1,1-1-1,0 1 0,0 0 1,1 0-1,0-1 0,2 11 1,-2-17-29,1 0 0,-1 0 1,1 1-1,-1-1 0,1 0 1,0 0-1,0 0 0,0 0 1,0 0-1,0 0 0,0 0 0,1-1 1,-1 1-1,0 0 0,1-1 1,0 1-1,-1-1 0,1 1 1,0-1-1,0 0 0,0 1 1,0-1-1,0 0 0,0 0 1,0-1-1,0 1 0,0 0 1,0-1-1,0 1 0,1-1 1,2 0-1,-1 1-25,-1-1 0,0 0 0,0 0 0,1 0 0,-1 0 0,0-1 0,0 1-1,1-1 1,-1 0 0,0 0 0,0 0 0,0 0 0,0 0 0,0-1 0,2-1 0,-2 0 39,0 0 1,-1 0-1,1 0 1,-1-1-1,0 1 1,0-1-1,0 1 1,0-1 0,-1 1-1,0-1 1,2-8-1,1-2 206,-1-1 0,-1 0 0,-1 0 0,0 0 1,0-1-1,-2 1 0,-2-16 0,1 27 367,-1 11-480,1 13-146,3 7 160,1 0 0,1 0 1,11 41-1,31 81 173,4 16-175,-41-121-176,-1 1 1,-3 0-1,-2 52 0,-16-97-65,10-2 131,0 0-1,0 0 1,0 0 0,1 0-1,-1-1 1,1 0-1,-1 1 1,1-1 0,0 0-1,0-1 1,0 1-1,1 0 1,-1-1 0,1 0-1,-3-5 1,-1-1 0,1 0 0,1 0 1,0 0-1,0-1 0,-2-11 1,2-12 2,1 0-1,1 0 1,5-54 0,-3 85-3,1-9-35,1 0 0,0-1-1,1 2 1,0-1 0,1 0 0,6-14-1,37-64-438,-35 71 411,0-1 1,-2-1-1,0 0 1,12-43-1,-19 16 148,-3 34 11,-10 21-102,9-4 13,0 0-1,-1 0 0,1 0 1,0 0-1,1 1 0,-1-1 1,0 0-1,1 1 1,0-1-1,0 1 0,0-1 1,0 0-1,0 1 1,1-1-1,0 0 0,-1 1 1,1-1-1,0 0 1,1 0-1,-1 0 0,1 0 1,-1 0-1,1 0 1,0 0-1,0 0 0,0 0 1,0-1-1,1 1 1,-1-1-1,1 0 0,-1 0 1,1 0-1,0 0 0,0 0 1,0-1-1,0 1 1,0-1-1,0 1 0,0-1 1,1 0-1,-1-1 1,0 1-1,0 0 0,1-1 1,3 0-1,-5 0-3,0 0-1,1 0 1,-1 0-1,0 0 1,0 0-1,0-1 1,0 1-1,0-1 1,0 1-1,0-1 1,0 0-1,-1 0 1,1 0-1,0 0 1,0 0-1,-1 0 1,1-1-1,0 1 1,-1 0-1,1-1 1,-1 0-1,0 1 1,0-1-1,1 0 1,-1 1-1,0-1 1,0 0-1,-1 0 0,1 0 1,0 0-1,-1 0 1,1-3-1,3-6 1,-1 0-1,-1 0 0,0-1 0,-1 1 0,0-1 0,0 1 0,-1-1 0,-1 0 0,-2-14 0,2 23 2,-1 0-1,1 0 1,-1 0 0,1 0-1,-1 1 1,0-1-1,0 0 1,0 1 0,0-1-1,-1 1 1,1 0-1,-1-1 1,1 1 0,-1 0-1,0 1 1,0-1-1,0 0 1,-6-1 0,7 2 10,0 0 0,0 0 1,0 0-1,-1 0 0,1 0 1,0 1-1,-1-1 0,1 1 1,0 0-1,-1 0 0,1 0 1,0 0-1,-1 0 0,1 0 1,0 1-1,-1-1 0,1 1 1,0-1-1,-1 1 0,1 0 1,0 0-1,0 0 0,0 0 1,0 0-1,0 1 0,0-1 1,-3 4-1,2-1-2,1 0 1,-1 1-1,1-1 1,0 1-1,1 0 0,-1-1 1,1 1-1,0 0 1,0 0-1,0 7 0,-1 56 149,2-51-145,0-8 17,1 1 0,0-1 0,0 1 0,1-1 0,0 0 1,1 0-1,0 0 0,0 0 0,1 0 0,0-1 0,1 0 0,0 0 0,9 12 0,-9-14-29,0-1-1,0 1 0,1-1 1,0 0-1,0-1 0,0 1 1,0-1-1,0 0 0,1-1 0,0 0 1,0 0-1,0 0 0,0-1 1,0 0-1,1 0 0,-1-1 1,14 1-1,38-3-3557,-24-7-2308</inkml:trace>
  <inkml:trace contextRef="#ctx0" brushRef="#br0" timeOffset="3578.67">2687 225 9076,'0'0'13838,"-12"17"-13437,1-3-299,5-8-54,1 0 1,0 1-1,0-1 0,1 1 0,-1 1 1,2-1-1,-1 1 0,1-1 1,0 1-1,0 0 0,1 0 1,0 0-1,1 0 0,-1 11 1,1 0 18,0 0 0,2 0 0,0 0 0,1 0 0,1 0 1,1 0-1,1-1 0,0 1 0,1-1 0,1-1 0,12 22 0,-4-13 62,1 0 0,37 45 0,-45-62-271,0 0-1,1 0 0,0-1 0,0-1 0,1 0 0,0 0 0,0-1 0,1 0 1,-1 0-1,17 5 0,-22-10-376,-1 0-1331</inkml:trace>
  <inkml:trace contextRef="#ctx0" brushRef="#br0" timeOffset="4404.07">2949 319 3474,'0'0'12392,"-1"-3"-11840,-4-6-444,3 26 117,2 45 214,0-45-394,1-16-41,-1 0 1,1 0 0,-1 0 0,1 0 0,-1-1 0,1 1 0,-1 0 0,1-1 0,0 1 0,-1 0 0,1-1 0,0 1 0,0-1 0,-1 1 0,1-1-1,0 1 1,0-1 0,0 1 0,0-1 0,0 0 0,0 0 0,-1 1 0,1-1 0,0 0 0,0 0 0,0 0 0,0 0 0,0 0 0,0 0-1,2-1 1,34-1 47,-36 2-48,3 0-3,0-1 0,-1 1 1,1-1-1,-1 0 0,1 0 1,-1-1-1,1 1 0,-1-1 1,0 1-1,0-1 0,1 0 1,-1-1-1,-1 1 0,1 0 1,0-1-1,-1 0 0,1 1 1,-1-1-1,0 0 0,1 0 1,0-4-1,1 0 0,-1 0 1,-1 0-1,1 0 0,-1 0 1,-1-1-1,1 1 0,-1-1 1,-1 1-1,1-11 0,-12 54-321,10-24-71,0-1-1,0 1 1,1 0 0,1 0-1,0 0 1,0 0 0,1-1-1,1 1 1,4 12-1,11 7-4087</inkml:trace>
  <inkml:trace contextRef="#ctx0" brushRef="#br0" timeOffset="4945.61">3434 455 11109,'0'0'12059,"1"-3"-11781,3 8-265,2 18 63,-1 0-1,-1 0 1,3 35 0,-3 81 115,-3-100-141,-1 89 193,-3-114-115,0-19-28,3 5-93,-4-16 30,1 0 1,1 1 0,0-1-1,1 0 1,0 0 0,4-30 0,-2 0-33,0 15-17,1 0-1,2 0 1,7-34-1,-6 45 25,1 1 0,0-1 0,1 1 0,1 1-1,19-33 1,-26 49-13,0 1-1,0-1 0,0 0 1,0 1-1,1-1 0,-1 1 0,0-1 1,1 1-1,-1-1 0,1 1 1,0 0-1,-1 0 0,1 0 0,0 0 1,0 0-1,0 0 0,-1 1 1,1-1-1,0 0 0,3 0 0,-3 2-2,0-1-1,0 0 0,0 1 1,0-1-1,0 1 0,0-1 1,0 1-1,0 0 0,0 0 1,-1 0-1,1 0 0,0 0 1,-1 0-1,1 1 0,0-1 0,1 3 1,3 3 0,0 1 1,0-1-1,-1 2 1,0-1-1,0 0 0,-1 1 1,4 10-1,-2 5 59,0 0 1,-1 1-1,-1 0 0,0 47 0,-3-45-1065,1 1 0,1-1 0,11 44 0,-13-69 56,0 2-776</inkml:trace>
  <inkml:trace contextRef="#ctx0" brushRef="#br0" timeOffset="5132.36">3590 656 4866,'0'0'13478,"-24"-30"-13221,46 30-65,9 4 96,2 3-192,3 1-128,0-1 32,-2 1-2017,3-8-1345,-1 0-5394</inkml:trace>
  <inkml:trace contextRef="#ctx0" brushRef="#br0" timeOffset="5444.22">3995 425 9652,'0'0'13617,"-2"1"-13337,0 1-227,1 0 0,0 0 0,-1 0 0,1 0 0,0 0 0,0 0 0,0 0 0,0 1 0,0-1 0,1 0 0,-1 1 0,1-1 0,-1 0 0,1 4 0,-1 43 505,1-27-286,-1 22-83,2 0-1,2 0 0,1 0 1,21 82-1,-24-121-74,4 12-750,0-37-11256</inkml:trace>
  <inkml:trace contextRef="#ctx0" brushRef="#br0" timeOffset="5974.46">4303 476 9700,'0'0'11542,"-3"-16"-11510,3 28-32,0 7-128,0 5-1153,9 6-1872,0 4-1089,3 4-4610</inkml:trace>
  <inkml:trace contextRef="#ctx0" brushRef="#br0" timeOffset="6146.42">4360 856 6307,'0'0'13350,"37"-44"-13350,-31 44-912,0 0-2706</inkml:trace>
  <inkml:trace contextRef="#ctx0" brushRef="#br0" timeOffset="6921.96">4682 466 10085,'0'0'12942,"-1"1"-12916,0 0 1,1 0 0,-1 0 0,0 0 0,1 0 0,-1 0 0,1 0 0,0 0 0,-1 0 0,1 0 0,0 0 0,0 0 0,0 0 0,-1 0 0,1 0 0,0 0 0,0 0 0,1 0 0,-1 2-1,-1 70 365,2 81 29,-1-151-395,0-2-19,0-1 0,0 1 0,0 0-1,0-1 1,0 1 0,0 0 0,0-1-1,0 1 1,0 0 0,0-1-1,0 1 1,0 0 0,0-1 0,1 1-1,-1 0 1,0-1 0,0 1 0,1 0-1,-1-1 1,0 1 0,1-1 0,-1 1-1,1-1 1,-1 1 0,1-1 0,-1 1-1,1-1 1,-1 1 0,1-1 0,1 1-1,-2-16 118,-13-265-745,11 245 570,3-40 0,-1 74 52,0 0-1,0 0 1,0 1 0,0-1-1,1 0 1,-1 0-1,0 1 1,1-1-1,-1 0 1,0 0-1,1 1 1,-1-1 0,1 0-1,-1 1 1,1-1-1,-1 1 1,1-1-1,0 1 1,-1-1 0,1 1-1,0-1 1,-1 1-1,1-1 1,0 1-1,0 0 1,-1-1-1,1 1 1,0 0 0,0 0-1,0 0 1,-1 0-1,1 0 1,0 0-1,0 0 1,0 0-1,-1 0 1,1 0 0,0 0-1,0 0 1,0 0-1,-1 1 1,1-1-1,0 0 1,0 1 0,-1-1-1,2 1 1,2 0-5,0 1 1,-1-1-1,0 1 1,1 0-1,-1 0 1,0 0-1,0 1 0,6 4 1,-3 3-3,1 1 0,-2 0 0,1 0 1,-1 0-1,-1 1 0,0 0 0,-1 0 0,0 0 0,-1 0 1,0 0-1,-1 1 0,0-1 0,-1 1 0,0-1 0,-3 13 1,3-21 7,-1 0 1,0 0 0,0 0 0,-1-1 0,1 1-1,-1 0 1,0-1 0,0 1 0,0-1 0,0 0-1,0 0 1,-1 0 0,1 0 0,-1 0 0,0 0 0,0 0-1,0-1 1,0 0 0,-1 1 0,1-1 0,-1-1-1,1 1 1,-1 0 0,0-1 0,1 0 0,-1 0-1,-7 1 1,11-2 3,0 0 0,-1-1-1,1 1 1,-1-1 0,1 1 0,0-1-1,-1 1 1,1-1 0,0 1 0,-1-1-1,1 1 1,0-1 0,0 1-1,0-1 1,-1 1 0,1-1 0,0 0-1,0 1 1,0-1 0,0 1 0,0-1-1,0 0 1,0 1 0,0-1 0,0 1-1,1-1 1,-1 0 0,3-17 54,-1 16-59,0 1-1,0-1 0,0 0 1,1 1-1,-1-1 1,0 1-1,1 0 0,-1 0 1,1 0-1,-1 0 0,1 0 1,0 0-1,-1 1 1,1-1-1,0 1 0,4 0 1,3-1-7,0 1 0,0 0 1,15 3-1,-19-1 7,1 0 0,-1 0 0,-1 1 1,1 0-1,0 0 0,0 0 0,-1 1 0,0-1 0,0 1 0,0 1 0,0-1 1,-1 1-1,1 0 0,4 6 0,-5-5-1,1 0 0,-1 1 1,-1-1-1,1 1 0,-1 0 0,0-1 1,-1 1-1,1 1 0,-1-1 0,-1 0 1,0 0-1,1 9 0,-2-12-2,1 0 0,-2 0 0,1 0 0,0 0 0,-1 0 0,1 0 0,-1-1 0,0 1 0,-1 0 0,-2 5 0,2-6 1,0-1 0,0 1 0,0-1 1,-1 0-1,1 0 0,-1 0 0,0 0 0,1 0 0,-1-1 1,0 1-1,0-1 0,0 0 0,-5 2 0,-14 3-24,-1 0-1,1-2 0,-1 0 1,0-2-1,-38 0 0,61-2-15,-1 0-1,1 0 0,0 0 0,0 0 1,0 0-1,-1 0 0,1 0 1,0-1-1,0 1 0,0 0 0,-1 0 1,1 0-1,0 0 0,0-1 1,0 1-1,0 0 0,0 0 0,-1 0 1,1-1-1,0 1 0,0 0 1,0 0-1,0-1 0,0 1 1,0 0-1,0 0 0,0-1 0,0 1 1,0 0-1,0 0 0,0-1 1,0 1-1,0 0 0,0 0 0,0-1 1,0 1-1,0 0 0,0 0 1,0 0-1,0-1 0,1 1 0,-1 0 1,0-1-1,6-11-1663,21-4-2568,13-1-3391</inkml:trace>
  <inkml:trace contextRef="#ctx0" brushRef="#br0" timeOffset="7275.74">5080 541 304,'0'0'21650,"-5"-8"-21044,-18-26-366,23 34-238,0 0 1,0 0 0,0-1-1,0 1 1,0 0-1,0 0 1,-1 0-1,1 0 1,0-1 0,0 1-1,0 0 1,0 0-1,0 0 1,0 0 0,0 0-1,-1 0 1,1 0-1,0-1 1,0 1 0,0 0-1,0 0 1,0 0-1,-1 0 1,1 0-1,0 0 1,0 0 0,0 0-1,0 0 1,-1 0-1,1 0 1,0 0 0,0 0-1,0 0 1,0 0-1,-1 0 1,1 0 0,0 0-1,0 0 1,0 0-1,0 0 1,-1 0-1,1 0 1,0 0 0,0 1-1,0-1 1,-4 9 50,1 12 36,2-12-65,1 0 0,0 0-1,0 0 1,1 0-1,0 0 1,0 0 0,1-1-1,0 1 1,1 0 0,0-1-1,0 1 1,1-1 0,0 0-1,5 8 1,11 10 38,0-1-1,40 37 1,-49-50-76,-11-12-61,1 0 0,-1 0-1,0 0 1,0 0 0,1 0 0,-1 1 0,0-1 0,1 0 0,-1 0-1,0 0 1,0 1 0,0-1 0,1 0 0,-1 0 0,0 1 0,0-1 0,0 0-1,1 0 1,-1 1 0,0-1 0,0 0 0,0 0 0,0 1 0,0-1 0,0 0-1,0 1 1,0-1 0,0 0 0,0 1 0,0-1 0,0 0 0,0 1-1,0-1 1,0 0 0,0 0 0,0 1 0,0-1 0,0 0 0,0 1 0,-1-1-1,1 0 1,0 0 0,0 1 0,0-1 0,0 0 0,-1 0 0,1 1-1,0-1 1,0 0 0,-1 0 0,1 1 0,0-1 0,0 0 0,-1 0 0,1 0-1,0 0 1,0 0 0,-1 0 0,1 1 0,0-1 0,-1 0 0,1 0-1,0 0 1,-1 0 0,1 0 0,0 0 0,-1 0 0,1 0 0,-1 0 0,0 0-505,-1 0 0,0 0 0,0 0 0,0 0 0,1-1 0,-1 1 0,0 0 0,0-1 0,1 0 0,-1 1 0,-3-2 0,-4-12-3619,1-6-89</inkml:trace>
  <inkml:trace contextRef="#ctx0" brushRef="#br0" timeOffset="7445.88">5112 626 720,'0'0'4594,"-22"-100"-2305,14 78-288,5 5-32,1 7-112,0 5-592,2 1-241,0 0 65,7 4-849,12 0-240,2 0 0,1 0 0,3 0-160,-1 0-785,-1 0-1312,-2 0-3041</inkml:trace>
  <inkml:trace contextRef="#ctx0" brushRef="#br0" timeOffset="7850.96">5391 193 8116,'0'0'12541,"-1"5"-12378,-2 17-58,1 1 0,2 34-1,0-29-20,0-28-86,0 1 0,0-1 1,0 0-1,0 0 1,0 0-1,0 1 0,0-1 1,0 0-1,1 0 1,-1 1-1,0-1 0,0 0 1,0 0-1,0 0 1,0 1-1,0-1 0,0 0 1,1 0-1,-1 0 1,0 0-1,0 0 0,0 1 1,0-1-1,1 0 1,-1 0-1,0 0 0,0 0 1,0 0-1,1 0 0,-1 0 1,0 0-1,0 1 1,1-1-1,-1 0 0,0 0 1,0 0-1,0 0 1,1 0-1,-1 0 0,0 0 1,0 0-1,1-1 1,-1 1-1,0 0 0,0 0 1,0 0-1,1 0 1,-1 0-1,0 0 0,0 0 1,0 0-1,1-1 1,-1 1-1,0 0 0,0 0 1,0 0-1,0 0 0,0 0 1,1-1-1,-1 1 1,0 0-1,11-10-56,-8 1-3,1 0 1,-1-1-1,0 0 0,-1 1 0,0-1 0,-1 0 1,0 0-1,-1 0 0,0-15 0,0 24 48,0 4-78,0 9-115,-1 4-405,2 1 0,0-1-1,4 22 1,-3-32-14,-1 0-1,1 0 1,0 0-1,1-1 1,0 1 0,0-1-1,5 9 1,11 7-4305</inkml:trace>
  <inkml:trace contextRef="#ctx0" brushRef="#br0" timeOffset="8253.04">5622 60 10773,'0'0'13595,"6"8"-12922,45 76-424,-5 2-1,-3 2 1,36 106 0,-69-167-237,-1 0 1,-2 0-1,0 1 1,-2 0-1,-1 1 1,-1-1-1,-2 1 1,-2 41-1,1-67-8,-1 1 1,1 0-1,-1-1 1,0 1-1,0-1 1,-1 0-1,1 1 1,0-1-1,-1 0 1,0 0-1,0 0 0,0 0 1,0 0-1,0 0 1,-1 0-1,1-1 1,-1 1-1,0-1 1,0 0-1,0 0 1,0 0-1,0 0 1,-5 2-1,-1-1-35,0 0 0,-1 0 0,1-1 0,-1-1 0,1 1 0,-1-2 0,-14 1 0,24-1-21,-1 0 1,1 0-1,-1-1 1,1 1-1,-1 0 1,0 0-1,1 0 1,0-1-1,-1 1 1,1 0-1,-1 0 1,1-1-1,-1 1 1,1-1 0,-1 1-1,1 0 1,0-1-1,-1 1 1,1-1-1,0 1 1,0 0-1,-1-1 1,1 1-1,0-1 1,0 1-1,-1-1 1,1 0-1,0 1 1,0-1-1,0 1 1,0-1-1,0 1 1,0-1 0,0 0-1,0 0-114,0 1 0,0-1 0,0 1 0,1-1 0,-1 1 0,0-1 0,0 1-1,0-1 1,1 1 0,-1-1 0,0 1 0,1-1 0,-1 1 0,0 0 0,1-1 0,-1 1 0,1 0 0,-1-1 0,0 1 0,1 0-1,-1-1 1,1 1 0,-1 0 0,1 0 0,-1-1 0,2 1 0,20-6-5127,7-1-3725</inkml:trace>
  <inkml:trace contextRef="#ctx0" brushRef="#br0" timeOffset="8469.92">6128 641 10389,'0'0'14374,"-15"-19"-14214,15 23-448,-3 4-2081</inkml:trace>
  <inkml:trace contextRef="#ctx0" brushRef="#br0" timeOffset="10308.59">6512 765 3410,'0'0'10716,"-4"-8"-10433,4 9-278,0 1 1,0-1-1,0 0 0,0 1 0,1-1 0,-1 1 0,0-1 0,0 0 0,1 1 1,-1-1-1,1 0 0,-1 1 0,1-1 0,0 0 0,-1 0 0,1 0 0,0 0 1,0 1-1,0-1 0,0 0 0,0 0 0,0-1 0,0 1 0,0 0 0,0 0 1,1 0-1,-1-1 0,2 2 0,3-1 5,-1 0 1,1 0-1,-1 0 0,1 0 0,0-1 1,5-1-1,-4 1-17,-5 0 8,0 0 0,0 0 0,0 0 1,0-1-1,0 1 0,0-1 0,-1 0 0,1 1 1,0-1-1,0 0 0,-1 0 0,1 0 0,0 0 1,-1 0-1,1-1 0,-1 1 0,0 0 0,2-3 1,1 0 3,-1 0 0,0-1 0,-1 0 0,1 1 0,-1-1 0,3-8 0,-1-2 6,0 0 1,-1-1-1,2-27 1,-4 22-5,1 7 6,-1 1 1,-1-1 0,0 0 0,-1 0 0,-1 1 0,-3-17 0,5 29-2,0 0 1,-1 0-1,1 0 1,-1 0 0,1 0-1,-1 0 1,1 0-1,-1 0 1,0 0-1,1 0 1,-1 0 0,0 0-1,0 1 1,0-1-1,-1-1 1,2 2-8,-1 0 0,1 0 0,-1 0 0,1 0 0,-1 0 0,1 0 0,-1-1 0,1 1 0,-1 0 0,1 1 0,-1-1 0,1 0 0,-1 0 0,1 0 0,0 0 0,-1 0 0,1 0 0,-1 0 0,1 1 0,-1-1 0,1 0 0,-1 0 0,1 1 0,-1-1 0,0 2 2,-1 0 0,1-1 0,-1 1-1,1 0 1,0 0 0,-1 0-1,1 0 1,0 0 0,0 0-1,1 0 1,-1 0 0,-1 4-1,0 6 12,1-1-1,0 1 1,1 0-1,0-1 1,1 1-1,0 0 1,1-1-1,0 1 1,5 14-1,-6-22-10,1 0 0,-1 1 0,1-1 0,0-1-1,0 1 1,0 0 0,0 0 0,1-1 0,0 1 0,0-1 0,0 0-1,0 0 1,0 0 0,0 0 0,1-1 0,-1 1 0,1-1-1,0 0 1,0 0 0,0 0 0,0 0 0,0-1 0,0 0 0,0 0-1,0 0 1,1 0 0,-1 0 0,5-1 0,-6 0-2,-1-1 1,1 1 0,0-1-1,-1 1 1,0-1 0,1 0-1,-1 0 1,1 0-1,-1 0 1,0-1 0,0 1-1,0 0 1,0-1 0,0 0-1,0 1 1,0-1-1,0 0 1,-1 0 0,1 0-1,-1 0 1,1-1 0,-1 1-1,0 0 1,0 0 0,0-1-1,1-2 1,4-11 24,-2 0 0,1-1 0,1-18 0,2-3 173,-8 36-136,1-1 0,0 1 0,0-1 0,0 1 0,0 0 0,0-1 0,0 1 0,1 0 0,-1 0 0,1 0 0,3-4 0,-4 6-62,0 0 0,-1-1 0,1 1 0,0 0 0,0 0-1,-1-1 1,1 1 0,0 0 0,0 0 0,0 0 0,-1 0 0,1 0-1,0 0 1,0 0 0,0 0 0,-1 0 0,1 1 0,0-1 0,0 0-1,0 0 1,-1 1 0,1-1 0,0 0 0,-1 1 0,1-1-1,0 1 1,-1-1 0,1 1 0,0-1 0,-1 1 0,1 0 0,-1-1-1,1 1 1,-1 0 0,1-1 0,-1 1 0,0 0 0,1 0 0,-1-1-1,0 1 1,1 1 0,5 9-9,-1 1 0,0 0 0,-1 0 0,-1 0 0,1 1-1,-2-1 1,2 14 0,4 17-11,-8-43 14,0 1 0,0-1 0,0 0 0,0 1 0,0-1 0,0 0-1,0 0 1,0 1 0,0-1 0,0 0 0,0 0 0,0 1 0,1-1 0,-1 0 0,0 0 0,0 0 0,0 1-1,0-1 1,1 0 0,-1 0 0,0 0 0,0 0 0,0 1 0,1-1 0,-1 0 0,0 0 0,0 0 0,0 0-1,1 0 1,-1 0 0,0 1 0,0-1 0,1 0 0,-1 0 0,0 0 0,0 0 0,1 0 0,-1 0 0,10-7 20,4-13 17,16-53 7,-22 52-2,1-1-1,0 1 1,2 1-1,20-31 1,-31 49-31,1 1 1,0-1-1,0 1 0,0 0 1,0-1-1,0 1 0,0 0 1,0 0-1,0 0 0,1 0 1,-1 0-1,0 0 0,1 0 1,-1 0-1,1 0 0,-1 1 1,1-1-1,-1 1 0,1-1 1,-1 1-1,1-1 0,-1 1 1,1 0-1,0 0 0,-1 0 1,1 0-1,3 0 0,-4 2-10,1-1 0,-1 0 0,1 0 0,-1 1-1,1-1 1,-1 1 0,0 0 0,0-1 0,0 1 0,0 0-1,0-1 1,0 1 0,0 0 0,-1 0 0,1 0-1,-1 0 1,1 0 0,-1 0 0,0 0 0,1 0 0,-1 2-1,1 38 36,1 17-31,-2-55-2,1 0 0,-1 0 1,1 0-1,1 0 0,-1 0 1,0 0-1,1 0 0,0 0 1,0-1-1,5 8 0,-5-10 2,0 1-1,0 0 0,0-1 0,0 0 1,0 1-1,1-1 0,-1 0 0,1 0 0,-1 0 1,1-1-1,-1 1 0,1-1 0,-1 1 1,1-1-1,-1 0 0,1 0 0,0 0 0,-1 0 1,1 0-1,4-2 0,-2 1 7,1 0-1,-1 0 1,0 0 0,0-1-1,0 0 1,0 0 0,0-1-1,8-5 1,-4 0-4,-1 0-1,0 0 1,0-1-1,-1 0 1,0-1-1,-1 1 1,0-1 0,0 0-1,-1-1 1,0 0-1,-1 0 1,-1 0-1,5-18 1,-4 5-1,0-2 0,-2 1-1,0 0 1,-2 0 0,-4-32 0,2 42 34,0-1 0,-2 1 0,0 0 0,-1 0 1,0 0-1,-1 1 0,-1-1 0,0 1 0,-1 1 0,0 0 0,-14-16 0,20 26 43,-1 1-1,1-1 0,-1 1 1,0 0-1,0-1 0,0 1 0,0 1 1,0-1-1,-5-2 0,7 4-64,1 0 1,-1-1-1,0 1 0,0 0 0,0 0 0,0-1 0,0 1 0,0 0 0,0 0 1,0 0-1,0 0 0,0 1 0,0-1 0,0 0 0,0 0 0,0 1 0,0-1 1,0 0-1,0 1 0,0-1 0,1 1 0,-1-1 0,0 1 0,0-1 0,0 1 0,1 0 1,-1-1-1,0 1 0,1 0 0,-1 0 0,1-1 0,-1 1 0,1 0 0,-1 0 1,1 0-1,-1 0 0,1 0 0,-1 1 0,-2 10 69,0 0 0,1 0 0,0 0 0,1 0 0,0 20 0,7 66 836,-2-75-830,0-1 1,2 1-1,0-1 0,2-1 1,0 1-1,2-1 1,0-1-1,1 0 0,1 0 1,1-1-1,1 0 0,28 29 1,-40-46-148,0 0 0,0 0 0,0-1 1,0 1-1,1 0 0,-1-1 0,1 1 1,-1-1-1,1 0 0,0 0 0,-1 0 0,1 0 1,0 0-1,0-1 0,0 1 0,-1-1 1,1 0-1,4 0 0,-6 0-80,-1 0 0,0 0 0,1 0 0,-1 0 0,0-1 0,1 1 1,-1 0-1,0-1 0,1 1 0,-1 0 0,0 0 0,0-1 0,1 1 0,-1 0 0,0-1 0,0 1 0,0-1 0,1 1 0,-1 0 0,0-1 0,0 1 0,0-1 0,0 1 0,0 0 0,0-1 0,0 1 0,0-1 1,0 1-1,0 0 0,0-1 0,0 1 0,0-1 0,0 1 0,0 0 0,-1-1 0,1-3-1244,0-17-6027</inkml:trace>
  <inkml:trace contextRef="#ctx0" brushRef="#br0" timeOffset="12576.95">7237 404 2753,'0'0'4357,"19"5"-4056,65 17-199,-73-19-74,1-1-1,-1 0 1,0-1 0,1 0 0,-1-1 0,18-1 0,-10 0 20,-16 0-22,0 1 0,1-1 0,-1 0 1,0 0-1,0 0 0,0 0 0,0 0 1,0-1-1,0 1 0,-1-1 0,1 0 1,0 0-1,-1 0 0,1 0 0,-1 0 1,0 0-1,0-1 0,3-3 0,-3 2 562,1 0-1,-1 0 1,1 0-1,-1 0 0,-1 0 1,1-1-1,-1 1 0,1 0 1,-1-1-1,0 1 0,-1-1 1,1-5 1063,-1 19-1509,0 1-139,-1-3 4,1-1 0,0 0 0,1 1 0,-1-1 0,1 0 1,1 0-1,1 8 0,-1-12-7,-1 0-1,0 0 1,0 0-1,1 0 1,-1 0 0,1-1-1,0 1 1,0 0-1,-1-1 1,1 1 0,0-1-1,0 0 1,0 0-1,0 0 1,1 0 0,-1 0-1,0 0 1,0 0-1,0-1 1,1 1 0,-1-1-1,0 0 1,5 0 0,-5 1-17,0-1 0,0 1 0,0-1 0,1 0 1,-1 0-1,0 0 0,0 0 0,0 0 0,0 0 1,0 0-1,0-1 0,0 1 0,1-1 1,-1 0-1,0 0 0,-1 1 0,1-1 0,0-1 1,0 1-1,0 0 0,0 0 0,-1-1 1,1 1-1,1-2 0,-1-2 10,0 1 0,-1 0 0,0-1 0,1 1 0,-2-1 0,1 1 0,0-1 0,-1 1 0,0-1 0,0-6 0,0 2 28,0-1 0,-1 1-1,0 0 1,0 0-1,-1 0 1,-4-15 0,5 22-4,0 0-1,0 1 1,0-1 0,0 0 0,0 1 0,0-1-1,0 0 1,-1 1 0,1 0 0,0-1 0,-1 1 0,1 0-1,-1 0 1,0 0 0,1-1 0,-1 2 0,0-1-1,0 0 1,0 0 0,1 1 0,-1-1 0,0 1 0,0-1-1,0 1 1,0 0 0,0 0 0,0 0 0,0 0-1,0 0 1,0 0 0,0 0 0,0 1 0,0-1 0,0 1-1,0 0 1,1-1 0,-1 1 0,-2 1 0,1 0 2,0 0 1,0 0 0,0 0-1,0 0 1,1 0 0,-1 0 0,1 1-1,0-1 1,0 1 0,-1 0-1,2 0 1,-1 0 0,0 0-1,1 0 1,-1 0 0,0 4 0,-3 6 101,1-1 0,-4 25 1,5-23-25,1 1 0,1-1 0,0 1 0,1-1 1,1 1-1,0-1 0,5 25 0,-4-32-76,0-1 0,0 1 0,1-1-1,0 0 1,0 0 0,1 0 0,0 0 0,0 0 0,0-1-1,0 0 1,1 0 0,0 0 0,0 0 0,1-1 0,-1 0-1,1 0 1,11 6 0,-11-7-8,0 0 0,0-1 0,0 1-1,0-1 1,0-1 0,0 1 0,1-1 0,-1 0 0,0-1-1,1 1 1,-1-1 0,1-1 0,-1 1 0,10-3-1,-13 2-4,1 0-1,0 0 0,0-1 1,0 0-1,-1 0 0,1 0 1,-1 0-1,0 0 0,1-1 0,-1 1 1,0-1-1,0 0 0,-1 0 1,1 0-1,-1 0 0,1-1 1,-1 1-1,0-1 0,0 1 0,-1-1 1,1 0-1,1-7 0,1-7 52,0 1 0,-2-1-1,0 1 1,-1-1 0,-1 0-1,-1 1 1,-3-23 0,3 36 52,0 0-1,-1 0 1,1 0 0,-1 0-1,0 0 1,0 0 0,0 0 0,0 1-1,-5-6 1,6 8-93,0 0-1,0 0 1,0 0 0,0 0-1,0 0 1,0 0-1,0 0 1,0 0 0,0 1-1,-1-1 1,1 0 0,0 1-1,-1-1 1,1 1-1,0-1 1,-1 1 0,1 0-1,-1-1 1,1 1 0,0 0-1,-1 0 1,1 0-1,-1 0 1,1 0 0,0 1-1,-1-1 1,1 0 0,-1 1-1,1-1 1,0 0-1,-1 1 1,-1 1 0,2-1-18,0 0 1,0 0-1,0 0 1,0 0-1,0 1 1,0-1 0,0 0-1,1 1 1,-1-1-1,0 0 1,1 1-1,-1-1 1,1 1 0,0-1-1,-1 1 1,1-1-1,0 1 1,0 1-1,0 35-2,0-24 18,1-9-13,-1-1 0,1 1 0,0 0 1,0-1-1,1 0 0,-1 1 0,1-1 0,0 0 1,0 1-1,0-1 0,1 0 0,-1-1 0,1 1 1,0 0-1,0-1 0,1 0 0,-1 1 0,1-1 1,4 3-1,-2-2-40,0 0 0,0 0 1,1-1-1,-1 0 0,1 0 0,0 0 1,0-1-1,0 0 0,0 0 0,0-1 1,0 0-1,8 0 0,-11 0-22,0-1-1,0 0 1,1-1-1,-1 1 0,0-1 1,0 0-1,0 0 1,0 0-1,0 0 1,5-3-1,-7 2 53,0 0 1,1 0-1,-1 0 0,-1 0 0,1 0 0,0 0 0,0 0 1,-1 0-1,1-1 0,-1 1 0,0-1 0,0 1 0,0-1 1,0 1-1,0-1 0,1-5 0,2-12 166,-2 0 0,1 0-1,-2-1 1,-1 1 0,-2-24 0,1 44-148,1-1 0,0 1 1,0-1-1,0 1 0,-1-1 1,1 1-1,0-1 0,-1 1 1,1-1-1,0 1 0,-1 0 1,1-1-1,0 1 0,-1-1 1,1 1-1,-1 0 1,1-1-1,-1 1 0,1 0 1,-1 0-1,1-1 0,-1 1 1,1 0-1,-1 0 0,1 0 1,-1 0-1,1 0 0,-1 0 1,0 0-1,1 0 0,-1 0 1,1 0-1,-1 0 1,1 0-1,-1 0 0,1 0 1,-1 0-1,1 1 0,-1-1 1,1 0-1,-1 0 0,1 1 1,-1-1-1,1 0 0,-1 1 1,1-1-1,-1 0 0,1 1 1,0-1-1,-1 1 0,1-1 1,0 0-1,-1 1 1,1 0-1,-3 6-7,1 0 0,0 0 0,0 0 1,1 0-1,0 0 0,0 0 0,1 15 0,5 53 8,-3-69-12,-1 0 0,0 0 0,1 0 0,0 0 0,1 0 0,-1-1 0,1 1 0,0 0 0,1-1 1,-1 0-1,1 0 0,0 0 0,0 0 0,8 6 0,-8-8-7,0 0 0,0 0 0,0 0 0,0-1 0,1 0 0,-1 1 0,1-2 0,-1 1 0,1 0 0,0-1 0,0 0 0,-1 0 0,1 0 0,0-1 0,0 0 0,0 0 0,0 0 0,0 0 0,5-2 0,-7 1 1,0 0 0,0-1 0,0 0-1,0 1 1,0-1 0,0 0-1,-1-1 1,1 1 0,-1 0 0,0-1-1,0 1 1,0-1 0,0 0-1,0 1 1,0-1 0,-1 0 0,1 0-1,-1 0 1,0 0 0,2-5-1,1-6-16,0 0 0,-1 0 0,2-20 0,-4 25 28,3-50 108,-3 56-101,-1 0 0,0-1 0,0 1 0,-1 0 0,1 0 0,-1 0 0,0-1 0,1 1 0,-1 0 0,0 0 0,-1 0 0,1 0 0,-3-4 0,3 6-3,1 0-1,-1 1 1,1-1 0,-1 0-1,0 1 1,1-1 0,-1 1-1,1-1 1,-1 1 0,0-1-1,0 1 1,1-1 0,-1 1-1,0 0 1,0-1 0,0 1-1,1 0 1,-1 0 0,0 0-1,0 0 1,0-1 0,1 1-1,-1 0 1,0 0 0,0 1-1,0-1 1,-1 0 0,1 1-6,0 0 0,0 0 1,0 0-1,0 0 1,1 0-1,-1 0 0,0 0 1,1 0-1,-1 0 0,0 0 1,1 0-1,-1 1 1,1-1-1,0 0 0,-1 0 1,1 2-1,-2 8-10,1 1-1,0 22 1,1-29 28,0 7-19,0-1 0,1 1 0,0 0 1,1-1-1,0 1 0,0-1 0,2 1 0,-1-1 1,2 0-1,-1 0 0,1-1 0,1 1 1,0-1-1,0 0 0,1-1 0,1 1 0,8 7 1,-12-12-63,1-1 0,-1 0 0,1-1 0,0 1 0,1-1 1,-1 0-1,0 0 0,1 0 0,0-1 0,10 3 0,-14-5 44,-1 1 0,1-1 0,0 1 0,0-1 0,0 0 0,0 0 0,0 0 0,0 0-1,0 0 1,0-1 0,0 1 0,0 0 0,0-1 0,0 0 0,0 1 0,-1-1 0,1 0 0,0 0-1,0 0 1,-1 0 0,1 0 0,0 0 0,-1-1 0,0 1 0,1 0 0,-1-1 0,0 1 0,1-1-1,-1 0 1,0 1 0,0-1 0,0 0 0,-1 0 0,1 1 0,1-5 0,3-15 11,-1 0 0,0 0 1,0-31-1,-2 25 61,7-39 0,-8 62-32,0 1-1,0-1 0,0 1 1,0-1-1,1 1 1,0 0-1,3-6 1,-5 8-20,0 1 1,1 0-1,-1-1 1,0 1-1,1 0 1,-1 0-1,0-1 1,1 1-1,-1 0 1,0 0-1,1 0 1,-1-1-1,0 1 1,1 0-1,-1 0 1,0 0-1,1 0 1,-1 0-1,1 0 1,-1 0-1,0 0 1,1 0-1,-1 0 1,1 0-1,-1 0 1,0 0-1,1 0 1,0 1-1,0-1-1,0 1 1,0 0 0,0 0 0,0 0 0,0 0-1,0 0 1,-1-1 0,1 1 0,0 1 0,-1-1 0,1 0-1,-1 0 1,1 1 0,11 26 1,-10-22-1,0 1-1,1-1 1,-1 0-1,2 1 1,-1-1-1,1-1 1,-1 1-1,2 0 0,4 4 1,-9-9-9,1-1 1,-1 1-1,0-1 1,1 1-1,-1-1 1,1 1-1,-1-1 1,1 0-1,-1 1 0,1-1 1,-1 0-1,1 1 1,-1-1-1,1 0 1,-1 0-1,1 0 1,-1 1-1,1-1 1,0 0-1,-1 0 0,1 0 1,-1 0-1,1 0 1,0 0-1,-1 0 1,1 0-1,-1 0 1,1 0-1,0 0 0,-1-1 1,1 1-1,-1 0 1,1 0-1,-1-1 1,1 1-1,-1 0 1,1 0-1,-1-1 1,1 1-1,-1-1 0,1 1 1,-1 0-1,1-1 1,-1 1-1,0-1 1,1 1-1,-1-1 1,0 1-1,1-1 0,-1 0 1,0 1-1,0-1 1,1 0-1,-1-2-1,1 1 0,-1 0 0,0 0 0,1 0 0,-1 0-1,0 0 1,0-1 0,0 1 0,-1 0 0,1 0 0,-1 0-1,1 0 1,-1 0 0,1 0 0,-2-2 0,-1 0 6,1 1 1,-1 0-1,0 0 1,0 0 0,0 1-1,-1-1 1,1 1-1,-1 0 1,1-1-1,-1 2 1,0-1 0,0 0-1,0 1 1,1 0-1,-2 0 1,1 0-1,0 0 1,0 1-1,0-1 1,0 1 0,0 0-1,0 0 1,-7 2-1,10-2 0,0 0-1,0 1 1,0 0 0,-1-1-1,1 1 1,0 0 0,0-1-1,0 1 1,0 0 0,0 0-1,0 0 1,1 0 0,-1 0-1,0 0 1,0 0 0,1 0-1,-1 0 1,0 0-1,1 1 1,-1-1 0,1 0-1,0 0 1,-1 1 0,1-1-1,0 2 1,-4 37-22,4-35 24,-1 8 0,1-1 0,0 1 0,1 0 1,1-1-1,0 1 0,1-1 0,4 14 0,-5-22-13,-1-1-1,1 1 0,0 0 0,0-1 0,0 1 0,1-1 0,-1 1 0,1-1 0,0 0 0,0 0 0,0-1 0,0 1 1,0 0-1,1-1 0,-1 0 0,1 0 0,-1 0 0,1 0 0,0-1 0,0 1 0,0-1 0,0 0 0,0 0 0,0 0 0,0-1 1,5 1-1,-7-1-3,1 0 1,0 0-1,-1 0 0,1 0 1,0 0-1,-1 0 1,1-1-1,-1 1 1,1-1-1,-1 0 0,1 0 1,-1 0-1,1 0 1,-1 0-1,0-1 0,1 1 1,-1-1-1,4-3 1,-4 2 13,1-1 1,-1 0-1,1 0 1,-1 0-1,0 0 1,-1 0-1,1 0 0,-1-1 1,1 1-1,0-7 1,1-8 12,-1 0 0,-1 0 1,0 0-1,-5-39 0,4 56 10,0 0-1,0 0 1,-1 0-1,1 0 0,-1 0 1,1 1-1,-1-1 1,0 0-1,1 0 1,-1 0-1,0 1 0,0-1 1,0 0-1,-1 1 1,1-1-1,0 1 1,-1-1-1,1 1 0,-1 0 1,1-1-1,-1 1 1,1 0-1,-1 0 0,0 0 1,0 0-1,1 1 1,-1-1-1,0 0 1,0 1-1,0-1 0,-2 1 1,3 0-20,0 0 0,0 1-1,0-1 1,1 1 0,-1-1 0,0 1 0,1-1 0,-1 1-1,0 0 1,1-1 0,-1 1 0,1 0 0,-1 0 0,1-1-1,-1 1 1,1 0 0,0 0 0,-1 0 0,1-1-1,0 1 1,0 0 0,-1 0 0,1 0 0,0 0 0,0 0-1,0 0 1,0-1 0,0 2 0,-1 34 48,1-31-46,0 2-33,0-1 1,1 0-1,-1 0 0,1 1 1,0-1-1,1 0 1,-1 0-1,1 0 1,1 0-1,-1 0 1,1-1-1,0 1 1,0-1-1,0 0 1,1 1-1,0-1 1,0-1-1,0 1 0,1-1 1,-1 0-1,1 0 1,0 0-1,0 0 1,1-1-1,-1 0 1,1 0-1,0 0 1,-1-1-1,1 0 1,0 0-1,0-1 1,1 1-1,-1-1 1,0-1-1,11 1 0,-14-1 26,-1-1-1,1 1 1,0-1-1,-1 1 1,1-1-1,-1 0 0,1 0 1,-1-1-1,1 1 1,-1 0-1,0-1 1,0 1-1,1-1 1,-1 0-1,0 0 0,0 0 1,-1 0-1,1 0 1,0 0-1,-1 0 1,1 0-1,-1-1 0,0 1 1,0-1-1,1-2 1,4-10 12,-1 1 0,-1-1 0,4-19 1,-6 22 13,1-7 115,-1 1 0,-1 0 0,-1-20 0,0 19 324,-7 46-107,6-18-354,1 0-1,0 0 0,1 0 1,0-1-1,0 1 1,1 0-1,0-1 1,1 1-1,0-1 1,5 11-1,-6-16-15,0 0 0,0-1 0,0 1 0,0 0 0,0-1 0,1 1 1,-1-1-1,1 0 0,0 1 0,-1-1 0,1-1 0,0 1 0,0 0 0,1-1 0,-1 1 0,0-1 0,0 0 0,1 0 0,-1 0 1,0-1-1,1 1 0,-1-1 0,1 0 0,-1 0 0,1 0 0,-1 0 0,1-1 0,-1 1 0,6-3 0,-6 2 10,0 0-1,1 0 0,-1-1 1,0 0-1,0 0 1,0 1-1,0-2 0,-1 1 1,1 0-1,0-1 1,-1 1-1,0-1 0,4-5 1,26-44 21,-26 41-15,-1 1 29,-1 0-1,1 0 1,-2 0 0,1 0-1,-2-1 1,1 0 0,-1 1 0,-1-1-1,0 0 1,-1 0 0,0 0 0,0 1-1,-3-13 1,3 23-21,0-1 1,0 1-1,0-1 1,0 0-1,0 1 1,0-1-1,0 1 1,0-1-1,-1 1 1,1-1-1,0 1 0,0-1 1,-1 1-1,1-1 1,0 1-1,-1-1 1,1 1-1,0 0 1,-1-1-1,1 1 0,-1 0 1,1-1-1,-1 1 1,1 0-1,0-1 1,-1 1-1,1 0 1,-1 0-1,0-1 0,1 1 1,-1 0-1,1 0 1,-1 0-1,1 0 1,-2 0-1,1 0-5,1 0-1,-1 1 0,0-1 1,0 1-1,0-1 1,1 1-1,-1-1 0,0 1 1,1-1-1,-1 1 0,0 0 1,1-1-1,-1 1 1,1 0-1,-1 0 0,1-1 1,0 1-1,-1 0 1,1 0-1,-1 0 0,1-1 1,0 1-1,0 2 1,-4 13 30,2 0 1,0 0-1,1 1 0,1-1 1,1 1-1,0-1 1,1 0-1,0 1 1,2-1-1,0 0 1,0-1-1,10 22 1,-8-25-83,-3-5-39,1 1 1,-1-1-1,1 1 1,1-1-1,0 0 0,0-1 1,0 1-1,11 9 1</inkml:trace>
  <inkml:trace contextRef="#ctx0" brushRef="#br0" timeOffset="13728.41">9206 491 6515,'0'0'6851,"15"-19"-12309</inkml:trace>
  <inkml:trace contextRef="#ctx0" brushRef="#br0" timeOffset="14897.92">9522 276 5987,'0'0'8537,"-16"7"-7859,-54 24-99,65-27-531,1 0 1,-1-1-1,1 1 1,0 1-1,0-1 1,1 1 0,-1-1-1,1 1 1,0 0-1,0 0 1,1 1-1,-1-1 1,1 1 0,0-1-1,1 1 1,-1-1-1,1 1 1,0 0-1,0 11 1,1-13-1,-2 6-10,1 0 0,1 0 0,0 0 0,0 0 0,1-1 0,0 1 0,1 0 0,0-1 0,0 1 1,1-1-1,8 18 0,-9-21-24,1-1 1,1-1-1,-1 1 1,1 0-1,0-1 1,0 0-1,0 0 1,0 0-1,1 0 1,-1-1-1,1 0 1,0 1-1,0-2 1,1 1-1,-1-1 1,0 0-1,1 0 1,-1 0-1,1-1 1,0 0 0,8 1-1,-4-1 0,1 0 1,-1 0-1,1-1 0,-1-1 1,14-2-1,-19 2-20,0 0 0,-1-1 0,1 0 0,-1 0 0,1 0 0,-1 0 0,1-1 0,-1 1 1,0-1-1,0 0 0,-1 0 0,1-1 0,3-4 0,3-5-9,0-1-1,-2 0 1,0 0 0,0-1 0,-1 0 0,-1-1-1,7-27 1,13-30 97,-26 72-83,0 0 1,1 0-1,-1 0 1,0 0-1,1 0 1,-1 0-1,1 0 1,-1 0-1,1 0 1,-1 0-1,1 1 1,0-1-1,-1 0 1,1 0-1,0 0 1,0 1-1,0-1 1,0 0-1,0 1 1,-1-1-1,1 1 1,0-1-1,0 1 1,0 0-1,0-1 1,1 1-1,-1 0 1,0-1-1,0 1 1,0 0-1,0 0 1,0 0-1,0 0 1,0 0-1,0 0 1,0 1-1,0-1 1,0 0-1,0 0 1,0 1-1,0-1 1,0 1-1,0-1 1,0 1-1,0-1 1,0 1-1,0 0 1,0-1-1,0 1 1,-1 0-1,1 0 1,0-1-1,0 2 1,8 7-17,-1 1-1,0 0 1,12 19 0,-9-12 19,-11-16-11,2 1-22,0 1-1,-1-1 1,1 1-1,0-1 0,0 1 1,1-1-1,-1 0 0,0 0 1,1 0-1,-1 0 1,1-1-1,0 1 0,-1-1 1,1 0-1,5 2 0,-7-7 35,0 0 0,-1 0 0,1 0 0,-1 0 0,0 0 0,-1-1 0,1 1 0,-2-6 0,0 5 63,-1 1 0,0-1 0,0 1 0,-1 0 0,1 0 0,-1 0 0,0 1 1,1-1-1,-2 1 0,1 0 0,0 0 0,-1 1 0,1-1 0,-1 1 0,0 0 0,0 0 0,0 0 0,0 1 0,0 0 0,0 0 0,0 0 0,-1 0 0,1 1 0,-7 0 1,10 1-59,-1-1 1,1 1 0,0 0 0,-1 0 0,1 0 0,0 0-1,0 0 1,0 1 0,0-1 0,0 1 0,0-1 0,0 1 0,0 0-1,1 0 1,-1-1 0,0 1 0,1 0 0,0 1 0,-1-1 0,1 0-1,0 0 1,0 0 0,1 1 0,-1-1 0,-1 4 0,-1 6 31,-1 0 1,1 0-1,-2 23 1,4-25-35,1 1 1,-1-1 0,2 1-1,-1 0 1,1-1 0,1 1-1,3 10 1,-4-18-6,0 0 1,0 0-1,1 0 0,-1 0 0,1-1 1,-1 1-1,1 0 0,0-1 1,0 0-1,0 1 0,1-1 1,-1 0-1,0 0 0,1 0 0,-1 0 1,1-1-1,0 1 0,0-1 1,0 1-1,-1-1 0,1 0 0,0 0 1,1-1-1,-1 1 0,0 0 1,0-1-1,0 0 0,4 0 0,-3 1-7,1-1-1,0 0 1,0 0 0,-1-1-1,1 0 1,0 1-1,0-1 1,-1-1-1,1 1 1,-1-1-1,1 0 1,-1 0-1,0 0 1,0 0 0,0-1-1,0 0 1,0 0-1,0 0 1,-1 0-1,0 0 1,1-1-1,-1 1 1,0-1-1,-1 0 1,1 0 0,-1 0-1,0-1 1,0 1-1,0 0 1,2-7-1,0-4 36,0 1 0,-1-1-1,0 0 1,-2 0 0,1 0-1,-3-29 1,1 26 157,0 17-180,-1 1 0,1-1 0,0 1-1,-1 0 1,1 0 0,-1-1 0,1 1 0,-1 0-1,1 0 1,-1 0 0,1-1 0,-1 1 0,1 0-1,-1 0 1,1 0 0,-1 0 0,1 0 0,-1 0-1,1 0 1,-1 0 0,1 0 0,-1 0 0,1 0 0,-1 1-1,1-1 1,-1 0 0,1 0 0,-1 0 0,1 1-1,-1-1 1,1 0 0,-1 0 0,1 1 0,-3 2-4,2 0 0,-1 1-1,0-1 1,1 0 0,-1 1 0,1-1 0,0 1 0,0 0 0,0-1 0,1 1 0,-1 0 0,1-1 0,0 6 0,2 54 23,-1-54-24,-1-5-39,0-1 0,1 1 0,0-1 0,0 1-1,0-1 1,0 1 0,1-1 0,-1 0 0,1 1 0,0-1 0,-1 0 0,2 0 0,-1 0 0,0-1-1,1 1 1,-1-1 0,1 1 0,-1-1 0,1 0 0,0 0 0,0 0 0,0 0 0,1 0 0,5 2 0,1-1-106,0 0 1,0 0 0,0-1 0,0-1 0,0 1 0,0-2 0,16 0 0,-23 0 130,0 0 1,0-1-1,0 1 1,0-1-1,0 0 0,0 0 1,0 0-1,0-1 1,-1 1-1,1-1 0,0 1 1,-1-1-1,1 0 1,2-3-1,1 0-15,-1-1 1,-1 1-1,1-1 0,-1 0 1,6-12-1,-1-1-13,-2 1 1,0-1-1,7-32 0,-8 15 140,-2-1 0,-1 1 0,-3-52-1,-1 40 68,2 30 104,-2 0 0,0 0 1,-1 0-1,0 1 0,-2-1 1,0 1-1,-1-1 0,-10-21 1,15 38-220,0 0 1,0 0 0,-1 0-1,1 1 1,0-1 0,-1 0-1,1 1 1,-1-1-1,1 0 1,-1 1 0,1-1-1,-1 1 1,1-1 0,-1 0-1,1 1 1,-1-1-1,0 1 1,1 0 0,-1-1-1,0 1 1,0 0 0,-1-1-1,2 1-32,-1 0 0,0 1-1,1-1 1,-1 0 0,1 1 0,-1-1-1,1 0 1,-1 1 0,1-1 0,-1 1-1,1-1 1,-1 1 0,1-1 0,0 1-1,-1-1 1,1 1 0,0 0 0,0-1-1,-1 1 1,1-1 0,0 2 0,-8 39 96,5 23 153,10 118 0,-4-161-239,0-1 1,1 1 0,1-1 0,1 0-1,1-1 1,0 1 0,1-1-1,2-1 1,21 34 0,-27-46-14,1-1 1,-1 0 0,1 1 0,0-1 0,1-1-1,-1 1 1,1-1 0,0 0 0,0 0 0,12 4-1,24 4-2101,6-9-5469,-26-3-1429</inkml:trace>
  <inkml:trace contextRef="#ctx0" brushRef="#br0" timeOffset="15789.9">10450 385 6947,'0'0'13265,"-9"-13"-12329,-31-38-535,39 50-387,0 0-1,0 0 1,0-1 0,0 1 0,0 0 0,0 1 0,-1-1 0,1 0 0,0 0 0,0 0 0,-1 1 0,1-1 0,-1 1 0,1-1 0,0 1 0,-3-1 0,3 1-8,0 0 0,0 0 0,1 1 1,-1-1-1,0 0 0,0 0 0,0 1 0,1-1 0,-1 0 0,0 1 0,0-1 0,0 1 1,1-1-1,-1 1 0,0-1 0,1 1 0,-1 0 0,1-1 0,-2 2 0,0 2 3,0 0 0,0-1 0,0 1 0,0 1 0,0-1 0,-1 7 0,3-10-7,-2 9 11,-1 1 0,2-1 1,0 1-1,0-1 0,1 1 1,0-1-1,1 1 0,0 0 0,0-1 1,2 0-1,-1 1 0,7 16 1,-7-23-28,0 1 1,0-1-1,0 0 0,1 0 1,-1 0-1,1 0 1,0-1-1,0 1 0,1-1 1,-1 0-1,1 0 1,-1 0-1,1 0 1,0 0-1,0-1 0,0 0 1,1 0-1,-1 0 1,0 0-1,1-1 0,-1 0 1,1 0-1,0 0 1,-1 0-1,1-1 1,0 1-1,-1-1 0,1 0 1,0-1-1,6-1 1,-8 2 6,-1-1 0,0 0 1,1 0-1,-1 0 0,0 0 0,0 0 1,0 0-1,0-1 0,0 1 1,0-1-1,0 1 0,-1-1 1,1 0-1,0 0 0,-1 0 0,0 0 1,1 0-1,-1 0 0,0 0 1,0 0-1,0 0 0,0-1 1,0 1-1,-1 0 0,1-1 0,0-3 1,1-8 7,0 0 0,-1-1 0,-1-17 0,0 22 2,0-3 2,0 0-1,-2 0 1,-2-14 0,4 24 13,-1 0 0,0-1-1,0 1 1,0 0 0,0 0 0,-1-1 0,1 1 0,-1 0 0,0 0 0,0 1 0,0-1 0,0 0-1,0 1 1,-1-1 0,1 1 0,-6-4 0,7 5-16,1 1 0,0 0 0,-1-1 1,1 1-1,-1 0 0,1 0 0,-1-1 0,1 1 0,-1 0 1,1 0-1,-1 0 0,1 0 0,-1 0 0,0 0 0,1 0 1,-1 0-1,1 0 0,-1 0 0,1 0 0,-1 0 0,1 0 0,-1 0 1,1 0-1,-1 1 0,1-1 0,-1 0 0,1 0 0,-1 0 1,1 1-1,-1-1 0,1 0 0,-1 1 0,1-1 0,0 0 0,-1 1 1,1-1-1,0 1 0,-1-1 0,1 1 0,0-1 0,0 1 1,-1-1-1,1 1 0,0-1 0,0 1 0,0-1 0,-1 1 1,1-1-1,0 2 0,-2 29-32,2-27 40,0 9-7,0 0-1,1-1 1,1 1 0,0-1-1,0 1 1,1-1-1,6 14 1,-8-22-13,1 0 0,0 0 1,0-1-1,1 1 0,-1 0 0,1-1 0,-1 0 1,1 1-1,0-1 0,1 0 0,-1 0 0,0-1 1,1 1-1,-1-1 0,1 0 0,0 0 0,0 0 1,0 0-1,0-1 0,0 1 0,0-1 0,0 0 1,1 0-1,6 0 0,-7-1 2,0 1 1,0-1-1,0 0 1,0 0-1,1-1 1,-1 1-1,0-1 1,0 0-1,0 0 1,0 0-1,0-1 1,0 1-1,0-1 0,-1 0 1,1 0-1,0 0 1,-1-1-1,0 1 1,0-1-1,1 0 1,-1 0-1,-1 0 1,1 0-1,0-1 1,-1 1-1,0 0 1,0-1-1,0 0 0,0 0 1,0 0-1,-1 1 1,0-1-1,2-7 1,1-7 2,-1 1 0,0-1 0,-2 1 0,0-1 0,0 0 0,-5-35 0,4 52 5,0 0 0,0 0 0,0 0 0,-1 0 0,1 0-1,0 0 1,0 0 0,-1 0 0,1 0 0,-1 1 0,1-1 0,-1 0 0,1 0-1,-1 0 1,1 0 0,-1 0 0,0 1 0,1-1 0,-1 0 0,0 1-1,0-1 1,0 0 0,1 1 0,-1-1 0,0 1 0,0 0 0,0-1 0,0 1-1,0-1 1,-2 1 0,2 0-1,1 0-1,-1 0 0,0 1 0,0-1 1,0 0-1,0 1 0,1-1 1,-1 1-1,0-1 0,0 1 1,1-1-1,-1 1 0,0-1 1,1 1-1,-1 0 0,1-1 0,-1 1 1,1 0-1,-1-1 0,1 1 1,-1 0-1,1 0 0,0 0 1,-1-1-1,1 1 0,0 0 1,0 0-1,-1 0 0,1 0 1,0 0-1,0 0 0,0-1 0,0 3 1,0 6 11,0 0 1,0 0 0,0 0 0,1 0-1,1 0 1,0 0 0,0 0-1,6 15 1,-7-20-41,1-1 1,0 0-1,0 0 1,0 0-1,0 0 1,0-1-1,1 1 1,-1-1-1,1 1 0,0-1 1,-1 0-1,1 0 1,0 0-1,0 0 1,0-1-1,1 1 1,-1-1-1,0 0 0,1 0 1,-1 0-1,1 0 1,-1 0-1,0-1 1,1 0-1,6 0 0,-6 1 16,0-1-1,-1 0 0,1-1 0,-1 1 0,1 0 0,0-1 0,-1 0 0,1 0 0,-1 0 0,1 0 0,-1-1 0,6-3 0,-6 2 14,0 0 0,0 0-1,0 0 1,-1 0-1,1-1 1,-1 1 0,0-1-1,0 0 1,-1 0-1,1 0 1,1-4 0,1-7 249,-1-1 1,0 1-1,-1-1 1,-1 1-1,-1-32 1,0 31 1037,0 43-1211,1 0-1,7 39 1,-6-57-190,0-1-1,0 0 1,0 0 0,1 0-1,0 0 1,1-1 0,-1 1-1,2-1 1,-1 0 0,1 0-1,0 0 1,10 9 0,-14-15-207,0 0 0,0 0 0,0 0 0,1 0 1,-1-1-1,0 1 0,0 0 0,1-1 0,-1 1 0,1-1 1,-1 1-1,1-1 0,-1 0 0,1 0 0,-1 1 0,1-1 1,-1 0-1,2-1 0,27 2-6060</inkml:trace>
</inkml:ink>
</file>

<file path=xl/ink/ink4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16:47.098"/>
    </inkml:context>
    <inkml:brush xml:id="br0">
      <inkml:brushProperty name="width" value="0.05" units="cm"/>
      <inkml:brushProperty name="height" value="0.05" units="cm"/>
      <inkml:brushProperty name="color" value="#F6630D"/>
    </inkml:brush>
  </inkml:definitions>
  <inkml:trace contextRef="#ctx0" brushRef="#br0">0 156 5090,'0'0'13169,"3"2"-12715,8 11-7,0 0 0,-1 1 1,0 0-1,-1 1 1,0 0-1,8 22 1,15 26 139,-23-47-507,0 0 0,2-1 1,0 0-1,0 0 1,1-1-1,26 22 1,-37-35-65,1 1-1,0-1 1,1 1 0,-1-1 0,0 0 0,0 0 0,1 0 0,-1 0 0,0 0 0,1-1 0,-1 1 0,0-1 0,1 1 0,-1-1 0,1 0 0,-1 0 0,1 0 0,-1 0 0,1-1 0,2 0 0,-2 0 5,0 0 0,0-1 0,0 0 0,0 1 0,0-1 0,0 0-1,0-1 1,-1 1 0,1 0 0,-1-1 0,0 1 0,4-6 0,1-3 19,-1-1 1,0 1 0,-1-1-1,0 0 1,-1 0-1,4-19 1,-2-11-6,-1-1 0,-3 1 0,-2-49 1,-1 33-60,15 142-8471,-6-63 3376</inkml:trace>
  <inkml:trace contextRef="#ctx0" brushRef="#br0" timeOffset="559.41">535 62 5763,'0'0'14484,"-3"5"-14108,0 5-161,0 1 0,0 0 1,1 0-1,0 1 0,1-1 1,0 15-1,4 77 647,-3-87-790,6 31 57,2 0 0,1-1 0,3 0 0,22 56 1,-34-100-124,0-1 0,1 0 1,-1 0-1,0 0 0,1 1 1,-1-1-1,1 0 1,-1 0-1,1 0 0,0 0 1,-1 0-1,1 0 1,0 0-1,0 0 0,0 0 1,0-1-1,-1 1 1,3 1-1,-2-2 3,-1 0 0,1 0-1,0-1 1,-1 1 0,1 0 0,-1-1 0,1 1-1,-1 0 1,1-1 0,-1 1 0,0 0 0,1-1-1,-1 1 1,1-1 0,-1 1 0,0-1 0,1 1-1,-1-1 1,0 1 0,0-1 0,1 1 0,-1-1-1,0 1 1,0-1 0,0-1 0,3-5 22,-1 0-1,-1-1 1,0 0 0,1-12 0,-4-55 58,1 28-59,5-66 0,-4 112-33,1-1 0,-1 1-1,1-1 1,-1 1 0,1-1 0,0 1-1,0 0 1,0 0 0,0-1 0,0 1-1,0 0 1,0 0 0,0 0 0,0 0-1,0 0 1,1 0 0,-1 0 0,0 0-1,1 1 1,-1-1 0,0 0 0,1 1-1,-1-1 1,1 1 0,-1 0 0,1-1 0,-1 1-1,1 0 1,0 0 0,-1 0 0,1 0-1,2 0 1,0 0-3,1 1 0,0-1 1,0 1-1,0-1 0,-1 1 0,1 1 0,0-1 0,-1 1 1,8 3-1,-1 2 2,-1 1 1,0 0-1,-1 0 1,0 1 0,0 0-1,-1 1 1,0 0-1,0 0 1,6 13-1,-9-15-2,-1 1-1,0 0 0,0 1 0,-1-1 0,0 0 1,0 1-1,-1 0 0,0 0 0,-1-1 0,-1 1 1,1 0-1,-2 11 0,0-17 6,0 0 0,0 0 1,-1-1-1,0 1 0,1 0 0,-1-1 0,-1 0 0,1 1 1,0-1-1,-1 0 0,1 0 0,-1 0 0,0-1 0,0 1 0,0-1 1,-1 1-1,1-1 0,0 0 0,-1 0 0,1-1 0,-1 1 1,0-1-1,-6 2 0,-4 1-172,1 0 1,-1-1-1,0 0 0,0-1 0,-21 0 1,35-3 13,0 1 1,0 0 0,0-1 0,0 1 0,0 0 0,0-1 0,0 1 0,1 0 0,-1-1 0,0 1 0,0 0 0,0-1 0,0 1 0,0 0-1,1-1 1,-1 1 0,0 0 0,0 0 0,0-1 0,1 1 0,-1 0 0,0 0 0,0 0 0,1-1 0,-1 1 0,0 0 0,1 0 0,-1 0-1,0 0 1,1-1 0,-1 1 0,0 0 0,1 0 0,-1 0 0,1 0 0,23-14-5461,9-5-4281</inkml:trace>
  <inkml:trace contextRef="#ctx0" brushRef="#br0" timeOffset="1060.08">1005 62 9444,'0'0'10896,"-1"2"-10741,-1 5-128,0-1 1,1 1-1,0-1 1,0 1 0,0 0-1,1 0 1,0-1-1,1 1 1,-1 0-1,1-1 1,0 1-1,1-1 1,0 1 0,0-1-1,0 0 1,5 9-1,-5-9-22,1 0-1,0 0 1,1-1-1,-1 1 1,1-1-1,0 0 1,0 0-1,0 0 1,1 0-1,0-1 1,0 0-1,0 0 1,0 0-1,1-1 1,0 1-1,-1-1 1,9 2-1,-9-3-122,1-1-1,-1 0 0,1 0 1,-1 0-1,1-1 0,0 0 1,-1 0-1,1-1 0,-1 1 0,1-1 1,-1-1-1,1 1 0,-1-1 1,1 1-1,-1-2 0,0 1 1,0 0-1,0-1 0,0 0 1,-1 0-1,1-1 0,7-7 1,-5 4 79,-1-1 1,1 0-1,-1-1 1,-1 0-1,0 1 1,0-2 0,-1 1-1,0 0 1,0-1-1,-1 0 1,3-18 0,-3 6 979,-1 0 1,-1-26 0,-1 48-905,-1 1 0,0-1 0,1 0 1,-1 1-1,0-1 0,1 0 0,-1 1 1,1-1-1,-1 0 0,1 1 0,-1-1 0,0 1 1,1 0-1,0-1 0,-1 1 0,1-1 1,-1 1-1,1 0 0,-1 0 0,-4 19 26,0 0 0,1 0 0,1 0 0,2 1 0,-1-1 0,4 40 0,-1-15 32,0-27-61,0-1-1,1 1 1,1-1-1,8 32 1,-7-38-97,-1-1 0,2 0 0,-1 1 1,1-2-1,1 1 0,0 0 0,0-1 1,15 15-1,2-7-2595,-4-14-3528,-7-3-2850</inkml:trace>
  <inkml:trace contextRef="#ctx0" brushRef="#br0" timeOffset="1933.57">1451 289 3730,'0'0'13144,"-5"-4"-12754,5 4-389,-1-2 14,-1 1 0,1 0 0,0-1-1,-1 1 1,1 0 0,-1 0-1,0 0 1,1 0 0,-1 0 0,-2 0-1,-3 6 73,4 15-9,3-19-76,0 1 0,0 0 0,-1-1 0,2 1 0,-1 0 0,0-1 1,0 1-1,1 0 0,-1-1 0,0 1 0,1-1 0,0 1 0,-1-1 0,1 1 0,0-1 0,0 1 0,0-1 0,0 0 0,0 1 0,0-1 0,1 1 1,1 0-58,0-1 0,0 0 0,0 0 0,0 0 0,0-1 1,0 1-1,0-1 0,0 0 0,0 1 0,6-2 0,-7 1 38,0-1-1,-1 1 0,1 0 1,0-1-1,-1 0 0,1 1 0,0-1 1,-1 0-1,1 0 0,-1 0 1,1 0-1,-1 0 0,0 0 0,1-1 1,-1 1-1,0 0 0,0-1 1,0 1-1,0 0 0,0-1 0,0 0 1,0 1-1,-1-1 0,1 1 1,0-1-1,-1 0 0,1 0 0,-1 1 1,0-1-1,0 0 0,1-1 0,1-11 1,-1 0 0,-1-27 0,0 30 27,0 6 57,-1-1 1,0 1-1,0-1 0,0 1 0,-1 0 1,1-1-1,-2 1 0,1 0 1,0 0-1,-5-6 0,7 10-5,-1-1 1,0 1-1,0-1 1,0 1-1,0 0 1,0-1-1,-1 1 0,1 0 1,0 0-1,-1 0 1,1 0-1,-1 0 1,1 0-1,-1 0 0,1 0 1,-1 0-1,1 1 1,-1-1-1,0 1 0,1-1 1,-1 1-1,0 0 1,0 0-1,1-1 1,-1 1-1,0 1 0,0-1 1,1 0-1,-1 0 1,0 0-1,0 1 0,1-1 1,-1 1-1,0 0 1,1-1-1,-3 3 1,1-1-38,1 0 0,-1 1 1,1-1-1,0 1 1,0 0-1,0 0 1,1 0-1,-1 0 1,0 0-1,1 0 1,0 0-1,0 0 1,0 1-1,0-1 0,1 0 1,-1 4-1,-4 57 410,5-63-434,-1 18 73,0 1-1,2-1 1,1 1-1,7 35 0,-8-50-64,0-1-1,1 1 0,0-1 1,0 0-1,0 1 1,0-1-1,0 0 0,1 0 1,0-1-1,0 1 0,0-1 1,0 1-1,0-1 1,1 0-1,0 0 0,-1 0 1,1-1-1,0 1 1,0-1-1,0 0 0,1 0 1,-1 0-1,1-1 0,-1 0 1,1 0-1,6 1 1,-5-1-31,0 0 1,1 0 0,-1-1-1,0 0 1,1 0 0,-1-1-1,0 0 1,11-2 0,-13 1 2,0 0 1,0 0-1,0 0 1,0 0-1,0-1 1,0 0-1,-1 0 1,1 0-1,-1 0 1,0 0-1,0-1 1,4-4-1,3-7 10,-1 0-1,-1-1 0,0 1 0,-1-2 1,-1 1-1,0-1 0,-2 0 0,5-23 0,-3-2 56,-1-1-1,-2-52 0,-3 89 75,0-1-1,0 0 1,0 0-1,-1 1 0,-1-1 1,-1-7-1,2 13-80,1 0 0,-1-1-1,1 1 1,-1 0 0,0-1-1,0 1 1,0 0 0,0 0-1,0 0 1,0 0 0,0 0-1,0 0 1,-1 0-1,1 0 1,0 0 0,0 1-1,-1-1 1,1 0 0,0 1-1,-1-1 1,1 1 0,-1 0-1,1-1 1,-1 1 0,1 0-1,-1 0 1,1 0 0,-1 0-1,1 0 1,-1 0 0,1 0-1,-1 1 1,-1 0 0,2-1-33,0 1 0,-1-1 1,1 1-1,0 0 0,0 0 0,-1-1 1,1 1-1,0 0 0,0 0 0,0 0 1,0 0-1,0 1 0,1-1 0,-1 0 1,0 0-1,0 0 0,1 1 0,-1-1 1,1 0-1,-1 1 0,1-1 0,-1 3 1,-7 35 67,8-34-73,-4 21 23,2 1 1,1-1 0,1 0 0,7 48 0,-7-66-20,2 0 0,-1 0 0,1 0 0,1 0 0,-1-1 1,1 1-1,1-1 0,-1 1 0,1-1 0,1 0 0,-1-1 0,1 1 0,0-1 1,0 0-1,1 0 0,0 0 0,0-1 0,1 0 0,11 8 0,-13-11-24,0 0-1,-1 0 0,1 0 1,0-1-1,0 0 0,0 0 1,0 0-1,0-1 1,0 1-1,0-1 0,0 0 1,10-2-1,-12 1 4,0 1 0,0-1-1,1 0 1,-1-1 0,0 1 0,0-1 0,0 1 0,0-1-1,-1 0 1,1 0 0,0 0 0,-1 0 0,1 0-1,-1-1 1,0 1 0,0-1 0,0 0 0,0 0 0,3-5-1,-1-3 1,1 0-1,-2-1 1,1 0-1,-1 0 1,-1 0 0,1-16-1,-2-75 64,-1 57-53,0 34 72,0-1 0,-1 1 1,0-1-1,-1 1 0,-1 0 1,0 0-1,-6-17 1,3 22 284,4 15-278,0 17-126,2-24 68,1 58 171,9 78 1,-7-115-732,1-1 0,1 0 0,1 0 1,1 0-1,1-1 0,0 0 0,14 22 1,-4-17-3453,5-6-2358</inkml:trace>
  <inkml:trace contextRef="#ctx0" brushRef="#br0" timeOffset="2990.13">2149 338 5298,'0'0'13639,"-15"-12"-12727,-48-37-269,62 48-623,0 0 1,-1 0-1,1 0 0,0 0 1,0 0-1,-1 0 1,1 0-1,0 1 0,-1-1 1,1 0-1,-1 1 0,1-1 1,-1 1-1,1 0 0,-1 0 1,1-1-1,-1 1 1,0 0-1,1 0 0,-1 0 1,1 0-1,-1 1 0,1-1 1,-1 0-1,1 1 0,-1-1 1,1 1-1,-1-1 0,1 1 1,-1 0-1,1 0 1,0 0-1,0-1 0,-1 1 1,1 0-1,-1 2 0,-1 1 5,0 0-1,1 1 1,-1-1 0,1 1-1,0 0 1,1 0-1,-3 8 1,2-6 28,0 6-14,-1 1 0,1 0 1,1-1-1,1 1 0,1 23 0,-1-35-37,1 0-1,-1 0 1,0 0-1,1-1 1,-1 1-1,1 0 1,0 0 0,-1 0-1,1 0 1,0-1-1,0 1 1,0 0 0,1-1-1,-1 1 1,0-1-1,0 1 1,1-1-1,-1 0 1,4 2 0,-2 0-28,1-1 1,-1-1 0,1 1 0,0 0-1,0-1 1,0 0 0,0 0 0,0 0-1,6 0 1,-6 0-10,0 0-1,1-1 1,-1 0 0,0 0-1,0-1 1,1 1-1,-1-1 1,0 0 0,0 0-1,0 0 1,0 0 0,0-1-1,0 0 1,0 1-1,0-2 1,-1 1 0,1 0-1,-1-1 1,6-4 0,-5 1 21,0 0 1,-1-1 0,1 1 0,-1-1 0,-1 0 0,1 0 0,-1 0 0,-1 0 0,2-9 0,-1-7 109,0-36 1,-3 36 51,-4-4 390,5 26-520,0 1-1,0-1 1,-1 1-1,1-1 1,0 1-1,0-1 1,0 1-1,-1-1 1,1 1-1,0-1 1,-1 1-1,1-1 0,0 1 1,-1-1-1,1 1 1,-1 0-1,1-1 1,-1 1-1,1 0 1,-1-1-1,1 1 1,-1 0-1,1 0 1,-1 0-1,1-1 1,-1 1-1,1 0 1,-1 0-1,1 0 1,-1 0-1,0 0 1,1 0-1,-1 0 1,1 0-1,-1 0 0,1 0 1,-1 0-1,0 0 1,1 0-1,-1 1 1,1-1-1,-1 0 1,1 0-1,-1 1 1,0 0-1,0 0-15,0 0 0,0 0 0,0 0-1,0 0 1,0 1 0,1-1 0,-1 0 0,0 1-1,1-1 1,-1 1 0,1-1 0,-1 1-1,1-1 1,0 1 0,0-1 0,-1 3 0,1 29-13,0-24 15,0 4 13,1 0 0,0 1 0,1-1 0,0 0 0,8 24 0,-7-30-102,0 0 0,0 0 1,1 0-1,-1-1 0,1 1 0,1-1 1,-1 0-1,1 0 0,0-1 0,1 1 0,-1-1 1,8 5-1,-12-9-25,1 1 0,0-1 0,0 1 0,0-1 0,0 0 0,0 0 0,0 0 0,0 0 0,0 0 0,1-1 0,-1 1 0,0-1 0,0 1 0,1-1 0,-1 0 0,0 0 0,0 0 0,1 0 0,-1 0 0,0 0 0,1-1 0,-1 1 0,0-1 0,0 1 0,0-1 0,1 0 0,-1 0 0,0 0 0,0 0 0,0 0 0,-1-1 0,1 1-1,0-1 1,0 1 0,-1-1 0,1 0 0,-1 1 0,1-1 0,-1 0 0,0 0 0,1 0 0,-1 0 0,0 0 0,-1 0 0,1 0 0,1-3 0,2-18 371,0-1 0,-2 1-1,0-1 1,-3-46-1,0 19 2869,1 50-2761,-4 29 24,4-23-438,-1 12 95,0 0 1,1 1-1,1-1 1,7 33-1,-8-46-124,1-1-1,0 1 1,0-1-1,1 0 1,-1 0-1,1 1 1,-1-1-1,1 0 1,0-1 0,0 1-1,0 0 1,1 0-1,-1-1 1,1 1-1,-1-1 1,1 0-1,0 0 1,0 0-1,0 0 1,0 0-1,0-1 1,0 1-1,0-1 1,1 0-1,-1 0 1,0 0-1,1-1 1,-1 1-1,1-1 1,-1 1-1,5-1 1,-5-1 9,0 1 1,0 0-1,0-1 0,-1 1 1,1-1-1,0 0 1,0 0-1,0 0 1,-1 0-1,1-1 0,0 1 1,-1-1-1,0 1 1,1-1-1,-1 0 1,0 0-1,0 0 0,0 0 1,3-4-1,-1 0-7,1-1-1,-1 0 1,0 0-1,-1-1 1,0 1-1,4-14 1,-2 1 941,-1 0 1,-1 0-1,1-22 847,-4 65-1770,-1-7 81,1 1-1,0-1 1,2 0 0,0 0 0,6 23 0,-7-35-76,0-1-1,0 1 1,1-1 0,0 0 0,-1 1 0,1-1 0,1 0-1,-1 0 1,0 0 0,1-1 0,-1 1 0,1 0-1,0-1 1,0 0 0,0 0 0,0 0 0,0 0 0,0 0-1,1 0 1,-1-1 0,0 0 0,1 1 0,0-1-1,-1-1 1,1 1 0,-1 0 0,1-1 0,0 0-1,6 0 1,-6 0 14,0-1 1,1 1-1,-1-1 0,0 0 0,1 0 0,-1 0 0,0 0 1,0-1-1,0 0 0,0 0 0,0 0 0,0 0 0,0 0 1,6-6-1,-5 2 23,1 0 1,-1 0-1,1-1 0,-2 1 1,1-1-1,-1 0 0,6-12 1,-3 1 28,-1 0 0,0 0 0,-2 0 0,0-1 0,-1 1 1,2-27-1,-5 44-17,1-12 16,-1 0-1,0 0 1,-1 0 0,0 0-1,-5-19 1,5 30-14,1-1-1,-1 0 1,-1 0-1,1 1 1,0-1-1,-1 1 1,1-1-1,-1 1 1,0 0-1,0 0 1,1-1 0,-2 1-1,1 0 1,0 1-1,0-1 1,-1 0-1,1 1 1,-1-1-1,1 1 1,-1 0-1,1 0 1,-1 0-1,0 0 1,0 0 0,0 0-1,1 1 1,-1 0-1,0-1 1,0 1-1,-4 1 1,4-1-82,-1 0 0,0 0 1,1 0-1,0 1 1,-1 0-1,1 0 0,-1 0 1,1 0-1,0 0 0,-1 1 1,1 0-1,0-1 1,0 1-1,0 0 0,-5 5 1,1 1-900,0 0 0,0 1-1,-10 17 1,12-18 332,-24 38-4829</inkml:trace>
  <inkml:trace contextRef="#ctx0" brushRef="#br0" timeOffset="4308.95">211 810 1056,'0'0'11846,"0"0"-11787,0-1 1,0 1-1,0 0 1,0-1-1,0 1 0,0-1 1,1 1-1,-1 0 1,0-1-1,0 1 1,0-1-1,1 1 0,-1 0 1,0-1-1,0 1 1,1 0-1,-1-1 0,0 1 1,0 0-1,1 0 1,-1-1-1,1 1 1,-1 0-1,0 0 0,1 0 1,-1-1-1,0 1 1,1 0-1,-1 0 1,1 0-1,-1 0 0,1 0 1,9-3 134,0 1 0,1 0 0,-1 0-1,0 1 1,18 1 0,3-1 73,426-54 58,-446 54-423,-9 1 70,0 0 0,-1 0-1,1 0 1,0-1 0,0 1 0,-1-1 0,1 1 0,-1-1 0,1 1 0,0-1-1,-1 0 1,1 0 0,-1 0 0,3-2 0,-20 1-938,-64 6 433,-88 15 1,43-3 1957,103-13-609,19-2-57,5-1 116,30 0 1992,-10 0-3208,43 0 654,249-11 9,-307 10-320,18-3 46,-25 4-46,1 0 0,-1 0-1,1 0 1,0-1 0,-1 1-1,1 0 1,-1 0 0,1-1-1,-1 1 1,1 0 0,-1-1-1,1 1 1,-1 0 0,1-1-1,-1 1 1,1-1 0,-1 1-1,1-1 1,-1 1 0,0-1-1,1 1 1,-1-1 0,0 0-1,0 1 1,1-1 0,-1 1-1,0-1 1,0 0 0,0 0-28,-1 0 0,0 0 0,0 1 0,1-1 1,-1 0-1,0 1 0,0-1 0,0 1 0,0-1 0,0 1 1,0-1-1,1 1 0,-1 0 0,0-1 0,0 1 1,0 0-1,0 0 0,0 0 0,-2-1 0,-29-3-638,25 3 436,-56-4-2247,-83 4 0,77 1 947,95 0 1844,27 1 170,86-11 1,-121 8-2229,-27 2-1644</inkml:trace>
</inkml:ink>
</file>

<file path=xl/ink/ink4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2:46.626"/>
    </inkml:context>
    <inkml:brush xml:id="br0">
      <inkml:brushProperty name="width" value="0.05" units="cm"/>
      <inkml:brushProperty name="height" value="0.05" units="cm"/>
      <inkml:brushProperty name="color" value="#F6630D"/>
    </inkml:brush>
  </inkml:definitions>
  <inkml:trace contextRef="#ctx0" brushRef="#br0">24 48 976,'0'0'10080,"-5"0"-9443,-14 0-258,20 0-360,-1 0 0,0 0 0,0 0 0,0 0-1,0 0 1,1 0 0,-1 0 0,0 1 0,0-1 0,0 0-1,0 0 1,0 0 0,0 0 0,1 0 0,-1 0 0,0 0-1,0 0 1,0 1 0,0-1 0,0 0 0,0 0 0,0 0-1,0 0 1,0 0 0,0 1 0,1-1 0,-1 0 0,0 0-1,0 0 1,0 0 0,0 0 0,0 1 0,0-1 0,0 0-1,0 0 1,0 0 0,0 0 0,0 1 0,-1-1 0,1 0-1,0 0 1,0 0 0,0 0 0,0 0 0,0 1 0,0-1-1,0 0 1,0 0 0,0 0 0,0 0 0,-1 0 0,1 0-1,0 1 1,0-1 0,0 0 0,0 0 0,0 0 0,0 0-1,-1 0 1,1 0 0,0 0 0,0 0 0,12 8 472,10-1-151,-1-1-1,1-1 1,0-1-1,36 2 0,96-5-597,-90-2-228,-25 1-3890</inkml:trace>
  <inkml:trace contextRef="#ctx0" brushRef="#br0" timeOffset="216.55">11 210 3217,'0'0'15384,"116"-26"-15160,-61 26-224,0 0 0,3 0-32,-4 0-32,-8 0-257,-11 0-1119,-6-2-865,-11-4-1137,-6-5-4001</inkml:trace>
  <inkml:trace contextRef="#ctx0" brushRef="#br0" timeOffset="480.7">410 7 7732,'0'0'12421,"-2"-4"-12218,2 4-203,0 0 0,1 0 0,-1 0 0,0 0 0,0 0 0,0 0 0,0 0 1,0 0-1,1 0 0,-1 0 0,0 0 0,0 0 0,0 0 0,0 0 0,0 0 0,0 0 0,1 0 0,-1 0 0,0 0 0,0 0 0,0 0 0,0 0 1,0 0-1,0-1 0,1 1 0,-1 0 0,0 0 0,0 0 0,0 0 0,0 0 0,0 0 0,0-1 0,0 1 0,0 0 0,0 0 0,0 0 1,0 0-1,0 0 0,0 0 0,0-1 0,24 24-4,28 37-6,-44-49-64,6 5-715,-2 1 1,14 24 0,-23-36 624,-1-1 0,0 1 0,0 0 0,0 0 0,-1 0-1,1 0 1,-1 0 0,0 0 0,-1 0 0,1 1 0,-1-1 0,0 0 0,0 0 0,-2 10-1,1-14 33,0 1 1,1-1-1,-1 1 0,0-1 0,0 1 0,0-1 0,0 1 0,-1-1 0,1 0 0,0 1 0,0-1 0,-1 0 0,1 0 0,-1 0 0,1 0 0,-1 0 0,-2 0 0,-32 12-2016,27-10 1208,-30 9-2894</inkml:trace>
</inkml:ink>
</file>

<file path=xl/ink/ink4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2:49.085"/>
    </inkml:context>
    <inkml:brush xml:id="br0">
      <inkml:brushProperty name="width" value="0.05" units="cm"/>
      <inkml:brushProperty name="height" value="0.05" units="cm"/>
      <inkml:brushProperty name="color" value="#F6630D"/>
    </inkml:brush>
  </inkml:definitions>
  <inkml:trace contextRef="#ctx0" brushRef="#br0">22 470 6051,'0'0'13305,"-4"-13"-12078,-14-40-403,27 98-520,10 21-287,14 88-1,-3-10 95,-38-241 450,-7 21-573,0 7 31,3-1 0,3 0 0,-1-85 0,10 150-21,0 1 1,1-1-1,-1 1 1,1-1 0,-1 1-1,1-1 1,1 1-1,-1-1 1,1 1 0,-1 0-1,1 0 1,1 0-1,-1 0 1,0 0 0,1 0-1,0 0 1,0 1-1,0 0 1,0-1 0,1 1-1,-1 0 1,1 1-1,0-1 1,-1 1 0,1-1-1,0 1 1,1 0-1,-1 1 1,0-1 0,1 1-1,-1 0 1,1 0-1,-1 0 1,1 0-1,-1 1 1,1 0 0,6 0-1,-4 0-10,0 0 0,0 0 0,0 1 0,-1 0 0,1 0 0,0 1 0,6 2 0,-9-2 4,0 0 0,0 0 0,-1 0 0,1 1 0,0 0 0,-1 0 0,0 0 0,0 0 0,0 0 0,0 1 0,5 7 0,-3-2 2,0 0 0,0 1 0,0 0 0,-2 0 0,1 0 0,-1 0 0,0 0 0,1 14 0,-1 4-27,-2 53 0,-1-71 15,-2 0 0,1-1 0,-1 1 1,-1 0-1,1-1 0,-2 1 0,1-1 0,-7 12 0,6-15-22,1 1 0,-1-1 0,0 0 0,0-1 0,-1 1 0,0-1 0,0 0 1,0 0-1,0 0 0,-1-1 0,0 0 0,-8 5 0,12-8 36,0 0 1,0-1-1,1 1 1,-1 0-1,0-1 1,0 1-1,0-1 1,0 1-1,-1-1 1,1 0-1,0 0 1,0 0-1,0 0 1,-2-1-1,3 1 8,0 0 0,0-1 0,0 1 0,0-1 0,0 1 0,0-1 0,0 0 0,0 1 1,0-1-1,0 0 0,0 0 0,1 0 0,-1 0 0,0 1 0,1-1 0,-1 0 0,1 0 0,-1 0 0,0-2 0,-1-3 34,1-1 0,0 0 0,0 0 0,0 0 0,1 0 0,0-10 0,0 7-9,1 9-25,-1 1 1,0-1-1,1 0 0,-1 1 1,1-1-1,0 1 1,-1-1-1,1 1 1,-1 0-1,1-1 1,0 1-1,-1-1 0,1 1 1,0 0-1,0 0 1,-1-1-1,1 1 1,0 0-1,-1 0 1,1 0-1,0 0 0,0 0 1,0 0-1,-1 0 1,1 0-1,0 0 1,0 0-1,-1 0 1,1 1-1,0-1 0,-1 0 1,1 0-1,0 1 1,-1-1-1,1 0 1,0 1-1,-1-1 1,2 2-1,3 2-9,0 1 0,0 0 0,-1 0 0,1 0 0,-1 0 0,-1 1 0,1-1 0,-1 1 0,5 12 0,21 64-50,-24-67 56,-3-10 11,1 7-39,1 0-1,1 0 1,0-1-1,8 15 0,-11-23-33,0 0-1,0-1 0,0 1 1,0-1-1,1 1 1,-1-1-1,1 0 0,0 0 1,-1 0-1,1 0 1,0 0-1,0-1 0,0 1 1,0-1-1,0 0 1,1 0-1,-1 0 0,0 0 1,1-1-1,5 1 1,-5 0 26,0-1 0,-1 0 0,1 0 0,0-1 1,0 1-1,-1-1 0,1 1 0,0-1 0,-1 0 1,1-1-1,-1 1 0,1-1 0,-1 1 0,0-1 1,6-4-1,-5 1-3,1 0 1,-1 0-1,0 0 1,0 0 0,-1-1-1,0 0 1,0 0-1,3-7 1,-1 0 69,-1-1 0,0 1 1,-1 0-1,1-21 0,-1 17 49,0 1-1,6-21 1,-9 36-58,0-1 0,1 1 1,0-1-1,-1 1 0,1-1 0,0 1 1,0 0-1,0-1 0,0 1 1,0 0-1,0 0 0,0 0 0,0 0 1,0 0-1,0 0 0,1 0 1,-1 0-1,0 0 0,1 1 0,-1-1 1,1 0-1,-1 1 0,1-1 1,-1 1-1,1 0 0,-1-1 0,1 1 1,-1 0-1,1 0 0,-1 0 1,1 0-1,0 0 0,-1 0 0,1 1 1,-1-1-1,1 0 0,-1 1 1,1-1-1,-1 1 0,1 0 0,1 1 1,4 1-43,-1 0-1,0 1 1,-1-1 0,1 1 0,-1 1 0,1-1 0,-1 1 0,6 7-1,17 27-745,-28-39 613,0-13 304,-1 9-143,1 1-1,-1 0 1,0 0 0,0 0 0,0 0 0,-1 0 0,1 0 0,-1 0-1,1 0 1,-1 1 0,0-1 0,0 0 0,0 1 0,-1 0-1,1-1 1,-1 1 0,1 0 0,-1 0 0,1 1 0,-1-1-1,0 0 1,0 1 0,0 0 0,0 0 0,-3-1 0,-2-1 10,0 1 0,0 0 0,0 0 0,1 1 0,-1 0 1,-1 0-1,1 1 0,0 0 0,-10 2 0,15-1-19,-1 1-1,1-1 0,0 1 0,0-1 1,0 1-1,0 0 0,0 1 1,0-1-1,0 0 0,1 1 0,-1-1 1,1 1-1,-1 0 0,1 0 0,0 0 1,0 0-1,1 0 0,-1 0 0,1 1 1,-1-1-1,0 6 0,-2 4-2,0 0 0,1 0 0,0 0 0,0 22-1,2-26-16,0 1 0,1-1 0,1 0 0,0 1 0,0-1 0,0 0 0,6 17 0,-5-23 10,-1 0 0,1 0 0,0 0 1,0 0-1,0-1 0,0 1 1,0-1-1,1 1 0,-1-1 0,1 0 1,-1 0-1,1 0 0,0 0 0,0 0 1,0-1-1,0 1 0,0-1 1,0 0-1,0 0 0,1 0 0,-1 0 1,0-1-1,1 1 0,-1-1 1,5 0-1,-2 1 1,1-1 1,0 0 0,-1 0-1,1 0 1,-1-1-1,1 0 1,-1 0-1,1-1 1,-1 0 0,0 0-1,0 0 1,0-1-1,9-5 1,-10 4 13,-1 0 0,1 0 0,-1 0 0,0-1 0,-1 1 0,1-1 0,-1 0 0,0 0 0,0-1 0,0 1 0,0 0 0,-1-1 0,0 0 0,-1 1 0,2-10 0,2-24 503,-1-46 266,-4 86-674,0 9-150,-1 11 60,1 1 0,2-1 0,0 0 0,7 29 1,-8-45-138,1 0 1,0 0 0,0 0-1,0 0 1,0 0 0,1 0-1,0 0 1,0-1 0,0 1-1,0-1 1,1 0 0,0 0-1,0-1 1,0 1 0,0-1-1,0 1 1,1-1 0,0-1-1,-1 1 1,1-1 0,0 1-1,10 1 1,-14-3 97,1 0 0,-1-1 0,1 1 0,-1-1 0,1 0 0,0 1 0,-1-1 0,1 0 0,-1 0 0,1 0 0,0 0 0,-1 0 0,1-1 0,0 1 0,-1 0 0,1-1 0,-1 1 0,1-1 0,-1 0 0,1 1 0,-1-1 0,1 0 0,-1 0 0,0 0 0,1 0 1,-1 0-1,0 0 0,0 0 0,0-1 0,0 1 0,2-3 0,0-2 191,-1 0 1,0-1 0,0 1 0,0-1-1,-1 0 1,1-9 0,0 2 63,2-21 492,-4 24-418,1 1 1,1-1-1,0 1 0,0-1 0,1 1 0,5-15 1,-7 25-294,-1 0 0,0-1 0,0 1 0,0 0 0,0-1 0,1 1 0,-1 0 0,0-1 0,0 1 0,1 0 0,-1 0 0,0-1 0,1 1 0,-1 0 0,0 0 0,0 0 0,1-1 0,-1 1 0,0 0 0,1 0 0,-1 0 1,1 0-1,-1 0 0,0 0 0,1 0 0,-1 0 0,0 0 0,1 0 0,-1 0 0,0 0 0,1 0 0,-1 0 0,1 0 0,-1 0 0,0 0 0,1 0 0,-1 1 0,0-1 0,1 0 0,-1 0 0,0 0 0,0 0 0,1 1 0,-1-1 0,0 0 1,1 0-1,-1 1 0,0-1 0,0 0 0,0 1 0,1-1 0,-1 0 0,0 1 0,0-1 0,0 1 0,11 17-76,9 32-883,-2 1-1,17 85 1,-35-135 896,0-1 0,0 1 1,0-1-1,0 0 1,0 1-1,0-1 0,0 1 1,0-1-1,0 0 0,0 1 1,1-1-1,-1 0 1,0 1-1,0-1 0,0 0 1,1 1-1,-1-1 0,0 0 1,0 1-1,1-1 1,-1 0-1,0 0 0,1 1 1,-1-1-1,0 0 0,1 0 1,-1 0-1,0 1 1,1-1-1,-1 0 0,0 0 1,1 0-1,-1 0 0,1 0 1,12-9-231,6-20 526,9-46-160,6-16 568,-30 82-388,1 0 0,0 0-1,0 1 1,1-1 0,0 1 0,0 1 0,9-9-1,-14 16-249,-1-1-1,1 1 0,-1-1 0,1 1 0,-1-1 0,1 1 0,-1-1 0,1 1 0,0-1 1,-1 1-1,1 0 0,0-1 0,-1 1 0,1 0 0,0 0 0,0 0 0,-1-1 1,1 1-1,0 0 0,0 0 0,-1 0 0,1 0 0,0 0 0,0 0 0,-1 0 0,1 1 1,0-1-1,-1 0 0,1 0 0,0 1 0,0-1 0,-1 0 0,1 1 0,0-1 1,-1 0-1,1 1 0,-1-1 0,1 1 0,-1-1 0,1 1 0,-1 0 0,1-1 0,-1 1 1,1-1-1,-1 1 0,0 0 0,1-1 0,-1 1 0,0 0 0,1-1 0,-1 1 1,0 0-1,0 1 0,10 44-115,-10-44 125,2 85-175,-2-62-1619,4 49 0,-4-72 1516,1 0 0,-1-1 0,1 1 0,-1 0 0,1 0 0,0-1 0,0 1-1,-1-1 1,1 1 0,0 0 0,1-1 0,-1 0 0,0 1 0,0-1 0,0 0 0,1 1-1,-1-1 1,1 0 0,-1 0 0,1 0 0,-1 0 0,1-1 0,0 1 0,-1 0 0,1-1-1,0 1 1,0-1 0,0 1 0,-1-1 0,1 0 0,0 0 0,3 0 0,20 1-4343</inkml:trace>
  <inkml:trace contextRef="#ctx0" brushRef="#br0" timeOffset="1011.12">1360 733 2081,'0'0'7635,"0"-16"-4889,0-50-732,0 64-1894,0 0 0,0 0 1,0 0-1,0 0 0,0 1 0,-1-1 1,1 0-1,-1 0 0,0 0 0,1 1 1,-1-1-1,0 0 0,0 1 1,0-1-1,0 1 0,0-1 0,-1 1 1,1-1-1,0 1 0,-1 0 0,1 0 1,-1-1-1,1 1 0,-1 0 0,1 0 1,-1 1-1,0-1 0,-2-1 0,-2 1 72,-1 0 1,1 0-1,0 0 0,0 1 0,-1-1 0,-7 2 0,4 0 106,5-1-255,0 0 0,0 1 0,1 0 0,-1 0 0,1 0 0,-1 0 0,1 1 0,-1 0 1,1 0-1,0 0 0,0 0 0,0 1 0,0 0 0,0-1 0,0 2 0,1-1 0,0 0 0,-1 1 0,1-1 0,1 1 0,-1 0 0,-4 8 0,4-6-39,0 0 0,0 0 0,1 1 0,0-1 0,0 1 0,0-1 0,1 1 0,0-1 0,1 1 0,-1 0 0,1 0 0,1-1 0,-1 1 0,1 0 0,3 12 0,-2-16-34,-1 1 0,1-1 0,0 0-1,0 0 1,0 0 0,1 0 0,-1 0 0,1-1 0,-1 1-1,1-1 1,0 0 0,0 1 0,0-1 0,0 0 0,1-1-1,-1 1 1,0-1 0,1 1 0,-1-1 0,1 0 0,5 1 0,0 0-167,0-1 0,0 0 1,0 0-1,0-1 1,1 0-1,-1 0 1,16-3-1,-23 2 207,0 0-1,0 0 0,0 0 0,0 0 0,0 0 0,0 0 0,-1 0 0,1 0 0,0-1 0,-1 1 0,1-1 1,-1 0-1,1 1 0,-1-1 0,0 0 0,0 0 0,1 1 0,-1-1 0,-1 0 0,1 0 0,0 0 1,0 0-1,-1-1 0,1 1 0,-1-3 0,2-7 305,-1-1 0,0 1 1,-1-17-1,-1 14 145,1 2-52,1 7-174,-1 1 0,0-1 0,0 0 0,0 1 0,-1-1 0,0 1 0,0-1 0,0 1 0,-1 0 0,0-1 1,0 1-1,-3-6 0,11 74 279,9-18-491,1 0-1,2-2 1,46 80 0,24 56 29,-76-148-78,-1 1-1,-2 0 0,-1 1 1,-2 0-1,-1 0 1,1 46-1,-6-78-17,0 1 0,0-1 0,0 1 0,0-1-1,-1 1 1,1 0 0,-1-1 0,1 0 0,-1 1 0,1-1 0,-1 1 0,0-1-1,0 0 1,0 1 0,0-1 0,0 0 0,0 0 0,0 0 0,0 1-1,0-1 1,-1-1 0,1 1 0,0 0 0,-1 0 0,1 0 0,0-1 0,-1 1-1,1 0 1,-1-1 0,1 0 0,-1 1 0,1-1 0,-1 0 0,0 0 0,1 0-1,-1 0 1,-2 0 0,-3 0-27,0-1 1,0 1-1,1-1 0,-1-1 1,0 1-1,1-1 0,-13-5 1,9 1 61,-1 1 1,1-2-1,0 1 1,1-1 0,-1-1-1,1 1 1,1-2-1,0 1 1,0-1-1,0 0 1,1-1 0,1 0-1,0 0 1,0 0-1,1-1 1,0 0-1,1 0 1,0 0 0,0 0-1,2-1 1,-3-17-1,4 17 21,1 0 1,1 0-1,0 0 0,0 0 0,1 0 0,1 1 0,7-21 1,-2 14 7,1-1 0,1 1 1,21-28-1,9-8 14,43-67 157,-76 109-166,0 0-1,-1-1 0,-1 0 0,0 0 1,-1 0-1,0-1 0,-1 1 0,1-16 1,-3 25-40,0-19 844,-1 22-808,0 0 0,0 1 0,0-1 1,0 1-1,0-1 0,0 1 0,0-1 0,0 1 1,-1-1-1,1 1 0,0-1 0,0 0 0,0 1 1,0-1-1,-1 1 0,1-1 0,0 1 0,-1 0 1,1-1-1,0 1 0,-1-1 0,1 1 0,0-1 1,-1 1-1,1 0 0,-1-1 0,1 1 0,-1 0 1,1 0-1,-1-1 0,0 1 0,0 3-36,0 1 0,0-1 0,1 1 0,-1-1 0,1 1 0,-1-1 0,1 1 0,1 0 1,-1 3-1,0-3-6,0-2 14,0 1 1,0-1-1,0 0 0,0 1 0,1-1 1,-1 0-1,1 1 0,-1-1 1,1 0-1,0 0 0,0 0 0,0 1 1,0-1-1,0 0 0,0 0 0,0 0 1,1-1-1,2 4 0,-1-3-13,0 0 1,0-1-1,0 1 0,0-1 1,0 0-1,0 0 0,0 0 1,0-1-1,1 1 0,-1-1 1,0 1-1,0-1 0,5 0 1,-5 0 9,0-1 1,0 1 0,-1 0 0,1-1-1,0 1 1,-1-1 0,1 0 0,-1 0-1,1 0 1,-1 0 0,1 0 0,-1 0-1,0-1 1,1 1 0,-1-1 0,0 0-1,0 0 1,2-2 0,0-1 9,-1 1 1,0-1-1,0 0 0,-1 0 1,1 0-1,-1 0 1,0-1-1,1-7 0,2-9 47,-2 0 0,-1 0 0,-1-33-1,-1 52-40,0 0 17,-1 1 0,1 0 0,0-1-1,-1 1 1,0 0 0,0-1 0,0 1-1,0 0 1,0 0 0,0 0 0,0 0-1,-1 0 1,1 0 0,-1 0 0,1 1 0,-1-1-1,0 0 1,0 1 0,0-1 0,0 1-1,0 0 1,0-1 0,0 1 0,0 0-1,-3 0 1,4 0-17,-1 0-1,0 1 1,1-1 0,-1 1-1,0-1 1,0 1 0,1 0-1,-1 0 1,0 0-1,0 0 1,1 0 0,-1 0-1,0 0 1,0 1 0,1-1-1,-1 1 1,0-1 0,1 1-1,-1-1 1,1 1-1,-1 0 1,0 0 0,1 0-1,0 0 1,-1 0 0,1 0-1,0 0 1,-1 1-1,1-1 1,0 0 0,0 1-1,0-1 1,0 1 0,-1 2-1,-2 5-8,1 1 0,0 1 0,0-1 0,1 0 0,0 1 0,1-1 0,0 1 0,1-1 0,0 1 0,0 0 0,4 17 0,-1-13 10,0-1 0,1 0-1,1 0 1,0 0 0,1-1 0,0 0 0,17 24 0,-13-23 82,0 0-1,2-2 1,-1 1 0,20 15 0,-25-23-391,0-1 0,0 0 0,0 0 0,0 0 0,0-1 0,1 0 1,-1 0-1,1-1 0,0 0 0,0 0 0,0 0 0,0-1 0,8 1 0,-12-19-12723</inkml:trace>
  <inkml:trace contextRef="#ctx0" brushRef="#br0" timeOffset="1368.3">2052 156 9156,'0'0'13905,"-9"-8"-13553,4 3-313,-22-15 52,26 19-88,0 1 1,0 0-1,1-1 0,-1 1 1,0 0-1,0 0 0,0 0 0,0 0 1,0 0-1,0 0 0,1 0 1,-1 0-1,0 0 0,0 0 1,0 0-1,0 0 0,0 0 1,0 1-1,1-1 0,-1 0 1,0 1-1,0-1 0,1 1 0,-1-1 1,0 1-1,0-1 0,1 1 1,-1 0-1,0-1 0,1 1 1,-1 0-1,1-1 0,-1 1 1,1 0-1,-1 0 0,1-1 1,0 1-1,-1 1 0,-6 15 31,1-1-1,1 1 1,0 0-1,2 0 1,0 0-1,-2 27 1,4-3 78,5 68 0,-1-88-92,1 0-1,1-1 1,0 1 0,2-1-1,1 0 1,0-1-1,1 0 1,1 0 0,1-1-1,1 0 1,0-1-1,1 0 1,1-1 0,1 0-1,0-2 1,19 16 0,-29-27-145,0 0 0,0 0 0,0 0 0,0 0 0,0-1 0,0 1 0,1-2 0,-1 1 0,1 0 0,0-1 0,-1 0 0,12 0 0,-16-1-4,-1 0 0,1 0 0,-1-1 0,1 1 0,-1 0 0,1-1 0,-1 1 0,1 0 0,-1-1 0,0 1 0,1 0 0,-1-1 0,0 1 0,1-1 0,-1 1 0,0-1 0,1 1 0,-1-1-1,0 1 1,0-1 0,0 1 0,1-1 0,-1 1 0,0-1 0,0 1 0,0-1 0,0 1 0,0-1 0,0 1 0,0-1 0,0 1 0,0-1 0,0 0 0,-1 1 0,1-1 0,0 0 0,-1-4-1236,1-20-5828</inkml:trace>
  <inkml:trace contextRef="#ctx0" brushRef="#br0" timeOffset="2043.07">2359 331 7123,'0'0'10434,"-2"-4"-10194,-7-6-176,6 21 27,3 39 79,1-28-140,-1-21-36,0 1-1,0-1 0,0 1 1,0-1-1,1 0 0,-1 1 1,1-1-1,-1 0 0,1 0 1,-1 1-1,1-1 0,0 0 1,-1 0-1,1 0 1,0 0-1,0 0 0,0 0 1,0 0-1,0 0 0,0 0 1,0 0-1,0 0 0,1-1 1,-1 1-1,0 0 0,0-1 1,1 1-1,-1-1 0,0 0 1,1 1-1,-1-1 0,0 0 1,1 0-1,-1 0 0,0 1 1,1-2-1,-1 1 1,1 0-1,0 0 0,1 0-9,0-1 0,0 1 0,0-1 1,0 1-1,0-1 0,-1 0 0,1 0 0,0 0 0,0 0 0,-1 0 0,1-1 0,-1 1 0,0-1 1,1 0-1,-1 0 0,0 0 0,0 0 0,3-3 0,0-8 167,0 0 0,0-1 1,-1 0-1,-1 0 0,3-23 0,-6 62-255,2 0 0,0 1 0,1-1 0,10 33 0,-10-47-869,1 1 0,1 0 0,9 15-1,1-6-3889,3-8-4256</inkml:trace>
  <inkml:trace contextRef="#ctx0" brushRef="#br0" timeOffset="2538.56">2703 368 9284,'0'0'11600,"0"3"-10909,-2 95-162,0-38-365,2 1 1,10 73-1,-10-132-171,5 25 12,-5-26-2,1 0-1,-1 0 1,0 0-1,0 0 1,0 0-1,1 0 1,-1 0-1,0 0 0,1 0 1,-1 0-1,1-1 1,-1 1-1,1 0 1,0 0-1,-1 0 1,1 0-1,0-1 1,1 2-1,-2-2 1,1-1 0,0 1 0,-1 0 0,1-1 0,-1 1 0,1-1 0,-1 1 0,0-1 0,1 1 0,-1-1 0,1 1 0,-1-1-1,0 1 1,1-1 0,-1 0 0,0 1 0,0-1 0,1 1 0,-1-1 0,0 0 0,0 1 0,0-1 0,0 0 0,0 0 0,3-21-8,-3 19 8,3-73-76,-9-110-1,0 22 229,5 163-151,1 0 0,0 0 0,0 0 0,0 0-1,0-1 1,0 1 0,0 0 0,1 0-1,-1 0 1,0 0 0,0 0 0,1 0 0,-1 0-1,1 0 1,-1 0 0,1 0 0,-1 0 0,1 0-1,-1 0 1,1 0 0,0 1 0,0-1-1,-1 0 1,1 0 0,0 1 0,0-1 0,0 0-1,0 1 1,0-1 0,0 1 0,0-1 0,0 1-1,0 0 1,0-1 0,0 1 0,0 0-1,0 0 1,0 0 0,0 0 0,0 0 0,0 0-1,1 0 1,-1 0 0,0 0 0,2 1-1,0 0 8,1 0 0,-1 0-1,1 0 1,-1 0 0,0 1-1,0 0 1,0 0-1,0 0 1,0 0 0,0 0-1,0 0 1,4 6 0,5 9-187,-1 0 1,0 0-1,-2 1 1,0 0-1,-1 1 1,-1 0 0,-1 0-1,6 30 1,-4-4-785,-3 0 0,0 78 1,-5-122 448</inkml:trace>
  <inkml:trace contextRef="#ctx0" brushRef="#br0" timeOffset="2723.43">2767 594 3009,'0'0'15367,"-34"-54"-14758,46 54-449,12 0-160,8 0 48,4 0-128,5 0-256,0 0-1617,7 0-560,-1-6-3490</inkml:trace>
  <inkml:trace contextRef="#ctx0" brushRef="#br0" timeOffset="3035.91">3149 331 8020,'0'0'12501,"0"0"-12488,-1 0 0,1 0-1,0 0 1,-1-1 0,1 1-1,0 1 1,-1-1-1,1 0 1,0 0 0,-1 0-1,1 0 1,0 0-1,-1 0 1,1 0 0,0 0-1,0 0 1,-1 1 0,1-1-1,0 0 1,-1 0-1,1 0 1,0 1 0,0-1-1,-1 0 1,1 0 0,0 1-1,0-1 1,0 0-1,0 0 1,-1 1 0,1-1-1,0 0 1,0 1 0,0-1-1,0 0 1,0 1-1,0-1 1,0 0 0,0 1-1,0 0 1,-2 11 178,0 1 0,2-1 1,-1 1-1,2 0 0,0-1 0,0 1 0,1 0 1,5 17-1,-1-8-9,2 16-38,3 1 0,1-1 0,19 37-1,-31-75-226,0 0 0,0 1 0,0-1 0,0 0 0,0 0 0,1 1 0,-1-1 0,0 0 0,0 0 0,0 0 0,1 1 0,-1-1 0,0 0 0,0 0 0,1 0 0,-1 0 0,0 1 0,0-1 0,1 0 0,-1 0 0,0 0 0,0 0 0,1 0 0,-1 0-1,0 0 1,1 0 0,-1 0 0,0 0 0,0 0 0,1 0 0,-1 0 0,0 0 0,1 0 0,-1 0 0,0 0 0,0 0 0,1-1 0,-1 1 0,0 0 0,0 0 0,1 0 0,-1 0 0,0-1 0,0 1 0,0 0 0,1 0 0,-1 0 0,0-1 0,0 1 0,0 0-1,1 0 1,-1-1 0,0 1 0,0 0 0,0-1 0,10-16-3868,-9 16 3412,8-17-5098</inkml:trace>
  <inkml:trace contextRef="#ctx0" brushRef="#br0" timeOffset="3552.51">3367 199 3874,'0'0'12139,"0"41"-11174,0-40-949,0 0 0,0 1 0,0-1-1,0 0 1,0 0 0,0 1 0,0-1-1,1 0 1,-1 0 0,0 1 0,1-1-1,-1 0 1,1 0 0,-1 0 0,2 2-1,-2-3-9,0 0 0,1 0 0,-1 0 0,1 0 0,-1 0-1,0 0 1,1 0 0,-1 0 0,0 0 0,1 0 0,-1 0-1,0 0 1,1 0 0,-1 0 0,0 0 0,1 0 0,-1-1 0,0 1-1,1 0 1,-1 0 0,0 0 0,1 0 0,-1-1 0,0 1-1,0 0 1,1 0 0,-1-1 0,0 1 0,0 0 0,0-1-1,1 0 1,1-2 12,1 0 1,-1 0-1,0-1 0,-1 1 0,1-1 0,-1 1 1,3-8-1,-3-7-4,-1 14-5,0 1 1,0-1 0,0 0 0,1 1-1,-1-1 1,1 1 0,0-1-1,2-5 1,-2 11-49,-1 1 1,0-1-1,1 1 0,-1-1 0,1 0 1,0 1-1,-1-1 0,3 4 1,-1-2-25,2 7-778,1 0-1,0-1 0,1 0 0,0 0 1,12 15-1,-8-11-3101</inkml:trace>
  <inkml:trace contextRef="#ctx0" brushRef="#br0" timeOffset="3942.61">3527 33 7555,'0'0'16283,"-1"-6"-15398,0 2-794,-1-15 40,5 16-77,6 10 46,20 30 24,-2 0 0,-1 2-1,-3 1 1,-1 1-1,19 48 1,-27-53-105,-2 1 0,-2 0 0,-1 0 0,-1 1 0,-3 0 0,2 63 1,-7-100-20,1 17-27,-2 0 0,0 0 1,-1 0-1,0 0 0,-6 19 1,7-33 14,-1 0 0,1 0 0,-1-1 0,1 1 1,-1 0-1,0-1 0,0 0 0,-1 1 0,1-1 0,-1 0 1,1 0-1,-1-1 0,0 1 0,0 0 0,0-1 0,0 0 1,-1 0-1,1 0 0,-1 0 0,1 0 0,-1-1 0,0 1 1,0-1-1,1 0 0,-1 0 0,0-1 0,0 1 0,0-1 1,-7 0-1,10 1-33,0-1 1,-1 0 0,1 0-1,0 0 1,-1 0 0,1-1 0,-1 1-1,1 0 1,0 0 0,0-1-1,-1 1 1,1-1 0,0 1-1,-1-1 1,1 0 0,0 1 0,-2-3-1,2 2-17,0-1-1,0 0 0,1 0 1,-1 0-1,1 1 1,-1-1-1,1 0 0,0 0 1,-1 0-1,1 0 0,0 0 1,1-3-1,-1 0-187,0 1 0,0 0 0,1-1 0,-1 1 0,1-1-1,0 1 1,1 0 0,-1 0 0,1 0 0,0 0 0,0 0 0,0 0-1,0 0 1,5-5 0,-1 3-1292,0-1 1,0 1-1,14-9 0,16-9-7617</inkml:trace>
  <inkml:trace contextRef="#ctx0" brushRef="#br0" timeOffset="4141.8">4101 515 8516,'0'0'15479,"-2"-41"-15399,2 50-1104,0 8-753,-4-4-3410,-11-2-5586</inkml:trace>
  <inkml:trace contextRef="#ctx0" brushRef="#br0" timeOffset="5320.18">4590 372 3810,'0'0'11544,"-3"-17"-10442,-10-52-113,13 67-891,0-1 0,-1 1 0,0 0 0,1 0 0,-1 0 0,0 0-1,0 0 1,0 0 0,-1 0 0,1 0 0,0 1 0,-1-1 0,1 0 0,-1 1 0,1-1-1,-1 1 1,0-1 0,0 1 0,0 0 0,0 0 0,1 0 0,-4-1 0,1 1 0,-1 0 1,1 0 0,-1 0-1,0 1 1,0-1-1,1 1 1,-6 1 0,0-1-29,6 1-56,-1 0 0,0-1 0,1 2 0,-1-1 0,0 0 0,1 1 0,0 0 0,-1 0 0,1 0 0,0 1 0,0 0 1,0-1-1,0 1 0,1 0 0,-1 1 0,1-1 0,0 1 0,0 0 0,0-1 0,0 1 0,1 0 0,-3 6 0,1-4-11,2 0 1,-1-1-1,1 1 1,0 0-1,0 0 1,0 0-1,1 1 1,0-1-1,0 0 0,1 1 1,-1-1-1,1 0 1,1 1-1,-1-1 1,1 0-1,4 13 1,-4-16 0,1 0 0,0 0 0,0 0 0,0 0 1,1 0-1,-1 0 0,1-1 0,-1 1 0,1-1 1,0 1-1,0-1 0,4 2 0,45 23-110,-31-17-13,-12-6 70,2 1-206,-1 0 0,0 1-1,-1 0 1,18 13 0,-25-16 168,1-1 0,-1 1 0,0 0 0,0 0 0,0 0 0,0 0 0,0 0 0,-1 0 0,1 1 0,-1-1 0,0 0 0,0 1 0,0-1 0,0 1 0,-1 0 0,1-1 0,-1 1-1,0-1 1,-1 7 0,0-6 67,0-1 0,0 0 0,0 0 0,0 0 0,-1 0 0,0 0 0,1 0 0,-1 0 0,0 0 0,0-1 0,-1 1 0,1-1 0,-1 1 0,1-1 0,-1 0 0,0 0 0,1 0 0,-1-1 0,0 1 0,0 0 0,-5 1 0,-7 3-1,0-1-1,0 0 1,-20 4 0,14-5 48,0-2-1,-39 0 1,59-2-53,0 1 0,1-1 0,-1 0 0,1 0 0,-1 0-1,1 0 1,-1 0 0,1 0 0,-1 0 0,0 0 0,1 0 0,-1 0 0,1 0 0,-1 0 0,1-1 0,-1 1 0,1 0 0,-1 0 0,1 0 0,-1-1-1,1 1 1,-1 0 0,1-1 0,-1 1 0,1 0 0,0-1 0,-1 1 0,1-1 0,-1 1 0,1-1 0,0 1 0,0-1 0,-1 1 0,1-1 0,0 1-1,0-1 1,-1 1 0,1-1 0,0 1 0,0-1 0,0 1 0,0-1 0,0 0 0,0 1 0,0-1 0,0 1 0,0-2 0,1 1-114,-1 0 0,1 0 1,0 0-1,-1 0 1,1-1-1,0 1 0,0 0 1,0 0-1,0 0 0,0 0 1,0 1-1,0-1 1,0 0-1,0 0 0,0 1 1,1-1-1,-1 1 1,0-1-1,0 1 0,3-1 1,30-5-4287,7 2-1644</inkml:trace>
  <inkml:trace contextRef="#ctx0" brushRef="#br0" timeOffset="7007.24">4682 521 5186,'0'0'10835,"-3"-4"-10550,-11-8-281,13 12 3,1 0-1,0 0 1,-1 0 0,1 0-1,0 1 1,-1-1-1,1 0 1,0 0 0,-1 0-1,1 0 1,0 0-1,0 0 1,-1 0 0,1 1-1,0-1 1,-1 0-1,1 0 1,0 0 0,0 1-1,-1-1 1,1 0-1,0 0 1,0 0 0,0 1-1,0-1 1,-1 0 0,1 1-1,0-1 1,0 0-1,0 0 1,0 1 0,-2 5 52,1-1 0,0 1 0,1 0 1,-1 0-1,1 8 0,0-12-48,0-1-1,1 1 1,-1-1 0,0 1-1,0-1 1,1 1 0,-1-1-1,1 0 1,-1 1 0,1-1-1,0 0 1,0 1-1,-1-1 1,1 0 0,0 0-1,0 0 1,0 0 0,0 1-1,0-2 1,1 1 0,-1 0-1,0 0 1,0 0 0,1 0-1,1 0 1,0 0-3,-1 0 1,1 0-1,-1-1 0,1 1 1,-1-1-1,1 1 1,0-1-1,-1 0 0,1 0 1,-1 0-1,1-1 0,0 1 1,-1-1-1,1 1 1,2-2-1,-4 1-3,1 0 1,0 0-1,-1 0 1,1 0-1,-1 0 1,0 0-1,1-1 1,-1 1-1,0 0 1,0-1-1,0 1 1,0-1-1,0 0 1,0 1-1,0-1 1,0 0-1,-1 1 1,1-1-1,-1 0 1,1 0-1,-1 0 1,1-3-1,0-46 79,-1 36-3,0 13-62,0 0 1,0 1 0,0-1 0,0 0-1,0 1 1,0-1 0,0 0 0,-1 1-1,1-1 1,0 0 0,-1 1 0,1-1-1,-1 0 1,0 1 0,0-1 0,0 1-1,1 0 1,-1-1 0,0 1 0,-1-1-1,1 1 1,0 0 0,-2-2 0,-1 2 40,0 0 1,0 0-1,0 0 1,0 0-1,0 1 1,0-1 0,0 1-1,-8 1 1,10-1-55,0 0 1,0 0 0,0 1-1,0-1 1,0 0 0,1 1-1,-1 0 1,0-1-1,0 1 1,0 0 0,1 0-1,-1 0 1,0 0-1,1 0 1,-1 0 0,1 1-1,-1-1 1,1 1-1,-1-1 1,1 1 0,0-1-1,0 1 1,0 0 0,0-1-1,0 1 1,0 0-1,1 0 1,-1 0 0,0 0-1,0 2 1,-1 7 12,0 0 0,1 0 0,0 1 1,1 12-1,0-16 0,1-5-15,-1 0 0,0 1 0,1-1 0,-1 0 0,1 1 0,0-1 0,0 0 0,1 0 0,-1 0 0,1 0 0,-1 0 0,1 0 0,0 0 0,0-1 0,0 1 0,0 0 0,1-1 0,-1 0 0,1 0 0,0 1 0,-1-1 0,1-1 0,0 1 0,0 0 0,0-1-1,0 0 1,0 1 0,1-1 0,3 0 0,7 3-128,1-1 1,0-1-1,-1 0 0,1-1 0,20-1 0,-29-1 86,0 0 1,0 0-1,0-1 1,0 0 0,0 0-1,-1 0 1,1-1-1,-1 0 1,0 0-1,0 0 1,0-1 0,0 1-1,0-1 1,-1 0-1,1-1 1,-1 1-1,0-1 1,-1 0 0,1 0-1,3-7 1,0 0 49,0-1 0,0 0 0,-1-1 1,-1 1-1,-1-1 0,0 0 0,4-23 0,-4-18 460,-3-71 0,-1 65 545,0 59-931,-2-24 617,2 26-640,0-1 0,0 0 0,0 0 0,0 1 0,0-1 0,0 0 0,0 1 0,0-1 0,0 0 0,-1 0 0,1 1 0,0-1 0,-1 1 0,1-1 0,0 0 0,-1 1 0,1-1 0,-1 1 0,1-1 0,-1 1 0,1-1 0,-1 1 0,1-1 0,-1 1 0,1-1 0,-1 1 0,-1-1 0,1 1-57,1 1-1,-1-1 0,0 1 1,0-1-1,1 1 0,-1-1 1,0 1-1,1-1 0,-1 1 1,1 0-1,-1-1 0,0 1 1,1 0-1,0-1 0,-1 1 1,1 0-1,-1 0 0,1 0 0,0-1 1,-1 1-1,1 0 0,0 0 1,0 1-1,-6 23-2,6-24 0,-4 40 71,2 0-1,5 69 1,-2-89-72,2-1 0,0 0 0,1 0 0,12 32 0,-12-41-2,0 0 0,1 0 0,1-1-1,0 1 1,0-1 0,1-1 0,0 1 0,0-1-1,12 11 1,-16-17-23,-1-1 0,1 0-1,0 0 1,0 0-1,-1-1 1,1 1 0,0 0-1,1-1 1,-1 0 0,0 0-1,0 0 1,0 0 0,1 0-1,-1-1 1,0 1-1,1-1 1,-1 0 0,1 0-1,-1 0 1,0-1 0,1 1-1,-1-1 1,6-1 0,-5 0 11,-1 0 0,1 0 0,0 0 0,-1-1 0,1 1 1,-1-1-1,0 0 0,0 0 0,0 0 0,0 0 0,-1-1 1,1 1-1,-1-1 0,0 1 0,0-1 0,0 0 0,2-7 1,2-9 108,-1 0 1,-2-1 0,0 0 0,-1 0 0,-1 0-1,-1-21 1,0 42-91,-1 0-11,0 0 1,1 0 0,-1 0-1,1 0 1,-1 0 0,1 0 0,-1 0-1,0 1 1,1-1 0,-1 0-1,1 0 1,-1 1 0,1-1 0,-1 0-1,1 1 1,-1-1 0,1 0-1,0 1 1,-1-1 0,1 1 0,-1-1-1,1 1 1,0-1 0,-1 1-1,1 0 1,-1 2 2,-1 0 0,1 1 0,1-1-1,-1 0 1,0 0 0,1 1 0,-1-1 0,1 0-1,0 1 1,0-1 0,1 0 0,-1 1 0,1-1-1,0 0 1,-1 1 0,3 3 0,-2-6-14,0 1 1,0 0-1,0 0 1,1 0-1,-1-1 1,1 1-1,-1-1 1,1 1-1,-1-1 1,1 1-1,0-1 1,0 0-1,0 0 1,0 0-1,0 0 1,0 0-1,0 0 1,0-1-1,0 1 1,0-1-1,0 1 1,0-1-1,1 0 1,-1 0-1,3 0 1,-3 0-6,0 0-1,0 0 1,0 0 0,0 0 0,0-1 0,0 1 0,0-1 0,0 1 0,0-1 0,0 0 0,0 0-1,0 0 1,0 0 0,0 0 0,-1 0 0,1 0 0,-1-1 0,1 1 0,0-1 0,-1 1 0,2-3-1,-1 0 17,0 1-1,0-1 1,0 0-1,-1 0 0,0-1 1,0 1-1,0 0 1,0 0-1,0-8 0,0 6 7,0-2 7,-1 1 0,1-1 1,-1 0-1,-1 0 0,-2-15 0,3 22-5,0 0-1,-1-1 0,1 1 1,-1-1-1,0 1 1,1 0-1,-1 0 0,0-1 1,0 1-1,0 0 1,0 0-1,0 0 0,0 0 1,0 0-1,0 0 1,0 0-1,-1 0 0,1 1 1,0-1-1,-1 0 1,1 1-1,0-1 0,-1 1 1,1-1-1,-1 1 1,1 0-1,0 0 0,-1-1 1,1 1-1,-1 0 1,1 0-1,-1 0 0,1 1 1,-1-1-1,1 0 1,-1 1-1,1-1 0,-2 1 1,1 0-8,0 0 1,0 0-1,0 0 0,0 0 1,0 1-1,1-1 0,-1 0 1,0 1-1,1 0 1,-1-1-1,1 1 0,-1 0 1,1 0-1,0-1 0,0 1 1,0 0-1,0 0 0,0 1 1,0-1-1,1 0 1,-1 0-1,1 0 0,-1 0 1,1 4-1,-2 7-23,0 1-1,1 21 1,1-33 26,0 4-23,1 1-1,0-1 0,0 0 0,0 1 0,1-1 0,0 0 1,0 0-1,0 0 0,1 0 0,0-1 0,0 1 0,0-1 0,1 1 1,0-1-1,0 0 0,0 0 0,1-1 0,0 0 0,-1 1 0,2-1 1,-1-1-1,0 1 0,1-1 0,-1 0 0,1 0 0,0-1 0,0 1 1,0-2-1,0 1 0,1 0 0,-1-1 0,0 0 0,1-1 0,-1 1 1,1-1-1,-1-1 0,13-1 0,-17 1 21,0 1 0,0-1-1,0 0 1,1-1 0,-1 1 0,0 0-1,0 0 1,0-1 0,-1 1 0,1-1-1,0 0 1,-1 0 0,1 1 0,-1-1-1,1 0 1,-1 0 0,0 0 0,0-1 0,0 1-1,1-3 1,17-57-11,-12 36 175,-2 13-77,3-18 1200,-7 31-1271,-1 0 0,0 0 0,0 0 0,0 0 0,0-1 0,1 1 0,-1 0-1,0 0 1,0 0 0,0 0 0,1 0 0,-1 0 0,0 0 0,0 0 0,1 0 0,-1-1 0,0 1 0,0 0 0,1 0 0,-1 0-1,0 0 1,0 0 0,0 1 0,1-1 0,-1 0 0,0 0 0,0 0 0,1 0 0,-1 0 0,0 0 0,0 0 0,0 0 0,1 0 0,-1 1-1,0-1 1,0 0 0,0 0 0,0 0 0,1 0 0,-1 1 0,0-1 0,0 0 0,0 0 0,0 0 0,0 1 0,0-1 0,1 0-1,-1 0 1,10 9-86,-5-2 41,-3-6 32,-1 1 1,1 0-1,0 0 0,-1 0 0,0 0 1,1 0-1,-1 1 0,0-1 0,1 3 1,-2-5 96,0-22 50,0 19-135,0 0-1,0 1 0,0-1 0,0 1 1,0-1-1,-1 1 0,1-1 1,-1 1-1,0-1 0,-1-2 0,1 4-10,1 1 0,-1-1 0,0 0 0,0 1 0,0-1 0,0 1 0,0-1 0,1 1 0,-1-1 0,0 1 0,0 0 0,0-1 0,0 1 0,0 0 0,0 0 0,0 0 0,0 0 0,-1 0 0,1 0 0,0 0 0,0 0 0,0 0 0,0 0 0,0 1 0,0-1 0,0 0-1,0 1 1,-1 0 0,1 0-3,0-1-1,-1 1 1,1 0-1,0 0 1,0 0-1,0 0 1,0 1 0,0-1-1,0 0 1,0 0-1,0 1 1,0-1-1,0 0 1,1 1-1,-1-1 1,0 1-1,1-1 1,0 1-1,-1-1 1,1 1-1,0-1 1,0 4-1,-3 41 25,3-40-23,0 5-1,0 0 0,1 0 0,1 0 0,-1 0 0,1 0 0,8 20 0,-9-27-38,1 0 0,0-1 0,0 1 0,0-1 0,0 1 0,1-1 1,0 0-1,-1 0 0,1 0 0,0 0 0,0-1 0,0 1 0,1-1 0,-1 0 0,1 0 0,-1 0 0,1 0 0,0-1 0,0 1 0,-1-1 0,1 0 0,7 1 0,-6-1 23,-1 0-1,1 0 1,-1-1 0,0 0-1,1 1 1,-1-2 0,1 1 0,-1 0-1,1-1 1,-1 0 0,1 0-1,-1-1 1,0 1 0,0-1 0,0 1-1,0-2 1,0 1 0,0 0-1,0-1 1,-1 1 0,1-1-1,-1 0 1,1 0 0,-1-1 0,0 1-1,-1 0 1,4-5 0,12-16 49,-1-1 0,25-46 0,-35 56 39,-1 0-1,-1 0 0,0-1 1,-1 1-1,0-1 0,2-30 1,-5 27 53,3-72 317,-4 82-334,-1 1 1,0-1 0,0 0-1,-1 1 1,0 0 0,0-1 0,-1 1-1,-4-8 1,7 15-81,0 0 0,-1 0 0,1 0 0,-1 0 1,1 0-1,-1 0 0,1 0 0,-1 1 0,0-1 0,1 0 0,-1 0 0,0 1 0,0-1 0,1 0 1,-1 1-1,0-1 0,0 1 0,0-1 0,0 1 0,0-1 0,0 1 0,-1 0 0,2 0-21,-1 0-1,0 0 0,0 1 0,1-1 1,-1 0-1,0 1 0,1-1 0,-1 0 0,0 1 1,1-1-1,-1 1 0,1-1 0,-1 1 1,0 0-1,1-1 0,0 1 0,-1-1 1,1 1-1,-1 0 0,1-1 0,-1 2 0,-1 4-15,0-1-1,0 1 1,0 0-1,1 0 1,-2 11-1,2 1 27,1 1 0,1-1 0,1 1 0,0-1 0,1 0 0,9 29 0,48 99-281,-39-98-250,-11-24-935,-5-8-5302</inkml:trace>
  <inkml:trace contextRef="#ctx0" brushRef="#br0" timeOffset="7288.84">5655 327 5330,'0'0'14276,"8"-1"-13008,141-2 1564,-98 3-4558,-16-1-4679,-53 2 3097,-4-1-1564</inkml:trace>
</inkml:ink>
</file>

<file path=xl/ink/ink5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04.583"/>
    </inkml:context>
    <inkml:brush xml:id="br0">
      <inkml:brushProperty name="width" value="0.05" units="cm"/>
      <inkml:brushProperty name="height" value="0.05" units="cm"/>
      <inkml:brushProperty name="color" value="#F6630D"/>
    </inkml:brush>
  </inkml:definitions>
  <inkml:trace contextRef="#ctx0" brushRef="#br0">0 1 8148,'0'0'5762</inkml:trace>
</inkml:ink>
</file>

<file path=xl/ink/ink5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10.338"/>
    </inkml:context>
    <inkml:brush xml:id="br0">
      <inkml:brushProperty name="width" value="0.05" units="cm"/>
      <inkml:brushProperty name="height" value="0.05" units="cm"/>
      <inkml:brushProperty name="color" value="#F6630D"/>
    </inkml:brush>
  </inkml:definitions>
  <inkml:trace contextRef="#ctx0" brushRef="#br0">50 272 6355,'0'0'9820,"-6"1"-9465,5-1-310,-1 1-1,0-1 0,0 1 1,0 0-1,1-1 0,-1 1 0,0 0 1,1 0-1,-1 0 0,0 0 1,1 0-1,-1 1 0,1-1 1,0 0-1,-3 3 0,3 0 53,-1-1-1,0 1 1,1-1-1,-1 1 0,1 0 1,0-1-1,0 1 1,0 7-1,-2 12 151,2-1 0,3 41 1,-2-61-239,0 0 1,1 0-1,-1 0 0,0-1 1,1 1-1,0 0 1,-1 0-1,1-1 1,0 1-1,0-1 1,0 1-1,0 0 1,0-1-1,0 0 0,1 1 1,-1-1-1,0 0 1,1 0-1,-1 1 1,3 0-1,-1 0 14,1-1 1,-1 1-1,1-1 0,0 0 0,-1 0 1,1 0-1,0-1 0,-1 1 0,8-1 1,-5 1-2,-1-2 1,1 1-1,-1-1 0,0 1 1,1-1-1,-1-1 1,0 1-1,0-1 1,0 0-1,0 0 1,0-1-1,0 1 1,-1-1-1,7-5 1,-6 3 55,-1 0 0,1-1 0,-1 1 0,-1-1 0,1 0 0,-1-1-1,0 1 1,-1 0 0,1-1 0,1-9 0,-1 1 355,-1-1-1,0 0 1,-1-22 0,-1 37-393,0 30-358,0-27 318,-1 0-1,1 0 0,1 1 0,-1-1 1,0 0-1,0 0 0,1 0 0,-1 1 1,1-1-1,0 0 0,0 0 0,-1 0 1,1 0-1,1 0 0,-1 0 0,0 0 1,0 0-1,3 1 0,-2-1 1,1 0 0,0-1 0,0 1 0,0-1 0,0 0-1,0 0 1,0 0 0,0-1 0,0 1 0,0-1 0,0 1 0,6-1-1,-5 0 0,1 1 0,-1-1 0,0 0 0,0 0 0,0-1 0,0 1 0,1-1-1,-1 0 1,0 0 0,0-1 0,0 1 0,-1-1 0,1 0 0,5-3 0,-7 3 0,0 0 0,0-1 1,0 1-1,0-1 1,0 0-1,0 1 0,-1-1 1,1 0-1,-1 0 0,0 0 1,0 0-1,0-1 0,0 1 1,-1 0-1,1 0 1,-1 0-1,0-1 0,0 1 1,0-4-1,0 0 15,0 0-1,-1 0 1,0 0-1,0 0 1,0 0 0,-1 0-1,0 0 1,0 1-1,-5-10 1,6 14-10,-1 0 0,1 0 0,0 0 0,-1 0 0,1 0 0,-1 1 0,0-1 0,0 1 0,0-1 0,0 1 0,0 0 0,0 0 0,0 0 0,0 0 0,0 0 0,0 0 0,0 0 0,-1 1 0,1-1 0,0 1 0,-1 0 0,1 0 0,0-1 0,-1 1 0,1 1 0,0-1 0,-1 0 0,1 1 0,0-1 0,0 1 0,-1-1 0,1 1 0,-3 2 0,3-2-9,-1 1 1,1-1-1,-1 1 0,1 0 0,0 0 0,-1 0 1,1 0-1,0 1 0,1-1 0,-1 0 0,0 1 1,1-1-1,-1 1 0,1 0 0,0 0 0,0-1 1,0 1-1,0 0 0,-1 6 0,-1 5-4,1 1 0,-1 24 0,2-28 14,1 0-1,0 0 0,0 0 0,2 0 0,-1 0 1,1 0-1,1 0 0,5 14 0,-5-19-5,0 0 0,1 0 1,-1-1-1,1 1 0,0-1 0,0 0 0,1-1 0,-1 1 0,1-1 1,0 1-1,1-2 0,-1 1 0,1 0 0,-1-1 0,11 4 0,-3-2 19,-1-1-1,2-1 1,-1 0-1,0-1 1,0 0-1,1-1 1,-1-1-1,15-1 1,-26 1-18,1 0 0,1 0 0,0 0 1,-1-1-1,1 1 0,-1-1 1,1 0-1,-1 0 0,0-1 1,1 1-1,-1-1 0,0 1 0,0-1 1,0 0-1,0 0 0,4-4 1,-2 2 0,-1-1 0,0 0 1,0-1-1,0 1 0,-1 0 1,1-1-1,-2 0 0,4-6 1,0-5 2,-1 0 1,-1 0 0,0 0 0,-2 0-1,2-29 1,-2 12 62,-1-80 61,-2 101 24,0 0 1,-1 0-1,0 1 1,-1-1-1,-1 1 1,-7-20-1,11 31-104,-1 1 0,1-1 0,0 0 1,-1 0-1,1 0 0,-1 0 0,1 0 0,-1 1 0,1-1 0,-1 0 0,0 0 0,1 1 0,-1-1 0,0 1 1,1-1-1,-1 0 0,0 1 0,0-1 0,-1 0 0,2 2-39,-1-1 0,1 0 0,-1 0 0,1 0 0,-1 0 0,1 1 0,-1-1 0,1 0 0,-1 0-1,1 1 1,-1-1 0,1 0 0,0 1 0,-1-1 0,1 1 0,0-1 0,-1 0 0,1 1 0,0-1 0,0 1 0,-1-1 0,1 1 0,0-1 0,0 1 0,-10 38-72,5-3 75,2 0 0,2 1 0,1-1-1,5 38 1,-3-62-1,0 1 1,1-1-1,0 0 1,1 0-1,0 0 0,1-1 1,1 1-1,0-1 0,10 15 1,-12-21-15,0 1 0,0-1 0,0 0 0,1-1 0,0 1 0,0-1 1,0 0-1,1 0 0,-1 0 0,1-1 0,0 1 0,0-2 0,0 1 0,0-1 0,1 0 1,-1 0-1,0 0 0,1-1 0,8 1 0,-11-2-3,1 1 0,0-1 0,-1-1 0,1 1 0,0 0 0,-1-1 0,1 0 0,-1 0 0,1 0 0,-1-1 1,1 0-1,-1 0 0,0 0 0,0 0 0,0 0 0,0-1 0,0 0 0,-1 0 0,1 0 0,-1 0 0,0 0 0,1-1 0,-2 0 0,1 1 0,4-9 0,0 0 5,0-1 0,-1 0 0,-1 0 0,0 0 0,0 0 0,-2-1 0,0 0 0,3-21 0,-3-11 56,-3-57-1,0 70-52,0 21 41,0 1 0,0-1 1,-2 0-1,1 0 1,-1 1-1,-1-1 1,0 1-1,0-1 0,-1 1 1,-8-14-1,12 25-40,0 0 1,0 0-1,0 0 0,0 0 1,0 0-1,0 0 0,0 0 0,0-1 1,0 1-1,0 0 0,0 0 1,0 0-1,0 0 0,0 0 1,-1 0-1,1 0 0,0 0 0,0 0 1,0-1-1,0 1 0,0 0 1,0 0-1,0 0 0,0 0 0,-1 0 1,1 0-1,0 0 0,0 0 1,0 0-1,0 0 0,0 0 0,0 0 1,-1 0-1,1 0 0,0 0 1,0 0-1,0 0 0,0 0 0,0 0 1,0 0-1,0 0 0,-1 0 1,1 0-1,0 0 0,0 1 0,0-1 1,0 0-1,0 0 0,0 0 1,0 0-1,0 0 0,-1 0 0,1 0 1,0 0-1,0 0 0,0 0 1,0 1-1,0-1 0,0 0 0,0 0 1,0 0-1,0 0 0,0 0 1,0 0-1,0 1 0,0-1 0,-3 15-25,1 19-58,3 19 92,2-1 1,13 74-1,-12-103-10,2 0 0,0-1-1,1 0 1,2 0 0,0-1 0,1 0-1,1 0 1,14 19 0,5-12-196,-10-21-1997,-20-7 1910,1 0 1,0 0-1,-1 0 1,1 0-1,-1 0 0,1 0 1,-1 0-1,1-1 1,0 1-1,-1 0 0,1 0 1,-1-1-1,1 1 1,-1 0-1,1-1 0,-1 1 1,1-1-1,-1 1 1,0-1-1,1 1 1,-1-1-1,1 1 0,-1-1 1,0 1-1,0-1 1,1 1-1,-1-1 0,0 0 1,7-21-9381</inkml:trace>
  <inkml:trace contextRef="#ctx0" brushRef="#br0" timeOffset="314.27">1121 35 14086,'0'0'12521,"-2"-6"-12113,-4-10-326,3 27-59,1 47 58,2-42 16,5 218 592,-1-195-700,2 0 0,1-1 0,24 74 0,-30-109-124,0-1-1,0 0 1,0 1-1,0-1 0,0 0 1,0 0-1,1 0 0,-1 0 1,0 0-1,1 0 0,2 2 1,-2-3-221,-1 0 1,1 0-1,0-1 1,0 1-1,-1-1 1,1 1-1,0-1 1,0 1-1,0-1 1,-1 0 0,1 0-1,0 0 1,0 0-1,0 0 1,2-1-1,13-2-5465</inkml:trace>
  <inkml:trace contextRef="#ctx0" brushRef="#br0" timeOffset="828.99">1418 261 8084,'0'0'13000,"-3"-3"-12335,3 3-663,0 0 1,0 0-1,-1-1 1,1 1-1,0 0 1,-1 0-1,1 0 1,0-1-1,-1 1 1,1 0-1,0 0 1,-1 0-1,1 0 1,0 0-1,-1 0 1,1 0-1,0-1 1,-1 1-1,1 0 1,-1 0-1,1 1 1,0-1-1,-1 0 1,1 0 0,0 0-1,-1 0 1,1 0-1,0 0 1,-1 0-1,1 1 1,0-1-1,-1 0 1,1 0-1,0 0 1,-1 1-1,1-1 1,0 0-1,0 0 1,-1 1-1,1-1 1,0 0-1,0 1 1,0-1-1,-1 0 1,1 1-1,0-1 1,0 1-1,-9 30 176,3 40 100,5-48-237,0-13-15,0 0-1,1 0 0,0 0 0,1-1 0,2 11 1,-3-18-25,1 0 0,-1 0 0,1 0 1,0 0-1,-1 0 0,1 0 0,0 0 1,0 0-1,1-1 0,-1 1 1,0 0-1,1-1 0,-1 1 0,1-1 1,-1 0-1,1 1 0,-1-1 0,1 0 1,0 0-1,0 0 0,0 0 0,0 0 1,0-1-1,-1 1 0,1 0 1,1-1-1,-1 0 0,4 1 0,-3 0-25,1-1-1,-1 0 1,1 0-1,-1 0 1,1 0-1,-1-1 1,1 1-1,-1-1 1,0 0-1,1 0 1,-1 0-1,0 0 1,1 0-1,-1-1 1,0 0-1,0 0 1,0 0-1,-1 0 1,1 0-1,3-3 1,-2 0 15,0-1 1,0 0-1,-1 1 1,0-1-1,0-1 0,0 1 1,-1 0-1,1-1 1,1-12-1,-1 0 132,-1 1 0,-1-1 0,-1-26 0,0 19 193,0 25-292,0 0-1,0-1 0,0 1 1,0-1-1,0 1 0,0-1 1,0 1-1,-1-1 0,1 1 1,-1 0-1,1-1 0,-1 1 1,1 0-1,-1-1 0,0 1 1,0 0-1,0 0 0,0-1 1,0 1-1,0 0 0,0 0 1,-1-1-1,-1 1-11,0 0 1,0 0-1,1 0 0,-1 0 1,0 0-1,0 1 0,0-1 1,0 1-1,0 0 0,-4 0 1,6 1-18,1 0 1,-1 0-1,1-1 1,-1 1 0,1 0-1,-1 0 1,1 0-1,0 0 1,-1 0-1,1 0 1,0 0-1,0 0 1,0 0 0,0 0-1,0 0 1,0 0-1,0 0 1,0 0-1,0 0 1,0 0 0,0 0-1,1 1 1,5 26-721,11-10-1914,-4-8-3142</inkml:trace>
  <inkml:trace contextRef="#ctx0" brushRef="#br0" timeOffset="2569.77">1559 208 7972,'0'0'14377,"-8"-8"-13654,-25-22-347,32 29-357,0 1-1,1-1 1,-1 0 0,0 1-1,0-1 1,0 1-1,0-1 1,0 1 0,0-1-1,0 1 1,0 0 0,0-1-1,0 1 1,0 0 0,0 0-1,0 0 1,0 0-1,0 0 1,0 0 0,0 0-1,0 0 1,0 0 0,0 0-1,0 0 1,0 1 0,0-1-1,0 0 1,0 1-1,0-1 1,0 1 0,0-1-1,0 1 1,0 0 0,0-1-1,1 1 1,-1 0-1,-1 1 1,-1 2 29,0 0 0,1 0 0,-1 0 0,1 0 0,0 1 0,-1 4 0,1-6 13,-5 24 26,0-1 1,1 1 0,2 0-1,0 0 1,2 0 0,1 0 0,5 46-1,-4-68-78,1 0 0,0 1-1,0-1 1,0 0-1,0 0 1,1 0 0,0 1-1,0-2 1,0 1 0,1 0-1,0 0 1,0-1 0,0 0-1,0 1 1,1-1 0,0 0-1,-1-1 1,1 1 0,1-1-1,-1 0 1,0 0 0,6 3-1,-3-2 0,1-1 0,0 0 0,0-1 0,0 0 0,0 0 0,0 0-1,0-1 1,1 0 0,-1-1 0,0 0 0,1 0 0,-1-1 0,13-2 0,-16 1-8,0 0 0,0 1 0,0-2 0,0 1 0,-1-1 0,1 1 0,-1-1 1,1-1-1,-1 1 0,0-1 0,0 1 0,-1-1 0,1 0 0,-1 0 0,0-1 0,0 1 1,0-1-1,-1 1 0,1-1 0,-1 0 0,0 0 0,1-7 0,2-5 26,0 0 0,-2 0 0,0 0-1,-1-1 1,0-25 0,-2 43-39,2 0-423,1-1 417,-1 1-1,0 0 0,0 0 1,0-1-1,1 0 1,-1 1-1,0-1 1,0 0-1,0 0 1,0 0-1,0 0 1,0 0-1,0-1 1,-1 1-1,1 0 0,0-1 1,-1 0-1,1 1 1,-1-1-1,1 0 1,-1 0-1,0 1 1,0-1-1,0 0 1,0 0-1,0-1 1,0 1-1,0 0 0,0-3 1,1-6 24,0-1 1,-1 1 0,0-1-1,-1-17 1,0 20 33,0 8-28,0 0 0,-1 1 1,1-1-1,0 1 1,-1-1-1,1 1 0,-1-1 1,1 1-1,-1 0 0,1-1 1,-1 1-1,1 0 1,-1-1-1,1 1 0,-1 0 1,0 0-1,1-1 0,-1 1 1,0 0-1,1 0 1,-1 0-1,1 0 0,-1 0 1,0 0-1,1 0 1,-1 0-1,-1 0 0,-20 3-84,20-1 76,0 1 0,0-1 0,-1 0 0,1 1-1,1 0 1,-1-1 0,0 1 0,1 0 0,-1 0 0,1 0 0,0 0-1,0 0 1,0 0 0,0 0 0,0 6 0,-3 52 20,4-46-33,-1-7 22,1-1 0,0 1 1,1-1-1,0 1 0,3 12 0,-3-17-10,0 0-1,0-1 1,1 1-1,-1-1 0,1 1 1,0-1-1,-1 0 1,1 1-1,0-1 1,1 0-1,-1 0 1,0-1-1,0 1 1,1 0-1,-1-1 1,1 1-1,0-1 1,4 2-1,-2-1-17,-1-1-1,1 1 0,-1-1 0,1 0 1,-1 0-1,1 0 0,0-1 1,-1 0-1,1 0 0,0 0 1,-1 0-1,1-1 0,0 0 1,5-1-1,-7 1-3,-1 0 1,1-1-1,-1 1 1,1-1-1,-1 1 0,0-1 1,1 0-1,-1 1 1,0-1-1,0 0 0,0-1 1,-1 1-1,1 0 1,0-1-1,-1 1 1,0 0-1,1-1 0,-1 0 1,0 1-1,0-1 1,0 0-1,-1 1 0,2-7 1,0-7-29,0 1 0,-2-1 1,1 0-1,-3-18 0,2 30 48,0 1 1,-1-1-1,1 1 0,-1 0 0,0-1 1,1 1-1,-2 0 0,1 0 0,0 0 1,0 0-1,-1 0 0,0 0 0,0 0 1,0 0-1,0 0 0,0 1 0,0-1 1,-1 1-1,1 0 0,-1-1 0,1 1 1,-1 0-1,0 1 0,0-1 1,-6-2-1,8 3 2,-1 1 0,0-1-1,1 1 1,-1-1 0,0 1 0,0 0 0,1 0 0,-1 0 0,0 0 0,0 0-1,1 0 1,-1 0 0,0 1 0,0-1 0,1 1 0,-1-1 0,0 1 0,1-1-1,-1 1 1,0 0 0,1 0 0,-1 0 0,1 0 0,-1 0 0,1 0 0,0 1 0,0-1-1,-1 0 1,1 1 0,0-1 0,0 0 0,0 1 0,0-1 0,1 1 0,-1 0-1,0-1 1,1 1 0,-1 0 0,0 3 0,-1 7 37,0 0 0,1 0 1,0 1-1,2 22 0,0-13-11,-1-13-7,1 0 0,-1 0 0,2 0 0,-1-1 0,1 1 0,1 0 0,0-1 0,0 1 1,0-1-1,9 14 0,-9-18-14,0 1 0,0-1 0,0 0 1,1 0-1,0 0 0,0-1 0,0 1 0,0-1 1,0 0-1,0 0 0,1-1 0,0 1 0,-1-1 1,1 0-1,0 0 0,0-1 0,0 1 0,0-1 1,10 1-1,-8-1 16,0-1 0,1 0 0,-1 0 0,0 0 0,0-1 0,0 0 0,0 0 0,13-5 0,-15 3-9,0 1-1,0-1 1,-1 0 0,1 0 0,-1-1 0,0 0 0,0 1-1,0-1 1,0-1 0,-1 1 0,0 0 0,4-7 0,2-3-15,-1-1 0,-1 0 0,0 0 0,-1-1 0,0 1 0,4-24 1,-5 10 3,-1 1 1,0-55 0,-4 51 59,1 7-70,-4-39 0,2 58 44,0-1 0,0 0 0,-1 1 0,0-1 0,0 1 0,0 0 0,-1-1 0,0 1 0,0 0 0,-7-8 0,10 14-29,0-1 0,0 1 0,0 0 0,0 0 0,0 0 0,-1-1 0,1 1 0,0 0 0,0 0 0,0 0 0,0 0 0,-1 0 0,1-1 0,0 1 0,0 0 0,0 0 0,-1 0 0,1 0 0,0 0 0,0 0 0,0 0 0,-1 0 0,1 0 0,0 0 0,0 0 0,-1 0 0,1 0 0,0 0 0,0 0 0,0 0 0,-1 0 0,1 0 0,0 0 0,0 0 0,-1 0 0,1 0 0,0 0 0,0 0 0,0 1 0,0-1 0,-1 0 0,1 0 0,-6 12 4,0 13-104,2 9 114,2 1 0,2 44 0,1-25-5,-1-33-11,2 0 0,0-1 0,0 1 0,7 20 0,-7-33 0,0-1-1,1 1 1,0-1 0,0 1-1,0-1 1,1 0 0,0 0-1,1-1 1,0 1 0,0-1-1,0 0 1,0 0 0,10 7-1,-12-11-6,1 0 0,0 1 0,-1-2 0,1 1-1,0 0 1,0-1 0,0 0 0,0 1 0,1-2-1,-1 1 1,0 0 0,0-1 0,0 0 0,1 0-1,-1 0 1,0-1 0,0 1 0,1-1 0,-1 0-1,0 0 1,0 0 0,0-1 0,0 0 0,0 1-1,-1-1 1,1-1 0,-1 1 0,1 0 0,-1-1 0,1 0-1,-1 0 1,0 0 0,-1 0 0,1 0 0,0-1-1,-1 1 1,3-5 0,1-6-5,-1 0 0,0-1 0,-1 1 0,0-1 0,-1 0 0,1-28 0,-3-96-27,-3 73 28,2 4 402,-12 122-634,7 0 317,8 122 0,-2-173-77,0 0-1,1 1 1,0-1 0,0 0-1,1 0 1,0-1 0,1 1-1,0 0 1,0-1 0,1 0-1,9 13 1,-10-17-24,-1 0 0,1 0 0,1 0 0,-1 0 0,0-1 0,1 0 0,0 0 0,0 0 0,0 0 0,0-1 0,0 0 0,0 0 1,1 0-1,-1-1 0,1 1 0,-1-1 0,1-1 0,-1 1 0,1-1 0,6 0 0,-10-1 22,1 1 0,-1-1 0,0 0 0,0 0 0,0 0 0,0 0 0,0 0 0,0-1 0,0 1 0,0 0-1,-1-1 1,1 1 0,0-1 0,-1 0 0,1 0 0,-1 0 0,0 0 0,0 0 0,1 0 0,-1 0 0,0 0 0,-1 0 0,1 0 0,0 0 0,-1-1 0,1-2 0,2-7 10,0 0 1,-2 0-1,2-21 1,-3-154 351,0 186-283,1 13-248,36 105 118,-27-92 44,-2 0 0,0 1 0,-2-1 0,0 1 0,3 52 0,-9-77 13,0 3-72,0-1 1,0 1 0,0 0-1,0-1 1,-1 1-1,1-1 1,-1 1 0,-2 5-1,2-8-20,0 0 0,0 1-1,0-1 1,0 0 0,-1 0 0,1 0-1,0 0 1,0 0 0,-1-1-1,1 1 1,-1 0 0,1-1 0,-1 1-1,1-1 1,-1 1 0,1-1-1,-1 0 1,1 1 0,-1-1 0,0 0-1,1 0 1,-3 0 0,-46 0-6065,20 0-1026</inkml:trace>
  <inkml:trace contextRef="#ctx0" brushRef="#br0" timeOffset="3273.64">750 1024 6963,'0'0'12779,"-19"-23"-9972,15 19-2670,-2 1 0,1-1 0,0 1 0,-1 1 0,1-1 0,-1 1 0,0 0 0,0 0 0,-7 0 0,7 0-131,-1 1 0,1-1 1,0-1-1,-1 1 0,1-1 1,-6-3-1,12 6 3,0 0 0,0 0 0,0 0 1,0 0-1,0 0 0,0-1 0,0 1 0,0 0 0,-1 0 0,1 0 0,0 0 1,0 0-1,0 0 0,0 0 0,0 0 0,0 0 0,0 0 0,0 0 1,0 0-1,0 0 0,0-1 0,0 1 0,0 0 0,0 0 0,0 0 0,0 0 1,0 0-1,0 0 0,0 0 0,0 0 0,0 0 0,0 0 0,0-1 1,0 1-1,0 0 0,0 0 0,0 0 0,0 0 0,0 0 0,0 0 0,0 0 1,0 0-1,0 0 0,0 0 0,0 0 0,0-1 0,0 1 0,1 0 1,-1 0-1,0 0 0,0 0 0,0 0 0,0 0 0,0 0 0,0 0 0,0 0 1,0 0-1,0 0 0,0 0 0,0 0 0,1 0 0,-1 0 0,0 0 1,0 0-1,0 0 0,0 0 0,0 0 0,10-2 250,266-2-114,-151 6-159,-111-2 13,313-8-98,-266 3-93,0-3-1,-1-2 1,79-25-1,-128 32 159,41-16-45,-48 18 70,-1-1-1,0 0 1,0 1 0,0-1 0,0 0 0,0-1 0,0 1 0,0 0 0,-1-1 0,0 0-1,1 1 1,1-5 0,-3 7-54,-1-1 0,1 0 1,-1 1-1,0-1 0,1 0 0,-1 0 0,0 1 0,0-1 0,0 0 0,0 1 0,1-1 1,-1 0-1,0 0 0,0 1 0,0-1 0,-1 0 0,1 0 0,0 1 0,0-1 0,0 0 1,0 0-1,-1 1 0,1-1 0,0 0 0,-1 1 0,1-1 0,0 1 0,-1-1 0,1 0 1,-1 1-1,1-1 0,-1 1 0,1-1 0,-1 1 0,0-1 0,1 1 0,-1-1 0,1 1 1,-1 0-1,0-1 0,1 1 0,-1 0 0,0 0 0,0 0 0,1-1 0,-1 1 0,-1 0 1,-43-5-4663,36 5 3099,-47-2-6202</inkml:trace>
  <inkml:trace contextRef="#ctx0" brushRef="#br0" timeOffset="3646.15">592 863 4898,'-3'0'16808,"10"1"-16048,266 8 1724,-154-8-2284,558 0 179,-580-5-955,118-19-1,-225 24-4449,-9-2 2210,-2 1 150,-29 0-4415</inkml:trace>
  <inkml:trace contextRef="#ctx0" brushRef="#br0" timeOffset="4942.19">688 846 5475,'-3'-1'15743,"9"0"-15330,413 2 3218,-388 0-3572,196 6 40,334 6 189,-88-13 416,-445 2-674,0 1 0,0 2 0,0 0 0,29 11 0,-21-7-5,58 10 0,103-13 583,-142-7-117,-55 1-360,-22 8-384,-16-1 284,0 0 0,0-3 1,0-1-1,-66-3 0,54 0-25,-389 10 85,0 0-16,327-10-65,-476-9 127,446 4-29,-180-17 77,300 19-178,-36-3-49,57 6 90,4 0-88,308 15 196,-50 0-202,104-12-22,-2-28 173,-273 12-113,62-9 47,198-4-1,-319 26-43,-1 2 0,1 0-1,-1 2 1,0 1 0,0 2-1,32 11 1,-61-18 12,1 0 0,0 1 0,-1-1 0,1 1 0,-1-1 0,1 1 0,-1 0 0,1-1 0,-1 1 0,1 0 0,-1 0 0,0 0 0,1 0 1,-1 0-1,0 1 0,0-1 0,0 0 0,0 0 0,0 1 0,0-1 0,1 3 0,-24-3-2126,-39-1-4716,27 0-1830</inkml:trace>
</inkml:ink>
</file>

<file path=xl/ink/ink5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08.599"/>
    </inkml:context>
    <inkml:brush xml:id="br0">
      <inkml:brushProperty name="width" value="0.05" units="cm"/>
      <inkml:brushProperty name="height" value="0.05" units="cm"/>
      <inkml:brushProperty name="color" value="#F6630D"/>
    </inkml:brush>
  </inkml:definitions>
  <inkml:trace contextRef="#ctx0" brushRef="#br0">0 518 2657,'0'0'11501,"14"7"-10601,-9-3-797,0-1 0,0 0 1,0 0-1,0-1 1,0 0-1,1 1 1,-1-2-1,1 1 1,0-1-1,-1 0 1,1 0-1,0 0 0,0-1 1,0 0-1,-1 0 1,1 0-1,11-3 1,-15 2-95,-1 1-1,1-1 1,0 0 0,-1 0 0,1 0 0,-1 1 0,0-2-1,1 1 1,-1 0 0,0 0 0,1 0 0,-1-1-1,0 1 1,0 0 0,0-1 0,0 1 0,0-1 0,-1 1-1,1-1 1,0 0 0,-1 1 0,1-1 0,-1 0-1,1 1 1,-1-1 0,0-2 0,3-51 294,-4 43-156,2 10-118,-1 0-1,0 0 1,0 0-1,0 0 1,0 0-1,0 0 1,-1 0 0,1 0-1,-1 0 1,1 1-1,-1-1 1,0 0-1,0 0 1,0 0-1,0 1 1,0-1 0,0 0-1,0 1 1,0-1-1,-1 1 1,-1-2-1,0 1 20,0 1 0,-1 0-1,1-1 1,0 2 0,-1-1-1,1 0 1,-1 1 0,1-1-1,-1 1 1,-6 1 0,8-1-49,1 0 1,-1 0 0,1 0 0,-1 0 0,1 1 0,0-1 0,-1 0-1,1 1 1,0-1 0,-1 1 0,1 0 0,0 0 0,0-1 0,-1 1-1,1 0 1,0 0 0,0 0 0,0 0 0,0 0 0,0 0-1,-1 2 1,0 1 0,0 0-1,0-1 0,1 1 1,-1 0-1,1 0 0,0 0 1,-1 7-1,0 6 4,1-1 1,3 31-1,-2-45-2,0 3 2,1 1 0,0-1-1,1 1 1,-1-1-1,1 0 1,0 1 0,1-1-1,-1 0 1,1 0-1,0-1 1,0 1 0,1 0-1,-1-1 1,1 0 0,0 0-1,0 0 1,0 0-1,1-1 1,-1 0 0,1 1-1,6 2 1,-3-2 9,0 0 1,1-1-1,-1 1 0,0-2 1,1 1-1,0-1 1,0-1-1,-1 1 0,1-2 1,0 1-1,0-1 1,17-2-1,-24 1-8,1 0 0,-1 0 1,0 0-1,0 0 0,1-1 0,-1 1 1,0-1-1,0 1 0,0-1 0,0 0 0,-1 0 1,1 0-1,0 0 0,-1 0 0,0 0 0,1 0 1,-1-1-1,0 1 0,0 0 0,1-4 1,16-52 168,-18 53-158,20-101 1904,-20 106-1906,0 0 0,0 0-1,0 0 1,0 0 0,0 0 0,0 0 0,0 0 0,0 0 0,0 0 0,0 1 0,0-1 0,0 0 0,0 0-1,0 0 1,0 0 0,0 0 0,0 0 0,0 0 0,0 0 0,0 0 0,0 0 0,0 0 0,0 0 0,1 0-1,-1 0 1,0 0 0,0 0 0,0 0 0,0 0 0,0 0 0,0 0 0,0 0 0,0 0 0,0 0 0,0 0-1,0 0 1,0 0 0,1 0 0,-1 0 0,0 0 0,0 0 0,0 0 0,0 0 0,0 0 0,0 0 0,0 0-1,0 0 1,0 0 0,0 0 0,0 0 0,0 0 0,0 0 0,0 0 0,0 0 0,0 0 0,1 0 0,-1-1-1,0 1 1,0 0 0,5 13 124,6 21-366,-10-29 315,2 4-110,6 24-388,3 0-1,22 48 0,-33-80 390,-1 0-1,0 0 1,0 0 0,1-1-1,-1 1 1,1 0-1,-1 0 1,1-1 0,-1 1-1,1 0 1,-1-1 0,1 1-1,0 0 1,-1-1-1,1 1 1,0-1 0,0 1-1,-1-1 1,1 1-1,0-1 1,0 0 0,-1 1-1,1-1 1,0 0-1,0 0 1,0 0 0,0 0-1,0 0 1,0 1 0,-1-1-1,1-1 1,0 1-1,0 0 1,0 0 0,0 0-1,0 0 1,-1-1-1,1 1 1,0 0 0,0-1-1,0 1 1,-1 0 0,1-1-1,0 1 1,0-1-1,-1 0 1,1 1 0,-1-1-1,1 1 1,0-1-1,-1 0 1,1 0 0,-1 1-1,1-1 1,0-1 0,3-4 39,-1 0 1,1 0 0,-1 0 0,0 0 0,3-9 0,6-28 230,-9 29 108,1 0 0,0 1 1,1-1-1,0 1 1,13-23-1,-18 36-350,0-1 0,1 1 0,-1 0 0,0 0 0,0-1 0,0 1 1,0 0-1,0 0 0,1 0 0,-1-1 0,0 1 0,0 0 0,1 0 0,-1 0 0,0 0 0,0-1 0,0 1 0,1 0 0,-1 0 0,0 0 0,1 0 0,-1 0 0,0 0 0,0 0 0,1 0 0,-1 0 0,0 0 0,0 0 0,1 0 0,-1 0 0,0 0 0,1 0 0,-1 0 0,0 0 0,0 0 0,1 0 0,-1 0 0,0 0 0,0 0 0,1 1 0,-1-1 0,0 0 0,0 0 0,1 0 0,-1 0 0,0 1 0,0-1 0,0 0 0,1 0 1,-1 1-1,0-1 0,0 0 0,0 0 0,0 1 0,0-1 0,0 0 0,0 0 0,1 1 0,-1-1 0,0 0 0,0 1 0,6 19-172,-6-18 212,10 57-57,-9-44-36,2 0-1,-1 0 1,2 0 0,7 20-1,-10-33 34,0 0 0,1 0 0,-1 0 0,0 0-1,1-1 1,0 1 0,-1-1 0,1 1 0,0-1-1,0 0 1,0 1 0,-1-1 0,1 0 0,1 0 0,-1 0-1,0-1 1,0 1 0,0 0 0,0-1 0,0 1-1,1-1 1,-1 0 0,0 0 0,0 0 0,4 0-1,-3 0-3,1-1-1,0 1 0,-1-1 0,1 1 0,0-1 0,-1 0 0,1 0 0,-1-1 0,1 1 0,-1-1 0,0 0 0,0 1 1,0-1-1,5-4 0,0-4 25,0 0 1,-1 0 0,0-1-1,0 0 1,-1 0 0,-1-1-1,0 0 1,0 0-1,-1 0 1,-1 0 0,0-1-1,1-16 1,0-8 21,-2-1 0,-5-70 0,2 97 33,0-1 0,-1 1-1,0-1 1,-1 1-1,0 0 1,-1 0-1,0 0 1,0 0 0,-1 1-1,-1 0 1,-7-10-1,13 19-45,-1 0 0,1 0-1,-1 0 1,1 1-1,-1-1 1,0 0 0,1 0-1,-1 1 1,0-1 0,0 1-1,0-1 1,1 1-1,-1-1 1,0 1 0,0-1-1,0 1 1,0 0 0,0 0-1,0-1 1,0 1-1,-1 0 1,1 0-11,1 0 0,-1 1 1,0-1-1,0 0 0,1 1 0,-1-1 0,0 1 1,1-1-1,-1 1 0,0-1 0,1 1 1,-1-1-1,1 1 0,-1-1 0,1 1 0,-1 0 1,1-1-1,0 1 0,-1 1 0,-1 3-3,0 0-1,0 1 0,0-1 1,1 1-1,-1 8 1,0 13 36,1 0 1,1 0 0,1 0 0,2-1 0,1 1 0,11 43 0,-11-56-30,1 0 0,0 0 0,1 0 0,1 0-1,0-1 1,1 0 0,0 0 0,1-1 0,0 0 0,1-1 0,1 0 0,-1 0 0,19 12-1,-23-19-12,0 0-1,0 0 0,0-1 1,1 0-1,-1-1 1,1 1-1,0-1 0,-1-1 1,12 2-1,-16-2-4,1-1 1,-1 0-1,1 0 0,-1 0 1,1 0-1,-1 0 0,1-1 1,-1 1-1,1-1 0,-1 0 1,1 0-1,-1 0 0,0 0 0,1 0 1,-1 0-1,0 0 0,0-1 1,0 1-1,0-1 0,0 0 1,0 1-1,0-1 0,-1 0 1,1 0-1,-1 0 0,1 0 1,-1-1-1,1-1 0,5-15 46,-2 0 0,0 0 0,-1 0-1,-1 0 1,-1-1 0,-1 1 0,0-1 0,-4-24 0,3 3 558,-2 22-13,1 19-575,1-1 0,0 1 1,0 0-1,0 0 0,0 0 0,0 0 1,0 0-1,-1 0 0,1 0 0,0 0 1,0 0-1,0 0 0,0 0 0,0 0 0,0 0 1,-1 0-1,1 0 0,0 0 0,0 0 1,0 0-1,0 0 0,0 0 0,-1 0 1,1 0-1,0 0 0,0 0 0,0 0 0,0 0 1,0 0-1,0 0 0,-1 0 0,1 1 1,0-1-1,0 0 0,0 0 0,0 0 1,0 0-1,0 0 0,0 0 0,0 0 1,0 0-1,0 1 0,0-1 0,-1 0 0,1 0 1,0 0-1,0 0 0,0 0 0,0 1 1,0-1-1,0 0 0,0 0 0,0 0 1,-8 33-4,7-18 0,0 0 0,2 0 0,-1 0 0,2 0 0,0 0-1,8 26 1,-9-37-41,1 0-1,-1 0 0,1 0 0,0 0 1,0 0-1,0-1 0,0 1 0,1-1 1,0 1-1,-1-1 0,1 0 0,0 0 1,1 0-1,-1 0 0,0-1 0,1 1 1,0-1-1,-1 0 0,1 0 0,0 0 1,0-1-1,0 1 0,0-1 0,0 0 1,1 0-1,-1 0 0,0-1 0,7 1 0,-7-1 25,0 0 0,0 0-1,0-1 1,0 1-1,0-1 1,0 0-1,0 0 1,0 0-1,-1 0 1,1-1-1,0 1 1,-1-1-1,1 0 1,-1 0-1,1 0 1,-1-1-1,0 1 1,0-1-1,0 0 1,0 0 0,-1 0-1,1 0 1,-1 0-1,0-1 1,0 1-1,0-1 1,0 1-1,-1-1 1,2-5-1,3-5 41,-1 0-1,-1-1 0,-1 1 0,0-1 1,0 0-1,-2 0 0,0 0 0,0 0 1,-2 0-1,-3-26 0,4 40-9,0-1 1,0 1-1,0-1 0,0 1 0,-1-1 1,1 1-1,-1 0 0,1-1 0,-1 1 1,1 0-1,-1 0 0,0-1 0,1 1 1,-1 0-1,0 0 0,0 0 0,0 0 1,0 0-1,0 0 0,0 0 0,0 0 1,-1 0-1,1 0 0,0 1 1,0-1-1,-1 0 0,1 1 0,0-1 1,-1 1-1,1 0 0,-2-1 0,2 3-20,-1 1-1,1-1 0,1 0 1,-1 1-1,0-1 1,1 0-1,-1 1 0,1-1 1,-1 1-1,1-1 0,0 1 1,0-1-1,1 1 1,0 3-1,-1-1 2,0 1-42,0 0 0,1 0-1,0-1 1,0 1 0,1 0 0,0 0-1,0-1 1,0 1 0,0-1-1,1 0 1,0 1 0,0-1-1,0-1 1,1 1 0,0 0 0,0-1-1,0 0 1,0 0 0,1 0-1,-1 0 1,1-1 0,0 1 0,0-1-1,0-1 1,1 1 0,-1-1-1,1 0 1,-1 0 0,1 0 0,0-1-1,0 0 1,0 0 0,-1 0-1,1-1 1,0 0 0,7-1-1,-11 1 45,0-1 0,-1 1 0,1-1 0,0 0 0,-1 0 0,1 0-1,-1 0 1,1 0 0,-1 0 0,0 0 0,1 0 0,-1 0 0,0-1-1,0 1 1,0 0 0,0-1 0,0 1 0,0-1 0,0 0-1,0 1 1,-1-1 0,1 0 0,-1 1 0,1-1 0,-1 0 0,1-2-1,7-57 185,-7 50 7,3-38 1267,-4 48-1112,0 23-418,-1 4 32,0-9 36,1-1 1,1 1-1,0 0 1,1 0-1,6 21 1,-7-34-57,0 0 0,0-1 0,1 0 1,0 1-1,-1-1 0,1 0 0,0 0 0,0 0 1,1 0-1,-1 0 0,1 0 0,0-1 0,-1 1 1,1-1-1,0 0 0,0 0 0,1 0 0,-1 0 1,0 0-1,1-1 0,-1 1 0,1-1 0,-1 0 1,1 0-1,-1 0 0,1-1 0,0 1 0,-1-1 1,8 0-1,-7-1 38,-1 0 1,1 0-1,0 0 1,-1 0-1,0-1 0,1 0 1,-1 1-1,0-1 1,0 0-1,0 0 1,0-1-1,0 1 0,0-1 1,-1 1-1,1-1 1,-1 0-1,0 0 1,0 0-1,0 0 0,0 0 1,-1-1-1,2-3 1,7-13 74,-2 0 0,8-27 1,-15 46-51,1-7 232,1 0 0,-1 0 0,-1-1 0,1 1 0,-1 0-1,-1-1 1,1 1 0,-2-1 0,-1-14 0,2 23-233,0 0 1,-1 0-1,1-1 0,0 1 1,0 0-1,-1 0 0,1 0 1,0 0-1,-1-1 0,1 1 0,0 0 1,0 0-1,-1 0 0,1 0 1,0 0-1,-1 0 0,1 0 1,0 0-1,-1 0 0,1 0 1,0 0-1,-1 0 0,1 0 1,0 0-1,-1 0 0,1 0 0,0 0 1,0 0-1,-1 1 0,1-1 1,0 0-1,-1 0 0,1 0 1,0 0-1,0 1 0,-1-1 1,1 0-1,0 0 0,0 1 1,0-1-1,-1 0 0,1 0 0,0 1 1,0-1-1,0 0 0,0 1 1,0-1-1,0 0 0,-1 1 1,1-1-1,0 0 0,0 0 1,0 1-1,0-1 0,0 0 0,0 1 1,0-1-1,0 0 0,1 1 1,-2 4-22,1-1 0,0 1-1,0-1 1,0 1 0,0-1 0,1 1 0,0-1 0,0 1 0,0-1-1,1 0 1,-1 0 0,1 1 0,3 5 0,-3-8-61,1 1 1,-1-1-1,0 1 1,1-1-1,-1 0 1,1 0-1,0 0 1,0 0-1,0-1 1,0 1-1,0-1 1,0 0-1,0 0 1,0 0-1,1 0 1,-1 0-1,0-1 1,0 1-1,6-1 1,-6 0 24,-1 0 1,1 0 0,-1 0-1,1 0 1,-1 0 0,0 0 0,1-1-1,-1 1 1,1-1 0,-1 0-1,0 0 1,1 0 0,-1 0 0,0 0-1,0 0 1,0-1 0,2-1-1,-2 1 18,1-1 1,-1 0-1,0 0 0,0 0 0,0 0 0,-1-1 0,1 1 0,-1 0 0,0-1 0,0 1 0,1-5 0,1-6 29,-1 0 1,-1 0-1,-1-1 1,-1-15-1,1 2 39,0 24 38,-1 1-1,0 0 1,1-1 0,-1 1-1,-1 0 1,1-1-1,0 1 1,-1 0 0,1 0-1,-1 0 1,0 0 0,0 1-1,0-1 1,-1 0-1,-3-3 1,5 5-45,0 0-1,0 0 1,0 0 0,0 0-1,-1 0 1,1 1 0,0-1-1,-1 0 1,1 1 0,0-1-1,-1 1 1,1-1-1,-1 1 1,1 0 0,-1-1-1,1 1 1,-1 0 0,1 0-1,0 0 1,-1 0 0,1 0-1,-1 0 1,1 1 0,-1-1-1,1 0 1,-1 1 0,1-1-1,0 1 1,-1 0 0,1-1-1,0 1 1,-1 0-1,1 0 1,0 0 0,0 0-1,0 0 1,0 0 0,-2 2-1,-1 2-6,1 1 0,0 0 0,0-1 0,0 1 0,0 0 0,1 0-1,0 0 1,0 1 0,1-1 0,-1 13 0,-1 72 259,3-67-181,0-17-62,0 0-1,1 0 1,0 0-1,0-1 1,0 1-1,1 0 1,0 0 0,0-1-1,1 1 1,0-1-1,0 0 1,0 0-1,1 0 1,7 8-1,-8-10-20,1 0-1,0-1 0,0 1 1,0-1-1,0 0 1,1-1-1,-1 1 0,1-1 1,0 1-1,0-2 0,0 1 1,0 0-1,0-1 1,0 0-1,0 0 0,0 0 1,1-1-1,-1 0 1,9-1-1,-14 1-86,1 0 0,0 0 0,-1 0 0,1 0 0,0 0-1,-1-1 1,1 1 0,0 0 0,-1-1 0,1 1 0,-1 0 0,1-1 0,-1 1 0,1-1 0,-1 1 0,1-1-1,-1 1 1,1-1 0,-1 1 0,1-1 0,-1 1 0,0-1 0,1 0 0,-1 1 0,0-1 0,1 1 0,-1-1 0,0 0-1,0-1 1,1-23-4459,-1 17 2178,0-23-8826</inkml:trace>
  <inkml:trace contextRef="#ctx0" brushRef="#br0" timeOffset="171.6">1302 0 7171,'0'0'7396</inkml:trace>
  <inkml:trace contextRef="#ctx0" brushRef="#br0" timeOffset="388.86">576 360 8628,'0'0'5667,"103"-36"-5395,-46 30-272,7-5 0,5-4-2594,12 2-6354</inkml:trace>
</inkml:ink>
</file>

<file path=xl/ink/ink5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05.313"/>
    </inkml:context>
    <inkml:brush xml:id="br0">
      <inkml:brushProperty name="width" value="0.05" units="cm"/>
      <inkml:brushProperty name="height" value="0.05" units="cm"/>
      <inkml:brushProperty name="color" value="#F6630D"/>
    </inkml:brush>
  </inkml:definitions>
  <inkml:trace contextRef="#ctx0" brushRef="#br0">92 183 9396,'0'0'13028,"-2"-6"-12279,-5-11-585,6 25-131,12 41-48,76 199-15,-85-239 640,-2-1-5013,-1-7 4156,1-1 0,0 0 0,-1 0 0,1 1 1,0-1-1,-1 0 0,1 0 0,-1 0 0,1 0 0,-1 1 0,1-1 0,0 0 0,-1 0 0,1 0 1,-1 0-1,1 0 0,-1 0 0,1 0 0,-1 0 0,1 0 0,0 0 0,-1-1 0,1 1 0,-1 0 1,1 0-1,0 0 0,-1 0 0,1-1 0,-1 1 0,1 0 0,0 0 0,-1-1 0,1 1 0,0 0 1,-1-1-1,1 1 0,-17-16-6756</inkml:trace>
  <inkml:trace contextRef="#ctx0" brushRef="#br0" timeOffset="980.07">22 367 4034,'0'0'11816,"-5"-4"-11408,3 2-368,-12-9 27,13 6-29,10 3 44,55 9 223,-33-2-375,0-2 1,0-2-1,0 0 1,37-5-1,-62 3 7,-1-1 1,0 1-1,1-1 0,-1 1 0,0-1 0,0-1 0,0 1 1,-1-1-1,1 0 0,-1 0 0,1 0 0,-1-1 1,0 1-1,0-1 0,0 0 0,-1 0 0,0-1 0,1 1 1,-1-1-1,-1 1 0,1-1 0,-1 0 0,0 0 1,0 0-1,2-11 0,1-7 86,-1-1 0,-1 1 0,-1-1-1,-1-36 1,-1 45 109,0 6 217,0-1 0,-1 0-1,0 1 1,-1-1 0,0 1 0,0 0 0,-4-10 0,6 19-338,0 0 1,0 0 0,0 0 0,0 0 0,0-1 0,0 1 0,0 0 0,0 0 0,0 0 0,0 0 0,0 0 0,0 0 0,0 0 0,0-1 0,0 1 0,0 0 0,0 0 0,0 0 0,0 0 0,-1 0 0,1 0 0,0 0 0,0 0-1,0 0 1,0-1 0,0 1 0,0 0 0,0 0 0,0 0 0,-1 0 0,1 0 0,0 0 0,0 0 0,0 0 0,0 0 0,0 0 0,0 0 0,-1 0 0,1 0 0,0 0 0,0 0 0,0 0 0,0 0 0,0 0 0,0 0 0,0 0-1,-1 0 1,1 0 0,0 0 0,0 1 0,0-1 0,0 0 0,0 0 0,0 0 0,0 0 0,0 0 0,-1 0 0,1 0 0,0 0 0,0 0 0,0 0 0,0 1 0,0-1 0,0 0 0,0 0 0,0 0 0,0 0 0,-4 11 404,1 19-395,1 0-1,1 1 1,1-1-1,9 57 0,-6-66-34,2-1 0,0 0 0,1-1 0,1 1 0,0-1 0,2 0 0,0-1 0,15 22 0,-23-39-44,-1 0 0,1-1 0,-1 1 0,1 0 0,-1 0 0,1 0 0,0 0-1,0-1 1,-1 1 0,1 0 0,0-1 0,0 1 0,0 0 0,-1-1 0,1 1-1,0-1 1,0 1 0,0-1 0,0 0 0,0 1 0,0-1 0,0 0 0,0 0-1,2 0 1,-2 0 30,0-1 0,-1 1 0,1-1 0,0 1 0,0-1 0,0 0 0,0 0 0,-1 1-1,1-1 1,0 0 0,-1 0 0,1 0 0,0 0 0,-1 0 0,1 1 0,-1-1 0,0 0-1,1-2 1,3-9 28,-2 1 0,1 0 0,0-15 0,-2 19-62,3-23 193,-3 15 308,1 0-1,1 0 1,0 0 0,8-24-1,-11 39-430,1 0-1,-1-1 1,0 1-1,0 0 1,0-1-1,0 1 1,0 0-1,0-1 1,1 1 0,-1 0-1,0-1 1,0 1-1,0 0 1,1 0-1,-1-1 1,0 1-1,1 0 1,-1 0-1,0-1 1,0 1-1,1 0 1,-1 0-1,0 0 1,1-1 0,-1 1-1,0 0 1,1 0-1,-1 0 1,1 0-1,-1 0 1,0 0-1,1 0 1,-1 0-1,1 0 1,8 10 232,3 20 18,-12-29-257,16 61-128,-13-45 21,1 0-1,0-1 1,1 0 0,1 0 0,1 0 0,8 16 0,-14-30 60,1 0 0,-1 0-1,0-1 1,1 1-1,-1 0 1,1 0 0,-1-1-1,1 1 1,0-1-1,0 0 1,0 1 0,0-1-1,0 0 1,0 0 0,0 0-1,0 0 1,0 0-1,0-1 1,1 1 0,-1-1-1,0 1 1,0-1-1,1 0 1,-1 0 0,0 0-1,1 0 1,-1 0-1,0-1 1,0 1 0,1-1-1,2-1 1,0 1 37,-1-2 0,-1 1 0,1 0 0,0-1 0,0 1 0,-1-1 0,0 0 0,1-1 0,-1 1 0,0 0 0,-1-1 0,1 0 0,-1 1 0,5-9 0,-1-5 332,-1-1 1,0 1-1,-1-1 0,-1 0 0,-1-1 1,0 1-1,-1 0 0,-2-22 0,1 33-49,-1 7-271,0 0 0,1 0 1,-1 0-1,0 0 0,1 0 0,-1 0 0,1 0 1,-1 1-1,0-1 0,1 0 0,-1 0 1,1 1-1,-1-1 0,1 0 0,-1 1 0,1-1 1,-1 0-1,1 1 0,-1-1 0,1 1 1,-1-1-1,1 1 0,-1 0 0,-1 2-5,1 0 0,-1 0 0,0 0-1,1 1 1,0-1 0,-1 1 0,2-1 0,-1 1-1,0 0 1,1-1 0,-1 1 0,1 0 0,0-1-1,0 1 1,1 0 0,-1-1 0,1 1 0,0 3-1,0-5-56,0 1-1,0-1 1,0 0-1,0 0 0,0 0 1,0 0-1,1 0 0,-1 0 1,1-1-1,-1 1 0,1 0 1,0-1-1,-1 1 0,1-1 1,0 1-1,0-1 0,0 0 1,0 0-1,0 0 1,0 0-1,1 0 0,-1 0 1,0-1-1,0 1 0,1-1 1,-1 0-1,0 1 0,5-1 1,-5 0-15,0 0 1,0 0 0,1 0-1,-1 0 1,0-1-1,0 1 1,1-1 0,-1 1-1,0-1 1,0 0-1,0 0 1,0 0 0,0 0-1,0 0 1,0 0 0,0-1-1,-1 1 1,3-2-1,-2 0 21,0 0-1,0 0 0,0-1 0,-1 1 0,1 0 0,-1-1 0,0 1 0,0-1 0,0 1 1,-1-1-1,1-3 0,1-7 53,0 1 0,-2-1 0,1 0 0,-4-25 0,3 37 75,-1-1-1,1 1 0,0-1 0,-1 0 0,1 1 0,-1 0 0,0-1 0,0 1 0,0-1 0,0 1 1,0 0-1,-1 0 0,1 0 0,-1-1 0,1 1 0,-1 1 0,0-1 0,0 0 0,0 0 1,0 1-1,0-1 0,0 1 0,0 0 0,-1-1 0,1 1 0,0 0 0,-1 0 0,1 0 0,-1 1 1,1-1-1,-1 1 0,1-1 0,-4 1 0,5 0-60,0 1 1,-1-1-1,1 0 0,0 1 1,0-1-1,-1 1 0,1-1 1,0 1-1,0 0 0,0 0 1,-1-1-1,1 1 0,0 0 1,0 0-1,0 0 0,1 0 1,-1 0-1,0 0 0,0 1 0,0-1 1,1 0-1,-1 0 0,1 0 1,-1 1-1,1-1 0,-1 0 1,1 1-1,0-1 0,0 0 1,-1 2-1,-3 49 227,4-45-199,-1 9 62,1 0 1,1 1 0,1-1 0,0 0-1,6 23 1,-6-32-85,0-1-1,1 0 0,0 0 1,0 0-1,0-1 1,1 1-1,-1-1 1,1 0-1,1 0 1,-1 0-1,1 0 1,-1-1-1,2 0 1,-1 0-1,0 0 1,9 4-1,-13-7-62,1 0 0,-1 0 0,0-1 0,1 1 0,-1-1 0,1 1 0,-1-1 0,1 0 0,-1 1 0,1-1 0,-1 0 0,1 0 0,-1 0 0,1 0 0,-1 0 0,1-1 0,-1 1 0,1 0 0,-1-1 0,1 1 0,-1-1 0,3 0 0,0-2-768,-1 0 1,1 0-1,0 0 1,-1-1-1,6-6 1,-2 2-1146,24-25-9587</inkml:trace>
</inkml:ink>
</file>

<file path=xl/ink/ink5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00.509"/>
    </inkml:context>
    <inkml:brush xml:id="br0">
      <inkml:brushProperty name="width" value="0.05" units="cm"/>
      <inkml:brushProperty name="height" value="0.05" units="cm"/>
      <inkml:brushProperty name="color" value="#F6630D"/>
    </inkml:brush>
  </inkml:definitions>
  <inkml:trace contextRef="#ctx0" brushRef="#br0">48 37 4178,'0'0'12790,"0"-4"-11843,-1-9 115,-1 12-334,-5 23 35,-5 42 149,7-27-465,-2 15 165,0 56 0,4-103-197,3-5-398,0 1 0,-1-1 0,1 0-1,0 0 1,0 0 0,-1 1 0,1-1-1,0 0 1,0 1 0,0-1 0,-1 0 0,1 0-1,0 1 1,0-1 0,0 0 0,0 1 0,0-1-1,-1 0 1,1 1 0,0-1 0,0 0 0,0 1-1,0-1 1,0 0 0,0 1 0,0-1-1,0 0 1,0 1 0,1-1 0,-1 0 0,0 1-1,0-1 1,0 0 0,0 1 0,0-1 0,1 0-1,-1 1 1,0-1 0,0 0 0,0 0-1,1 1 1,-1-1 0,0 0 0,0 0 0,1 0-1,-1 1 1,0-1 0,1 0 0,-1 0 0,0 0-1,1 1 1,10 1 99,0 0-1,0-1 0,1 0 1,-1-1-1,0 0 0,12-2 1,6 1-59,8-3 34,1-1 1,-1-2-1,68-22 1,-29 8-42,-18 5-94,-29 7-194,-1 1 0,2 1 1,-1 2-1,40-2 0</inkml:trace>
  <inkml:trace contextRef="#ctx0" brushRef="#br0" timeOffset="296.2">620 160 5202,'0'0'13457,"-2"-14"-12283,-5-43-232,5 43-441,-4 33-127,6-15-337,0 0-1,0 0 1,1-1 0,-1 1 0,1-1-1,0 1 1,0-1 0,0 1 0,1-1-1,-1 1 1,1-1 0,0 0 0,3 5-1,0-2 13,1 1-1,1-1 1,0 0-1,7 5 1,3 2 13,-12-8-54,0-1 1,0 1-1,-1 0 1,0 0-1,0 0 0,0 1 1,5 8-1,-8-12-39,-1-1-1,1 1 1,0-1-1,0 1 1,-1 0-1,1-1 0,-1 1 1,0 0-1,1 0 1,-1-1-1,0 1 1,0 0-1,0 0 1,0-1-1,0 1 0,-1 0 1,1 0-1,0-1 1,-1 1-1,1 0 1,-1-1-1,0 1 1,0 0-1,1-1 1,-1 1-1,0-1 0,0 1 1,0-1-1,-1 0 1,1 1-1,0-1 1,-3 2-1,-9 5-1448,-1 0 0,-28 12 0,16-8-3193,10-6-2491</inkml:trace>
  <inkml:trace contextRef="#ctx0" brushRef="#br0" timeOffset="1153.8">1363 92 4178,'0'0'10578,"-8"-12"-9818,-29-37-157,35 47-546,-1 0 1,1 1-1,-1-1 0,1 1 0,-1 0 0,1 0 0,-1 0 0,0 0 0,1 0 0,-1 0 1,0 1-1,0-1 0,1 1 0,-1 0 0,0 0 0,0 0 0,0 0 0,0 0 0,1 1 1,-1-1-1,0 1 0,-5 1 0,8-2-37,-5 2 30,1 0 0,0 0-1,0 0 1,0 1 0,0-1 0,0 1-1,0 0 1,1 0 0,-1 0-1,1 1 1,0-1 0,0 1 0,0 0-1,1 0 1,-1 0 0,1 0-1,0 0 1,0 0 0,0 1 0,1-1-1,-2 6 1,-1 4 31,1 1 0,0-1 0,1 1 0,1-1 0,0 23 0,1-33-65,1 0 1,0-1 0,0 1-1,1 0 1,-1-1-1,1 1 1,-1 0 0,1-1-1,0 0 1,1 0 0,-1 1-1,0-1 1,1 0 0,0-1-1,0 1 1,-1 0-1,2-1 1,-1 0 0,4 3-1,10 6 72,1-1 1,26 10-1,-30-13-72,-3-3-42,2 2 45,-1 0 0,0 0 0,0 1 0,14 10 0,-23-14-59,0-1 1,-1 1-1,1 0 1,-1-1-1,1 1 1,-1 0-1,0 0 1,0 1-1,0-1 1,-1 0 0,1 1-1,-1-1 1,0 1-1,0-1 1,0 1-1,0 0 1,-1-1-1,1 1 1,-1 0-1,0 5 1,-1-7 24,1 1 1,-1-1-1,0 1 1,0-1-1,0 1 1,0-1-1,-1 1 1,1-1-1,-1 0 0,1 0 1,-1 0-1,0 0 1,0 0-1,0 0 1,0 0-1,0-1 1,0 1-1,-1-1 1,1 1-1,0-1 0,-1 0 1,1 0-1,-1 0 1,1 0-1,-5 0 1,-6 3 16,-1 0-1,1-1 1,-21 1 0,26-3-10,-3 0 23,0 0 0,0 0-1,0-2 1,0 1 0,-15-3-1,26 3-28,-1 0 0,1 0 1,0 0-1,-1 0 0,1 0 0,0 0 0,-1-1 0,1 1 0,0 0 0,-1 0 0,1 0 0,0 0 1,-1-1-1,1 1 0,0 0 0,-1 0 0,1 0 0,0-1 0,0 1 0,-1 0 0,1-1 1,0 1-1,0 0 0,0 0 0,0-1 0,-1 1 0,1 0 0,0-1 0,0 1 0,0-1 1,0 1-1,0 0 0,0-1 0,0 1 0,0 0 0,0-1 0,0 1 0,0 0 0,0-1 1,0 1-1,0 0 0,0-1 0,0 1 0,0 0 0,0-1 0,1 1 0,-1 0 0,0-1 1,1 0-1,-1 0-147,1 0 0,0 0 1,0 0-1,0 0 1,0 0-1,0 1 1,1-1-1,-1 0 0,0 0 1,0 1-1,0-1 1,1 1-1,1-1 0,28-5-2755,10-2-1624</inkml:trace>
  <inkml:trace contextRef="#ctx0" brushRef="#br0" timeOffset="3886.6">1634 280 7523,'0'0'11227,"-2"-6"-10899,1 2-305,-7-14 57,4 17-56,-1 13-20,4-7 8,0 0 1,0-1-1,0 1 0,1 0 1,-1 0-1,1 0 0,1 0 1,-1 0-1,1-1 0,-1 1 1,3 7-1,-2-10-8,0 0-1,0 0 0,1-1 0,-1 1 1,0 0-1,1-1 0,-1 1 0,1-1 1,-1 1-1,1-1 0,0 0 1,0 0-1,0 1 0,-1-1 0,1-1 1,0 1-1,0 0 0,0 0 0,1-1 1,-1 1-1,0-1 0,0 1 1,0-1-1,0 0 0,0 0 0,0 0 1,3-1-1,-4 1 3,0 0 1,1 0-1,-1 0 1,0 0-1,0 0 1,1-1-1,-1 1 1,0-1 0,0 1-1,0-1 1,0 1-1,0-1 1,1 1-1,-1-1 1,0 0-1,0 0 1,-1 0-1,1 0 1,0 1-1,0-1 1,0 0-1,0-2 1,1 0 1,0 0 1,-1-1 0,0 1-1,0 0 1,0-1 0,0 1-1,0-1 1,0-3 0,0-9 19,-1 0 0,-4-28 1,4 41-22,0 0 43,-1 0-1,0 0 0,0 0 1,1 0-1,-2 0 1,1 0-1,0 0 1,-1 0-1,1 1 1,-1-1-1,0 0 1,0 1-1,0 0 1,0-1-1,0 1 0,-1 0 1,1 0-1,0 0 1,-1 0-1,0 1 1,1-1-1,-1 1 1,0-1-1,0 1 1,0 0-1,0 0 1,0 0-1,0 1 0,0-1 1,0 1-1,-1 0 1,1 0-1,0 0 1,0 0-1,0 0 1,-4 1-1,5 0-47,1 0-1,-1-1 1,0 1-1,1 0 1,-1 0-1,1 0 0,-1 0 1,1 0-1,-1 0 1,1 0-1,0 1 1,0-1-1,0 1 1,0-1-1,0 0 1,0 1-1,0 0 1,0-1-1,0 1 0,1-1 1,-1 1-1,1 0 1,-1 0-1,1-1 1,-1 4-1,-2 51 51,3-50-24,-1 3-26,1-1 0,0 1 0,1-1 0,0 0 0,0 1 0,1-1 0,0 0 0,0 0 0,1 0 0,0 0 1,0 0-1,1-1 0,0 1 0,0-1 0,1 0 0,0 0 0,0-1 0,1 1 0,0-1 0,0 0 0,0-1 1,8 6-1,-6-6-74,-1 0 1,1-1 0,0 0 0,1-1-1,-1 1 1,0-1 0,1-1-1,0 0 1,-1 0 0,1-1 0,0 0-1,0 0 1,14-1 0,-20 0 38,0-1 1,0 1-1,-1 0 0,1-1 1,0 0-1,0 1 0,0-1 1,0 0-1,-1-1 0,1 1 1,0 0-1,-1-1 1,1 1-1,-1-1 0,0 0 1,3-3-1,-1 1 14,0-1 0,0 0 1,-1 0-1,1 0 0,-1 0 0,0-1 0,3-8 0,-1-4 35,0 1-1,0-1 0,-2-1 0,2-27 0,-1-12 412,-3-1 0,-7-69 0,1 101 225,5 26-638,0 1-1,0-1 1,0 0-1,0 1 1,0-1-1,0 0 1,0 1 0,0-1-1,0 0 1,-1 1-1,1-1 1,0 0-1,0 1 1,-1-1-1,1 0 1,-1 1 0,1-1-1,0 1 1,-1-1-1,1 1 1,-1-1-1,1 1 1,-1-1-1,1 1 1,-1 0 0,0-1-1,1 1 1,-1 0-1,1-1 1,-2 1-1,1 1-15,0 0-1,0 1 0,0-1 0,0 1 0,1-1 0,-1 1 1,0-1-1,1 1 0,-1-1 0,1 1 0,0-1 1,-1 1-1,1 0 0,0-1 0,0 1 0,0 3 1,0 2-17,-4 23 28,1 0 0,2 1 0,2-1 0,0 0 0,7 35 0,-6-52-10,1-1 0,0 0 0,0 0 0,1 0 0,1-1 0,0 0 0,1 1 1,0-2-1,0 1 0,1-1 0,1 0 0,0 0 0,0-1 0,1 0 0,13 10 1,-16-14-64,1-1 0,0 0 0,0-1 0,1 0 0,-1 0 1,15 3-1,-20-5 49,0 0 1,0-1-1,0 1 1,1-1-1,-1 1 1,0-1-1,0 0 1,1 0-1,-1 0 0,0 0 1,0-1-1,1 1 1,-1 0-1,0-1 1,0 0-1,0 1 1,0-1-1,0 0 1,0 0-1,0 0 1,0-1-1,0 1 1,0 0-1,0-1 0,-1 1 1,1-1-1,2-2 1,0-8 33,1 0 0,-2 1-1,0-2 1,0 1 0,-1 0 0,0-1 0,-1 1-1,-1-1 1,0 1 0,-2-14 0,1-8 38,2 33-39,-1-1 1,0 1-1,-1 0 0,1-1 0,0 1 1,0 0-1,0-1 0,-1 1 1,1 0-1,-1 0 0,1-1 0,-1 1 1,1 0-1,-1 0 0,0 0 1,0 0-1,1-1 0,-1 1 0,0 0 1,0 1-1,0-1 0,0 0 1,-2-1-1,2 2-22,1 0 1,-1 0-1,0 0 0,1 0 1,-1 0-1,0 0 0,0 0 1,1 0-1,-1 0 1,0 0-1,1 1 0,-1-1 1,0 0-1,1 1 0,-1-1 1,1 0-1,-1 1 1,0-1-1,1 0 0,-1 1 1,1-1-1,-1 1 0,1 0 1,-1-1-1,1 1 1,0-1-1,-1 1 0,1-1 1,0 1-1,-1 0 0,1-1 1,0 1-1,0 0 0,0-1 1,-1 1-1,1 0 1,0 0-1,0-1 0,0 1 1,0 0-1,0-1 0,1 2 1,-3 3-11,2 1 0,-1-1 0,1 0 0,0 1 0,0-1 0,0 0 0,1 0 0,1 9 0,-1-13-7,-1 1 0,1 0 1,0-1-1,-1 1 1,1-1-1,0 0 0,0 1 1,0-1-1,1 0 1,-1 1-1,0-1 0,0 0 1,1 0-1,-1 0 1,0 0-1,1 0 0,-1 0 1,1-1-1,-1 1 0,1 0 1,0-1-1,-1 1 1,1-1-1,0 0 0,-1 0 1,1 1-1,0-1 1,-1 0-1,4-1 0,-3 2-4,0-1 0,0 0 0,0-1 1,0 1-1,0 0 0,0-1 0,0 1 0,0-1 0,0 1 0,0-1 0,0 0 0,0 0 0,0 0 0,0 0 0,-1 0 0,1-1 0,0 1 0,2-3 0,-2 1 21,0 0 0,0-1 0,0 0 1,0 1-1,-1-1 0,1 0 0,-1 0 1,0 1-1,1-6 0,0-4 7,-1 0 0,0 0 0,-1-15 0,0 13 79,0 13-78,0 1 1,-1-1 0,1 1 0,-1-1 0,1 1-1,-1-1 1,1 1 0,-1 0 0,0-1-1,0 1 1,1 0 0,-1-1 0,0 1 0,0 0-1,0 0 1,0 0 0,-1 0 0,1 0 0,0 0-1,0 0 1,-1 1 0,1-1 0,0 0-1,-1 1 1,1-1 0,-1 1 0,1-1 0,-1 1-1,1 0 1,-1 0 0,1-1 0,-1 1 0,1 0-1,-1 0 1,1 0 0,-1 1 0,-2-1-1,1 1-6,0-1 0,0 0 0,-1 1 0,1-1 0,0 1 0,0 0 0,0 0 0,0 0 0,0 0-1,0 1 1,0-1 0,0 1 0,0 0 0,0 0 0,1 0 0,-1 0 0,-3 4 0,3 0 3,0-1 0,0 1 1,0 0-1,1 1 1,0-1-1,0 0 1,1 1-1,-1-1 0,1 1 1,1-1-1,-1 1 1,1 0-1,0-1 0,1 1 1,0-1-1,0 1 1,0-1-1,3 9 0,-1-7-9,0-1 0,0 1 0,1-1 0,0 0 0,1 0 0,-1 0 0,1 0 0,1-1 0,-1 0 0,1 0 0,0-1 0,0 1 0,1-1 0,8 5 0,-7-5-216,-1-1 1,1-1-1,0 1 0,0-1 0,1-1 0,-1 1 1,0-2-1,1 1 0,10 0 0,-15-2 165,0 0 0,-1 0-1,1 0 1,0 0 0,0-1 0,0 0-1,-1 0 1,1 0 0,0 0-1,-1 0 1,1-1 0,-1 1 0,1-1-1,-1 0 1,0 0 0,0-1-1,0 1 1,0 0 0,0-1 0,0 0-1,-1 0 1,4-4 0,6-16 586,-1 0 0,-1-1 0,-1 0 1,-2 0-1,6-28 0,-4 16 231,-2 26-387,0 18-263,6 28-305,-8-18 60,0-15 47,-4-11 109,-4-11 132,1 16-111,0 1 1,0 0-1,-1-1 0,1 1 1,-1 0-1,1 0 1,-1 1-1,0-1 1,0 1-1,0-1 1,-5-1-1,7 2-35,0 1 0,0-1 0,-1 1 0,1-1 0,0 1 0,0 0 0,0 0 0,-1-1 0,1 1 0,0 0 0,0 0 0,-1 0-1,1 0 1,0 0 0,0 1 0,-1-1 0,1 0 0,0 1 0,0-1 0,-1 0 0,1 1 0,0 0 0,0-1 0,0 1 0,0-1 0,0 1 0,0 0 0,0 0-1,0 0 1,0 0 0,0 0 0,1 0 0,-2 1 0,-1 6-19,1 1 0,0-1 0,0 1 1,1-1-1,0 1 0,0 0 0,1-1 0,1 1 0,-1 0 0,1-1 0,1 1 0,-1 0 0,1-1 1,1 0-1,0 1 0,0-1 0,1 0 0,5 9 0,-4-11-158,0-1-1,0 1 0,1-1 1,0 0-1,0-1 1,0 0-1,0 0 1,1 0-1,0-1 1,-1 1-1,1-2 1,0 1-1,1-1 1,-1 0-1,0 0 1,1-1-1,-1 0 1,1-1-1,-1 1 1,1-2-1,-1 1 1,1-1-1,10-2 1,-15 2 158,0 0 1,0-1-1,0 1 1,0-1-1,-1 0 1,1 0-1,0 0 1,-1 0-1,0 0 1,1-1 0,-1 1-1,0-1 1,0 1-1,0-1 1,2-5-1,23-51 137,-21 43-76,4-9 291,-2 1-1,-1-1 1,-1-1-1,4-36 1,-3-104 3096,-17 181-3308,6 8-106,1 0 0,1 1-1,0-1 1,2 1 0,1-1 0,6 35 0,-4-42-89,0 0 0,2 0 0,0-1 0,0 1 1,2-1-1,13 23 0,-17-33 35,1 0 0,-1 0-1,1 0 1,0-1 0,1 0 0,-1 1-1,1-2 1,-1 1 0,9 4 0,-10-6 24,0-1 0,0 1 0,0-1 0,1 0 0,-1 0 0,0-1 0,1 1 0,-1-1 0,1 1 0,-1-1 0,1 0 0,-1 0 0,0-1 0,1 1 0,-1-1 0,1 0 0,5-1 0,-6 0 3,0 0-1,0 0 0,-1 1 1,1-2-1,0 1 0,-1 0 0,1-1 1,-1 1-1,1-1 0,-1 1 0,0-1 1,0 0-1,-1 0 0,1 0 0,-1 0 1,1-1-1,-1 1 0,1-4 0,3-8 41,-1-1-1,3-22 0,-5 18 116,0 1 0,-1-1 1,-1 1-1,-4-34 0,4 51-123,0 1-1,0 0 0,-1 0 0,1 0 0,0 0 1,-1 0-1,1 0 0,-1 0 0,0 0 0,1 0 1,-1 0-1,0 1 0,1-1 0,-1 0 0,0 0 0,0 1 1,0-1-1,-1-1 0,1 2-24,1 0-1,-1 0 1,1 0-1,-1 0 1,1 0 0,-1 0-1,1 0 1,-1 0-1,1 0 1,-1 0 0,0 0-1,1 0 1,-1 0-1,1 1 1,-1-1 0,1 0-1,-1 0 1,1 1-1,-1-1 1,1 0 0,0 1-1,-1-1 1,1 0-1,-1 1 1,1-1 0,0 0-1,-1 1 1,1-1-1,0 1 1,-1-1 0,1 1-1,0-1 1,0 1 0,0-1-1,-1 1 1,1-1-1,0 1 1,0-1 0,0 1-1,0-1 1,0 2-1,-2 7-1,0 0 0,0 0 0,1 0 0,1 1-1,0-1 1,0 0 0,0 0 0,1 1 0,1-1-1,0 0 1,0 0 0,4 10 0,-2-8-124,0 0 1,1 0-1,1 0 1,0 0-1,0-1 1,1 0-1,0 0 1,17 16-1,-22-23 0,2 0-1,-1-1 1,0 0-1,0 1 1,1-1-1,-1-1 1,1 1-1,0 0 1,-1-1-1,1 0 1,0 0-1,0 0 1,4 0-1,-6 0 107,0-1 0,0 0 0,0 0 0,0 0 0,0-1 0,0 1 0,0 0-1,-1-1 1,1 1 0,0-1 0,0 0 0,0 1 0,-1-1 0,1 0 0,0 0 0,-1 0-1,1 0 1,-1-1 0,1 1 0,-1 0 0,1-1 0,-1 1 0,0-1 0,0 1-1,0-1 1,0 1 0,1-3 0,5-14 244,0 0-1,-2 0 0,6-37 1,8-25 2044,-19 79-2265,0 1 0,0 0 0,0-1 1,0 1-1,0 0 0,0 0 0,1-1 1,-1 1-1,0 0 0,0-1 0,0 1 1,0 0-1,0 0 0,1-1 0,-1 1 1,0 0-1,0 0 0,0-1 0,1 1 1,-1 0-1,0 0 0,0-1 0,1 1 1,-1 0-1,0 0 0,1 0 0,-1 0 1,0 0-1,0 0 0,1-1 0,-1 1 1,0 0-1,1 0 0,-1 0 0,1 0 1,8 9 61,3 16-31,3 34-494,-12-44 250,0-1 1,1 0 0,1 0 0,0 0-1,9 16 1,-14-29 193,0-1 0,1 1 0,-1-1 0,1 1 0,-1-1 0,1 1 0,-1-1 0,1 1 1,-1-1-1,1 0 0,-1 1 0,1-1 0,0 0 0,-1 1 0,1-1 0,0 0 0,-1 0 0,1 1 0,0-1 0,-1 0 0,1 0 0,0 0 0,0 0 0,-1 0 0,1 0 0,0 0 0,-1 0 0,1 0 0,0-1 0,-1 1 0,1 0 0,0 0 0,-1 0 0,1-1 0,0 1 1,-1-1-1,2 0 0,0 0 19,0 0 1,0-1-1,-1 1 1,1-1-1,0 1 1,-1-1 0,1 0-1,-1 0 1,3-3-1,21-58 347,-22 53-145,1-1 0,0 1 1,0-1-1,1 1 1,0 0-1,1 1 1,0-1-1,1 1 1,13-15-1,-20 24-201,1 0 0,-1 0 0,0 0 1,0-1-1,0 1 0,1 0 0,-1 0 0,0 0 0,0 0 1,1 0-1,-1 0 0,0-1 0,0 1 0,1 0 0,-1 0 1,0 0-1,0 0 0,1 0 0,-1 0 0,0 0 0,0 0 0,1 0 1,-1 0-1,0 0 0,0 0 0,1 0 0,-1 1 0,0-1 1,0 0-1,1 0 0,-1 0 0,0 0 0,0 0 0,1 0 0,-1 1 1,0-1-1,0 0 0,0 0 0,1 0 0,-1 1 0,7 14 7,0 27-133,-6-35 127,3 28-47,-3-21-99,0 0-1,2 0 1,-1-1-1,7 18 1,-8-28-85,0 0 1,0 0-1,1-1 1,-1 1-1,1 0 1,0 0-1,-1-1 1,1 0-1,0 1 1,1-1-1,-1 0 1,0 0-1,1 0 1,-1 0-1,1 0 1,-1 0-1,1-1 1,0 0-1,0 1 1,0-1-1,0 0 1,0 0-1,0-1 1,4 2-1,-3-2-390,1 1 0,0-1-1,-1 0 1,1 0 0,0-1 0,-1 1-1,1-1 1,0 0 0,-1 0 0,1-1-1,-1 1 1,0-1 0,1 0 0,-1 0-1,0 0 1,6-5 0,19-24-1182,-6-9 3638,-20 34-1039,-1 0 0,0 0-1,-1 0 1,1-1 0,-1 1 0,0-1-1,-1 1 1,1-1 0,-1 1 0,-2-11-1,2 15-603,0-1-1,-1 1 0,1 0 0,-1 0 0,1-1 1,-1 1-1,0 0 0,0 0 0,0 0 0,0 0 1,0 0-1,0 0 0,-1 0 0,1 0 0,-1 0 1,1 1-1,-1-1 0,0 0 0,1 1 0,-1 0 1,0-1-1,0 1 0,0 0 0,0 0 0,0 0 1,-1 0-1,1 0 0,0 1 0,0-1 1,-1 1-1,-3-1 0,2 1-143,0-1 0,1 1 1,-1 1-1,0-1 0,0 0 0,1 1 0,-1 0 1,0 0-1,1 0 0,-1 0 0,1 1 0,-1-1 1,1 1-1,0 0 0,-1 0 0,-4 4 0,4-2-40,1 0 1,-1 1-1,1-1 0,0 1 0,0 0 0,0 0 0,0 0 0,1 0 0,0 1 0,-2 9 0,2-8-3,0-1-1,0 1 1,1 0-1,0 0 1,0 0-1,1 1 1,0-1-1,0 0 1,1 0-1,2 10 1,-2-15-44,0 1 0,0 0 0,0 0 0,0-1 0,1 1 0,-1-1 0,1 1 0,-1-1-1,1 0 1,0 0 0,0 0 0,0 0 0,1 0 0,-1 0 0,0 0 0,1 0 0,-1-1 0,1 0 0,-1 1 0,1-1 0,0 0 0,-1 0 0,1 0 0,0-1 0,0 1 0,0-1 0,3 1 0,-3-1-49,1 1 0,0-1-1,-1 0 1,1 0 0,0 0 0,-1 0-1,1-1 1,0 1 0,-1-1 0,1 0 0,-1 0-1,1 0 1,-1-1 0,1 1 0,-1-1 0,0 0-1,0 0 1,4-3 0,-4 1 81,1 0 0,-1 0 0,0 0 0,0 0 0,-1-1 0,1 1 0,-1-1 1,0 0-1,0 0 0,0 0 0,-1 0 0,2-7 0,0-11 599,-1-1 0,0 1 0,-3-25 0,1 19 315,0 28-856,1 0 0,-1 0 1,0 0-1,0 0 0,0 0 0,0 0 0,0 0 0,0 0 0,0 0 1,0 0-1,-1 1 0,1-1 0,0 0 0,0 0 0,-1 0 0,1 0 1,-1 0-1,1 0 0,0 1 0,-1-1 0,0 0 0,1 0 0,-1 1 1,1-1-1,-1 0 0,0 1 0,-1-2 0,1 3-44,0-1-1,0 1 0,0-1 1,1 1-1,-1-1 0,0 1 1,0 0-1,1 0 0,-1-1 1,0 1-1,1 0 1,-1 0-1,1 0 0,-1 0 1,1 0-1,-1 0 0,1-1 1,0 1-1,-1 0 0,1 0 1,0 0-1,0 0 1,0 0-1,0 0 0,0 2 1,-4 32 19,1-1 0,2 1 0,2 0 0,1-1 0,10 57 0,55 165-105,-63-245-542,-1 1 1,0 0 0,-1 0-1,0 0 1,0 15-1,-2-24 129,0-3 363,0 0 0,0 1 0,0-1-1,0 0 1,0 0 0,0 1 0,0-1-1,0 0 1,0 0 0,0 0 0,0 1-1,0-1 1,0 0 0,0 0 0,0 1-1,0-1 1,0 0 0,0 0 0,0 1-1,-1-1 1,1 0 0,0 0 0,0 0-1,0 1 1,0-1 0,-1 0 0,1 0-1,0 0 1,0 0 0,0 1 0,-1-1-1,1 0 1,0 0 0,0 0 0,0 0-1,-1 0 1,1 0 0,0 0 0,0 0-1,-1 0 1,1 0 0,0 0 0,0 0-1,-1 0 1,1 0 0,0 0 0,0 0-1,-1 0 1,1 0 0,0 0 0,0 0-1,-1 0 1,1 0 0,0 0 0,-18 0-7032</inkml:trace>
  <inkml:trace contextRef="#ctx0" brushRef="#br0" timeOffset="4305.2">2509 162 5250,'0'0'12502,"98"13"-12406,-61-6-96,12 3-304,8-8-2641,12-2-4931</inkml:trace>
</inkml:ink>
</file>

<file path=xl/ink/ink5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48.597"/>
    </inkml:context>
    <inkml:brush xml:id="br0">
      <inkml:brushProperty name="width" value="0.05" units="cm"/>
      <inkml:brushProperty name="height" value="0.05" units="cm"/>
      <inkml:brushProperty name="color" value="#F6630D"/>
    </inkml:brush>
  </inkml:definitions>
  <inkml:trace contextRef="#ctx0" brushRef="#br0">2 196 1313,'0'0'14820,"0"0"-14775,0 0 0,0-1 0,0 1 0,0 0 0,-1 0 0,1 0 0,0 0 0,0 0 0,0 0 0,0-1 0,0 1 0,0 0 0,0 0 0,0 0 1,-1 0-1,1-1 0,0 1 0,0 0 0,0 0 0,0 0 0,0 0 0,0-1 0,0 1 0,0 0 0,0 0 0,0 0 0,0 0 0,0-1 0,0 1 0,0 0 0,0 0 0,0 0 0,1 0 1,-1-1-1,0 1 0,0 0 0,0 0 0,0 0 0,0 0 0,0 0 0,0-1 0,0 1 0,1 0 0,-1 0 0,0 0 0,0 0 0,0 0 0,0 0 0,0 0 0,1-1 0,-1 1 0,0 0 1,0 0-1,0 0 0,0 0 0,1 0 0,-1 0 0,0 0 0,0 0 0,0 0 0,1 0 0,233 15 382,5 0-2983</inkml:trace>
  <inkml:trace contextRef="#ctx0" brushRef="#br0" timeOffset="765.2">123 440 3073,'0'0'10749,"-4"-8"-9996,-11-28-25,14 35-717,0 0-1,0 0 1,1-1-1,-1 1 1,0 0 0,0 0-1,-1 0 1,1 0 0,0 1-1,0-1 1,0 0-1,-1 0 1,1 1 0,0-1-1,-1 1 1,1-1 0,0 1-1,-1-1 1,1 1-1,-1 0 1,1 0 0,0 0-1,-1 0 1,1 0-1,-1 0 1,1 0 0,-1 0-1,1 0 1,-3 1 0,-1 0 3736,7-1-3045,44-1-305,-1-1 1,57-11 0,-84 9-402,0 0-1,0 0 1,-1-2 0,1 0 0,-1-1-1,-1-1 1,1 0 0,22-17 0,-22 5-49,-17 20-123,0-1 0,1 0 0,-1 0 0,1 0 1,-1 1-1,0-1 0,0 0 0,0 0 0,1 0 0,-1 0 0,0 0 0,0 1 0,0-1 0,0 0 0,0 0 0,0 0 1,-1 0-1,1 0 0,0 0 0,0 1 0,-1-1 0,1 0 0,0 0 0,-1 0 0,1 1 0,-1-1 0,0-1 0,-13-7-5474</inkml:trace>
  <inkml:trace contextRef="#ctx0" brushRef="#br0" timeOffset="1092.33">305 73 8884,'0'0'11886,"2"-12"-10971,6-38-491,-8 49-419,0 1 0,0 0 0,0-1 0,0 1 0,0-1 0,0 1 0,0 0 0,0-1 0,0 1 0,0-1 0,0 1 0,0 0 0,0-1 0,1 1 0,-1 0 0,0-1 0,0 1 0,0 0 0,1-1 0,-1 1 0,0 0 0,0 0 0,1-1 0,-1 1 0,0 0 0,1 0 0,-1-1 0,0 1 0,1 0 0,-1 0 0,0 0 0,1 0 0,-1-1 0,1 1 0,-1 0 0,0 0 0,1 0 0,-1 0 0,0 0 0,1 0 0,-1 0 0,1 0 0,-1 0 0,0 0 0,1 0 0,-1 0 0,1 1 0,-1-1 0,13 13 16,-11-10-15,35 40 163,54 70 143,-82-100-297,0 1 1,-1 0-1,-1 1 0,0-1 0,0 1 0,6 25 0,-12-36-9,0 0 1,0 0-1,-1 0 1,1 0-1,-1 0 0,0 0 1,0 0-1,0 0 1,-1 1-1,1-1 0,-1 0 1,-2 6-1,1-7-2,1 0 0,-1-1-1,0 1 1,0-1 0,0 1 0,0-1-1,0 0 1,-1 0 0,1 0-1,-1 0 1,1 0 0,-1-1 0,0 1-1,0-1 1,1 0 0,-6 2 0,-22 6-336,23-7-64,-1 0-1,1 0 0,0 0 1,0 1-1,0 1 0,-12 6 0,11-1-3671</inkml:trace>
  <inkml:trace contextRef="#ctx0" brushRef="#br0" timeOffset="1292.3">841 427 12550,'0'0'10661,"-3"-15"-11110,-5 21-2512,2 9-4626</inkml:trace>
</inkml:ink>
</file>

<file path=xl/ink/ink5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3:54.465"/>
    </inkml:context>
    <inkml:brush xml:id="br0">
      <inkml:brushProperty name="width" value="0.05" units="cm"/>
      <inkml:brushProperty name="height" value="0.05" units="cm"/>
      <inkml:brushProperty name="color" value="#F6630D"/>
    </inkml:brush>
  </inkml:definitions>
  <inkml:trace contextRef="#ctx0" brushRef="#br0">14 453 1377,'0'0'14612,"-1"-10"-12715,-4-48 3489,5 61-5234,-2 141 2,2 94 53,3-174-127,19 109-1,-20-274 241,-18-193-343,0 0-212,15 289 239,1 0 0,1 0 1,-1-1-1,1 1 1,0 0-1,0 0 1,0 0-1,1 0 0,0 0 1,0 1-1,0-1 1,5-7-1,-5 10-9,-1 0 0,1 0 0,0 1 0,0-1 0,0 1 0,0-1 0,1 1 0,-1 0 0,0 0 0,0 0 0,1 0 0,-1 0 0,1 1 0,-1-1 0,1 1 0,-1-1 0,1 1 0,-1 0 0,1 0 0,-1 0 0,1 0 0,-1 1 0,1-1 0,-1 1 0,1-1 0,-1 1 0,1 0 0,2 1 0,1 1-2,1 0 1,-1 0 0,0 1 0,0-1-1,-1 1 1,1 1 0,-1-1-1,0 1 1,0 0 0,0 0 0,-1 0-1,1 1 1,-1 0 0,-1 0 0,1 0-1,-1 0 1,0 0 0,0 1 0,-1-1-1,2 9 1,2 7-4,-2-1-1,0 1 0,-2 0 1,0 0-1,-2 25 1,0-37-16,-1-1 0,-1 1-1,0-1 1,0 0 0,-1 0 0,0 0 0,0 0-1,-1 0 1,0-1 0,-1 1 0,0-1 0,0 0 0,-1-1-1,0 1 1,0-1 0,-1 0 0,0-1 0,0 0 0,0 0-1,-13 8 1,19-14 23,0 1-1,0-1 0,0 1 1,0-1-1,0 0 1,0 1-1,1-1 0,-1 0 1,0 0-1,0 0 0,0 0 1,0 0-1,0 0 1,0 0-1,0 0 0,0 0 1,0 0-1,0 0 1,0 0-1,0-1 0,0 1 1,0 0-1,0-1 0,0 1 1,0-1-1,0 1 1,1-1-1,-1 1 0,0-1 1,0 0-1,1 0 1,-1 1-1,0-1 0,1 0 1,-1 0-1,0 1 0,1-1 1,-1 0-1,1 0 1,0 0-1,-1 0 0,1 0 1,0 0-1,0 0 1,-1 0-1,1 0 0,0-1 1,-1-2 25,0-1-1,1 1 1,0-1 0,-1 0 0,1 1 0,1-1 0,-1 1 0,1-1 0,1-5 0,-2 10-21,1 0 0,-1-1 0,0 1 0,1 0 0,-1 0 0,1 0 0,-1-1 0,0 1 0,1 0 0,-1 0 0,1 0 0,-1 0 0,1 0 0,-1 0 0,0 0 0,1 0 0,-1 0 0,1 0 0,-1 0 0,1 0 0,-1 0 0,0 0 0,1 0 0,-1 0 0,1 0 0,-1 1 0,1-1 0,-1 0 0,0 0 0,1 1 0,-1-1 0,0 0 0,1 0 0,-1 1 0,1 0 0,14 10-32,-3 6 3,-1 0 1,15 35-1,-17-33 47,1 0 1,1-1-1,19 26 1,-27-39-49,1-1-1,0 0 1,0 0 0,0-1 0,1 1 0,-1-1-1,1 0 1,0 0 0,0 0 0,0-1 0,0 1-1,0-1 1,1 0 0,-1-1 0,0 0-1,1 0 1,10 1 0,-13-1 2,0-1 1,1 0-1,-1 0 0,1 0 1,-1-1-1,1 1 0,-1-1 0,1 0 1,-1 0-1,0 0 0,1 0 1,-1-1-1,0 1 0,3-3 1,-3 1 17,0 0 0,0 0 0,0 0 0,0-1 0,-1 1 0,0-1 0,0 1 1,0-1-1,0 0 0,0 0 0,1-4 0,4-17 12,0 0 0,4-30 0,-7 30 164,1 0 0,12-33 0,-16 56-155,-1 1 1,1-1-1,-1 1 1,1 0-1,-1-1 1,1 1-1,0-1 1,0 1-1,0 0 1,0 0-1,0-1 1,0 1-1,0 0 1,0 0-1,0 0 1,0 0-1,1 0 1,-1 0 0,0 0-1,1 1 1,-1-1-1,1 0 1,-1 1-1,3-1 1,-2 1-13,0 0 0,0 1 0,0-1 0,0 0 0,0 1 0,0 0 0,-1-1 0,1 1 0,0 0 0,0 0 0,0 0 0,-1 0 0,1 1 0,-1-1 0,1 0 0,1 2 0,4 5-61,0 0 1,0 1-1,-1-1 0,0 1 1,9 18-1,-15-26 49,0-1 1,0 1-1,0-1 1,0 1-1,1-1 1,-1 0-1,0 1 1,0-1-1,0 1 0,0-1 1,1 1-1,-1-1 1,0 1-1,0-1 1,1 0-1,-1 1 1,0-1-1,1 0 0,-1 1 1,0-1-1,1 0 1,-1 1-1,1-1 1,-1 0-1,0 0 0,1 1 1,-1-1-1,1 0 1,-1 0-1,1 0 1,1-15 22,-9-26 72,5 37-73,-1 1-1,1 0 1,-1 0 0,1 1 0,-1-1 0,0 0-1,0 1 1,0 0 0,0-1 0,0 1 0,-1 1-1,1-1 1,-1 0 0,1 1 0,-1 0-1,0 0 1,1 0 0,-1 0 0,-7 0 0,8 0-10,0 1 1,-1 0 0,1 0 0,0 0 0,0 0 0,-1 1 0,1-1-1,0 1 1,0 0 0,0 0 0,-1 0 0,1 0 0,0 1 0,1-1-1,-1 1 1,0 0 0,0 0 0,1 0 0,-1 0 0,1 0-1,-1 0 1,1 1 0,-2 2 0,-1 5 5,0-1-1,1 1 1,0 0-1,1 0 1,0 1-1,0-1 1,1 1-1,1 0 1,0-1-1,0 1 1,1 0 0,0 0-1,1-1 1,4 21-1,-4-25-27,1 1-1,0-1 1,0 1-1,1-1 1,0 0-1,0 0 1,0 0 0,1 0-1,0-1 1,8 11-1,-8-13-40,0 0 0,0 0 0,0 0-1,0 0 1,0-1 0,0 1 0,1-1 0,-1 0 0,1-1-1,-1 1 1,1-1 0,0 0 0,0 0 0,-1 0-1,1-1 1,7 1 0,-10-1 48,0 0-1,1-1 1,-1 1 0,0 0-1,0-1 1,0 1-1,0-1 1,0 0-1,0 0 1,-1 1 0,1-1-1,0 0 1,0-1-1,0 1 1,-1 0 0,1 0-1,-1-1 1,3-2-1,-1 0 8,0-1 0,0 1-1,-1 0 1,0-1-1,0 1 1,0-1-1,2-8 1,0-7 72,-1 0 0,-1-1 1,-1-20-1,0 34-28,-1-87 1061,-4 84-826,-1 10-173,-3 18-211,6 4 123,0 0 1,1 0-1,1 0 0,4 23 1,-4-39-77,1 1 1,0-1 0,1 1-1,0-1 1,0 0 0,0 0-1,0 0 1,1 0 0,0 0-1,0 0 1,1-1 0,0 0-1,0 1 1,0-1 0,0-1-1,1 1 1,0-1 0,5 5-1,-7-7 42,-1-1-1,0 1 1,1-1-1,-1 0 1,1 0-1,-1 0 1,1 0-1,-1 0 1,1 0-1,0-1 1,0 1-1,-1-1 1,1 0-1,0 1 1,0-1-1,-1-1 1,1 1-1,0 0 1,0-1-1,-1 1 1,1-1-1,0 0 1,-1 0-1,1 0 1,-1 0-1,1 0 1,-1-1-1,0 1 1,1-1-1,-1 0 1,0 1-1,0-1 1,0 0-1,0 0 1,-1 0-1,1-1 1,0 1-1,-1 0 1,1-1-1,-1 1 1,0-1-1,0 1 1,1-6-1,4-11 295,-1-1-1,-1 0 0,2-28 1,-4 28 145,1 0 0,1 0 0,8-26 0,-12 46-407,0-1 1,0 1 0,0-1 0,1 1-1,-1 0 1,0-1 0,0 1 0,0-1 0,0 1-1,1-1 1,-1 1 0,0 0 0,0-1-1,1 1 1,-1 0 0,0-1 0,1 1 0,-1 0-1,0 0 1,1-1 0,-1 1 0,0 0-1,1 0 1,-1-1 0,1 1 0,-1 0 0,0 0-1,1 0 1,-1 0 0,1 0 0,-1 0-1,1-1 1,0 1 0,11 11 42,5 23-115,-16-32 83,13 33-96,-9-21-130,0-1 0,1 0-1,1-1 1,0 1-1,9 12 1,-15-24 196,-1 0 0,1-1 0,0 1-1,-1 0 1,1 0 0,0 0 0,-1-1-1,1 1 1,0-1 0,0 1 0,0 0 0,0-1-1,0 1 1,-1-1 0,1 0 0,0 1 0,0-1-1,0 0 1,0 0 0,0 1 0,0-1 0,0 0-1,0 0 1,0 0 0,0 0 0,0 0 0,0 0-1,0-1 1,0 1 0,0 0 0,0 0 0,0-1-1,0 1 1,0-1 0,0 1 0,0-1 0,0 1-1,-1-1 1,1 1 0,0-1 0,0 0 0,-1 1-1,1-1 1,0 0 0,-1 0 0,1 1-1,-1-1 1,1 0 0,-1 0 0,1-1 0,4-6-68,0-1-1,-1 1 1,-1-1 0,4-9 0,-7 17 78,18-74 475,-16 58-300,2 1 0,0-1 0,1 1 0,7-18 0,-12 34-167,1 1-1,-1-1 0,0 0 1,0 1-1,0-1 1,0 0-1,0 0 0,0 1 1,1-1-1,-1 0 0,0 1 1,0-1-1,0 0 0,1 0 1,-1 1-1,0-1 1,0 0-1,1 0 0,-1 1 1,0-1-1,1 0 0,-1 0 1,0 0-1,1 0 1,-1 0-1,0 0 0,1 1 1,-1-1-1,0 0 0,1 0 1,-1 0-1,0 0 1,1 0-1,-1 0 0,0 0 1,1 0-1,-1 0 0,0 0 1,1-1-1,-1 1 0,0 0 1,1 0-1,-1 0 1,0 0-1,1 0 0,-1-1 1,0 1-1,0 0 0,1 0 1,-1-1-1,0 1 1,0 0-1,1 0 0,-1-1 1,0 1-1,0 0 0,0 0 1,0-1-1,1 1 1,-1 0-1,0-1 0,0 1 1,0 0-1,0-1 0,0 1 1,0 0-1,0-1 0,9 35-152,-7-24 190,3 10 14,-1-2-171,1-1 0,1 0 0,13 30 1,-17-44 1,0 1 0,0 0 1,1-1-1,-1 1 1,1-1-1,0 1 1,0-1-1,0 0 1,0-1-1,1 1 1,-1 0-1,1-1 1,-1 0-1,1 0 1,0 0-1,0 0 0,0 0 1,0-1-1,0 0 1,1 0-1,4 1 1,-5-2 20,1 1 1,-1-1-1,1 0 1,-1 0-1,1-1 1,-1 1-1,1-1 1,-1 0-1,0 0 0,1 0 1,-1-1-1,0 0 1,0 1-1,0-1 1,0-1-1,0 1 1,4-4-1,-2 0 53,0-1 0,0 1-1,-1-1 1,0 0 0,0 0-1,-1-1 1,0 1 0,4-12-1,-3 7 216,-2 0-1,1 0 0,-2 0 1,1 0-1,-2-1 1,0 1-1,0-1 1,-1 1-1,-2-16 0,1 26-111,1 0 0,-1 0 0,1 0 0,-1 0 0,0-1 0,1 1 0,-1 0 0,0 1 0,-1-1 1,1 0-1,0 0 0,0 0 0,-1 1 0,1-1 0,-1 1 0,0-1 0,1 1 0,-1-1 0,0 1 0,0 0 0,0 0 0,0 0 0,0 0 0,0 0 0,0 1 0,0-1 0,-3 0 0,-5-1 34,-1 0 1,1 1-1,-1 0 0,-11 1 1,20 0-93,-1 0-3,0 0-1,0 1 1,0-1 0,0 1 0,0 0-1,0 0 1,0 0 0,0 0 0,0 1-1,0-1 1,1 1 0,-1 0 0,1-1-1,-1 1 1,1 1 0,0-1 0,0 0-1,-1 0 1,2 1 0,-1-1 0,0 1 0,0 0-1,1-1 1,-1 1 0,1 0 0,0 0-1,0 0 1,0 0 0,-1 6 0,-1 7-2,0 0 1,1 1-1,1-1 0,0 20 1,1-32-30,1 0 1,-1 0-1,1 0 1,0 1-1,0-1 1,0 0-1,1 0 1,0-1-1,-1 1 1,1 0-1,1 0 1,-1-1-1,0 1 0,1-1 1,0 0-1,0 0 1,0 0-1,0 0 1,0 0-1,0-1 1,1 1-1,4 1 1,-3-1-276,0 0-1,0-1 1,1 1 0,0-1 0,-1-1 0,1 1 0,0-1 0,0 0 0,0 0 0,0-1-1,0 1 1,0-1 0,0-1 0,0 1 0,8-3 0,-12 3 258,0-1 0,0 0 0,0 0 0,-1 0 0,1 0 0,0-1 1,0 1-1,-1 0 0,1-1 0,-1 1 0,1-1 0,-1 0 0,0 1 0,0-1 0,1 0 1,-1 0-1,0 0 0,-1 0 0,1 0 0,0 0 0,0 0 0,-1 0 0,0 0 1,1-4-1,1-7 392,-1 0-1,-1-26 1,-1 23 277,2 2 34,-2 0 1,0 1-1,0-1 0,-2 0 1,0 1-1,0-1 0,-1 1 0,0 0 1,-10-19-1,12 66-380,3-11-273,1 0-1,0 1 1,2-1 0,1 0-1,1-1 1,1 1 0,16 33-1,10 11 29,44 66 1,-43-79-66,-3 1 0,24 60 1,-51-105-126,0-1-1,-1 1 1,0 0 0,-1 0 0,0 0 0,0 1-1,-1-1 1,-1 0 0,0 1 0,-1 11-1,1-22 139,-1 1 1,0 0-1,1-1 0,-1 1 0,1 0 0,-1-1 0,0 1 0,1-1 0,-1 1 0,0-1 0,0 1 0,1-1 0,-1 0 1,0 1-1,0-1 0,0 0 0,0 0 0,1 0 0,-1 0 0,0 1 0,0-1 0,0 0 0,0 0 0,0 0 0,1-1 1,-3 1-1,-24-4-12,21 1 34,0 0-1,0 0 1,0 0 0,0-1 0,1 0 0,0 0-1,0 0 1,0-1 0,0 1 0,0-1-1,1 0 1,0-1 0,0 1 0,1-1 0,0 0-1,-1 0 1,2 0 0,-1 0 0,-1-8-1,-2-4 13,2-1-1,0 1 1,1-1 0,1-1-1,0-28 1,3 14 27,1 0 0,2 1 0,2-1 0,0 1 0,3 0 0,0 1 0,21-46 0,-8 31 5,-15 34 58,0-1 0,-1 0 0,0-1 1,-1 1-1,-1-1 0,0 0 0,-1 0 0,1-19 1,-4 34-4,1 32-328,-1-29 207,0 0 0,1 1 1,-1-1-1,1 0 1,0 0-1,0 0 1,0 0-1,1 0 1,-1 0-1,0 0 0,1-1 1,0 1-1,0 0 1,0-1-1,0 0 1,0 1-1,1-1 1,-1 0-1,0 0 1,5 2-1,-3-1-39,1-1 0,0 1 0,0-1 0,-1-1 0,1 1 0,0-1 0,0 0 0,1 0 0,-1 0 0,0-1 0,0 1 0,6-2 0,-9 1 49,1-1 1,-1 0-1,1 0 0,-1 0 0,0 0 0,0 0 0,0 0 0,1-1 0,-1 1 0,0-1 0,-1 1 1,1-1-1,0 0 0,0 0 0,-1 0 0,1 0 0,-1 0 0,1 0 0,-1 0 0,0 0 0,0-1 1,0 1-1,0 0 0,-1-1 0,1 1 0,0-5 0,2-5-13,-1-1 0,0 1 0,0-26 0,-1 33 32,-1-1 1,0 1-1,-1 0 1,1-1 0,-1 1-1,0 0 1,-1-1-1,1 1 1,-3-6-1,2 9 10,1 1-1,-1-1 1,1 0-1,-1 0 1,0 1-1,1-1 1,-1 1-1,0-1 0,0 1 1,0 0-1,0 0 1,0 0-1,-1 0 1,1 0-1,0 0 0,0 1 1,-1-1-1,1 1 1,0-1-1,-1 1 1,1 0-1,-4 0 1,4 0-14,0 0 1,0 0-1,0 0 1,1 0-1,-1 1 1,0-1 0,0 1-1,0-1 1,1 1-1,-1-1 1,0 1 0,0 0-1,1 0 1,-1 0-1,1 0 1,-1 0-1,1 0 1,-1 1 0,-1 1-1,0 1-1,1-1 0,-1 1 1,1 0-1,0 0 0,0 0 0,1 0 0,-1 0 0,0 6 0,-2 8 16,2 0 0,0 0 0,0 22 0,2-32 4,0 8-4,0 1 0,1-1 0,0 1 0,2-1 0,0 0 0,1 0 0,9 26 0,-11-37-87,1 1 0,0 0 0,0-1 0,0 0 1,1 0-1,0 0 0,0 0 0,0 0 1,0-1-1,1 0 0,0 0 0,0 0 1,0-1-1,0 1 0,0-1 0,1 0 0,0-1 1,-1 1-1,1-1 0,0 0 0,0-1 1,0 1-1,10 0 0,68 0-7398,-28-2-1652</inkml:trace>
  <inkml:trace contextRef="#ctx0" brushRef="#br0" timeOffset="313.58">2093 214 11029,'0'0'13249,"-3"-7"-13073,3 6-172,-1 0 0,1 0 0,0 0 1,-1 0-1,1 0 0,-1 0 0,0 0 0,1 0 0,-1 0 0,0 0 1,1 0-1,-1 0 0,0 0 0,0 0 0,0 1 0,0-1 1,-2-1-1,3 2 1,-1 0 0,1 0 0,-1 0 0,1 1 1,-1-1-1,0 0 0,1 0 0,-1 0 0,1 1 1,-1-1-1,1 0 0,-1 1 0,1-1 0,-1 0 1,1 1-1,0-1 0,-1 0 0,1 1 0,-1-1 0,1 1 1,0-1-1,-1 1 0,1-1 0,0 1 0,0-1 1,-1 2-1,-4 9 83,0 1 0,1 0 1,-3 17-1,-1 11 64,1 0-1,2 1 1,2 0 0,2-1 0,1 1-1,12 80 1,-7-99-107,0 0 1,2-1-1,15 37 1,-18-49-54,0-1 1,1 1 0,0-1-1,0 0 1,1 0 0,0-1-1,0 0 1,1 0-1,-1 0 1,2-1 0,11 8-1,-17-12-107,0-1-1,1 0 0,-1 0 1,1 0-1,-1 0 1,1 0-1,0 0 0,0-1 1,-1 1-1,1-1 1,0 0-1,0 0 0,-1 0 1,1 0-1,5-1 0,-7 1-227,1-1 0,-1 1 0,1-1 0,-1 0 0,0 1 0,1-1 0,-1 0-1,0 0 1,0 0 0,1 0 0,-1 0 0,0 0 0,0-1 0,0 1-1,0 0 1,0-1 0,-1 1 0,1 0 0,0-1 0,-1 1 0,1-1 0,-1 1-1,1-1 1,-1 1 0,0-1 0,1-2 0,1-32-11839</inkml:trace>
  <inkml:trace contextRef="#ctx0" brushRef="#br0" timeOffset="1018.77">2486 301 5378,'0'0'12179,"-7"-6"-12016,3 3-167,3 1 16,0 1-1,-1 0 1,1 0 0,0 0 0,-1 0 0,1 0-1,-1 0 1,1 1 0,-1-1 0,1 0-1,-1 1 1,-3-2 0,4 3 11,0-1-1,0 1 1,0-1-1,0 1 1,0 0 0,0-1-1,0 1 1,0 0-1,0 0 1,0 0 0,0-1-1,0 1 1,0 0-1,1 0 1,-1 0 0,0 1-1,1-1 1,-1 0-1,1 0 1,-1 0-1,1 0 1,0 0 0,-1 1-1,1-1 1,0 2-1,-3 6 146,2 1-1,-1 0 0,1 0 0,1 0 0,0 18 0,1-7 4,-1-20-166,1 0 0,-1 1-1,1-1 1,-1 0 0,1 0-1,-1 0 1,1 0 0,0 0-1,0-1 1,0 1-1,-1 0 1,1 0 0,0 0-1,0-1 1,0 1 0,0 0-1,0-1 1,0 1 0,1-1-1,-1 1 1,0-1 0,0 0-1,0 1 1,0-1 0,1 0-1,-1 0 1,0 0 0,0 0-1,0 0 1,2 0 0,2 0 17,1 0 1,-1 0 0,0 0 0,0 0 0,0-1 0,7-2-1,-7 1-13,0-1 0,0 0 0,0 0 0,-1-1 0,1 1 0,-1-1 0,0 0 0,0 0 0,-1 0 0,1-1 0,-1 1 0,0-1 0,0 0 0,-1 0 0,1 0 0,1-6 0,1 1-15,-2 0 0,0-1-1,0 1 1,-1 0 0,0-1 0,1-10 0,-3 34-240,-1 19 423,2 0 0,7 42 0,-5-62-526,-1 0 0,2-1 0,8 20 0,-8-23-454,0 0 0,0 0-1,1-1 1,1 0 0,-1 0-1,7 6 1,9 6-5960</inkml:trace>
  <inkml:trace contextRef="#ctx0" brushRef="#br0" timeOffset="1502.23">2828 340 9780,'0'0'13508,"0"-5"-13207,0-11-173,0 40-54,0 51 269,-1-9-38,0-27-185,1 0-1,10 78 1,-10-116-118,0-1 0,0 1-1,0-1 1,0 1 0,0-1 0,0 1 0,0-1-1,0 1 1,0-1 0,1 0 0,-1 1 0,0-1-1,0 1 1,0-1 0,0 1 0,1-1 0,-1 1-1,0-1 1,1 0 0,-1 1 0,0-1 0,1 0-1,-1 1 1,0-1 0,1 0 0,-1 1 0,0-1-1,1 0 1,-1 0 0,1 1 0,0-1 0,8-12 98,3-26 38,-5 1-180,-2-1-1,1-72 1,4-34-60,-9 138 111,0-1 1,0 1 0,1 0-1,0-1 1,4-6-1,-6 12-7,1 0-1,-1 0 0,1 0 0,-1 0 1,1 0-1,-1 0 0,1 1 0,-1-1 1,1 0-1,0 0 0,0 0 1,-1 1-1,1-1 0,0 1 0,0-1 1,0 0-1,0 1 0,0 0 0,0-1 1,0 1-1,0-1 0,0 1 0,0 0 1,0 0-1,0 0 0,0-1 1,0 1-1,0 0 0,0 0 0,0 1 1,0-1-1,0 0 0,0 0 0,0 0 1,0 1-1,0-1 0,0 0 0,0 1 1,0-1-1,0 1 0,0-1 1,1 2-1,4 3-17,-1 0 1,0 0-1,0 0 1,-1 1-1,1 0 1,-1 0 0,0 0-1,4 11 1,25 57-1,-20-41-51,-1 1 0,-2 0-1,6 44 1,-9 3-6211,-9-76 2239,-8-4-2001</inkml:trace>
  <inkml:trace contextRef="#ctx0" brushRef="#br0" timeOffset="1665.12">2877 547 6835,'0'0'10277,"34"-7"-10277,-2 7-144,0 0-288,6 0-1729,-2 0-2289,-1 0-5427</inkml:trace>
  <inkml:trace contextRef="#ctx0" brushRef="#br0" timeOffset="1897.39">3269 325 8756,'0'0'13414,"-13"90"-13046,13-44 161,0-1-481,5-2 96,6-3-144,-1-8 144,-6-8-304,-2-9-16,-1-9-1105</inkml:trace>
  <inkml:trace contextRef="#ctx0" brushRef="#br0" timeOffset="2332.25">3399 203 9668,'0'0'10485,"-1"4"-10047,1 7-359,1 1 0,0-1 0,0 0 0,1 1 1,1-1-1,0 0 0,0 0 0,10 20 0,-13-30-110,1 0 0,-1 0-1,0-1 1,1 1 0,-1 0-1,1-1 1,-1 1 0,1 0 0,-1-1-1,1 1 1,-1-1 0,1 1 0,0 0-1,-1-1 1,1 1 0,0-1 0,-1 0-1,1 1 1,0-1 0,-1 0-1,1 1 1,0-1 0,0 0 0,0 0-1,-1 0 1,1 0 0,0 1 0,0-1-1,0 0 1,-1 0 0,1-1-1,0 1 1,0 0 0,0 0 0,0 0-1,-1 0 1,1-1 0,0 1 0,0 0-1,-1-1 1,1 1 0,0-1 0,-1 1-1,1-1 1,0 1 0,-1-1-1,1 1 1,-1-1 0,1 0 0,0 0-1,2-2-22,0-1-1,0 1 0,-1-1 0,1 1 0,-1-1 1,0 0-1,4-8 0,16-73 816,-16 91-239,-2 7-615,9 40 5,6 18-1467,-4-26-5014,-9-30-733</inkml:trace>
  <inkml:trace contextRef="#ctx0" brushRef="#br0" timeOffset="2688.11">3602 66 10293,'0'0'15578,"3"6"-15408,41 106 552,51 198 0,-83-259-863,-2 1 0,-3 0 0,2 100 1,-8-150 78,-1-1 0,0 1 1,0 0-1,0-1 0,0 1 0,0-1 1,0 1-1,0-1 0,0 1 1,-1-1-1,1 1 0,0-1 1,-1 1-1,0-1 0,1 1 1,-1-1-1,0 0 0,0 1 0,1-1 1,-1 0-1,0 0 0,0 1 1,0-1-1,-1 0 0,1 0 1,0 0-1,0 0 0,-1-1 0,1 1 1,0 0-1,-1 0 0,1-1 1,-1 1-1,1-1 0,-1 1 1,1-1-1,-1 0 0,1 1 1,-1-1-1,1 0 0,-1 0 0,1 0 1,-1 0-1,0-1 0,1 1 1,-1 0-1,-1-1 0,2 0-62,0 1-1,0 0 1,0-1-1,0 1 0,0-1 1,0 1-1,0-1 1,0 0-1,0 1 1,1-1-1,-1 0 1,0 0-1,0 0 0,1 1 1,-1-1-1,1 0 1,-1 0-1,1 0 1,-1 0-1,1 0 0,-1 0 1,1 0-1,0 0 1,-1 0-1,1 0 1,0 0-1,0-2 0,0 0-486,-1 0-1,1 1 0,0-1 0,0 0 0,0 0 0,1 1 1,-1-1-1,1 0 0,-1 1 0,2-5 0,14-12-7623</inkml:trace>
  <inkml:trace contextRef="#ctx0" brushRef="#br0" timeOffset="2887.43">4072 560 9989,'0'0'11109,"-2"-17"-12678</inkml:trace>
  <inkml:trace contextRef="#ctx0" brushRef="#br0" timeOffset="5760.27">4495 254 3906,'0'0'12496,"-14"-11"-11437,-48-30-298,61 40-738,0 1 1,0-1 0,0 0 0,0 0 0,0 1-1,0-1 1,-1 0 0,1 1 0,0-1 0,0 1-1,0 0 1,0-1 0,-1 1 0,1 0 0,0 0-1,0 0 1,-1 0 0,1 0 0,0 0 0,0 0-1,-1 0 1,1 0 0,0 1 0,0-1 0,0 0-1,-1 1 1,1-1 0,0 1 0,0-1 0,0 1-1,0 0 1,0 0 0,0-1 0,0 1-1,0 0 1,0 0 0,0 0 0,1 0 0,-1 0-1,0 0 1,1 0 0,-1 0 0,0 0 0,0 2-1,-2 2 57,-3 6 38,0 1 0,1-1 1,0 1-1,1 1 1,0-1-1,1 1 1,0-1-1,-1 27 1,2-6-20,1 0 0,6 44 0,-2-58-78,0-1 0,2-1 0,0 1 0,1-1 1,1 1-1,0-2 0,2 1 0,0-1 0,0 0 0,2-1 0,0 0 0,24 24 1,-32-36-19,1 1 1,-1-1-1,1 0 1,0-1 0,0 1-1,0-1 1,0 0 0,1 0-1,-1 0 1,1 0-1,-1-1 1,1 0 0,-1 0-1,9 1 1,-10-2-2,-1 0 0,1 0 0,0 0 0,-1-1 0,1 1 0,0-1-1,-1 1 1,1-1 0,-1 0 0,1 0 0,-1 0 0,1-1 0,-1 1 0,0 0 0,0-1 0,1 0 0,-1 1 0,0-1 0,0 0 0,-1 0 0,1 0 0,0 0 0,-1 0-1,1-1 1,-1 1 0,2-4 0,4-11 34,-1 0 0,0-1 0,-1 0 0,4-33 0,1-75-45,-9 106 1,-1 5 23,0 10 83,0 7 237,-5 27-413,2-11 75,0-1 0,1 1 0,1 0 0,2 25 0,-1-38-20,1 0 1,0 0-1,0 1 1,1-2-1,-1 1 1,1 0-1,0 0 1,1 0-1,-1-1 1,1 0-1,0 1 1,0-1 0,0 0-1,0 0 1,1 0-1,-1-1 1,1 1-1,0-1 1,0 0-1,6 3 1,-2-2-151,1 0 1,-1-1-1,1 0 1,0 0-1,0-1 1,0 0 0,0 0-1,0-1 1,0-1-1,18 0 1,-25 0 168,0 0 1,0 0 0,0-1-1,-1 1 1,1 0-1,0-1 1,0 0 0,-1 1-1,1-1 1,0 0-1,-1 0 1,1 0 0,-1 0-1,1 0 1,-1 0-1,0 0 1,1 0 0,-1-1-1,2-1 1,0-1 7,-1 0 1,1-1-1,-1 1 0,0 0 1,0-1-1,-1 1 1,2-7-1,1-6 269,-1-1 1,1-35-1,-4-45 2016,-6 101-2132,3 4-168,1 1 0,0-1-1,0 1 1,0 0-1,1 0 1,0 0 0,0 0-1,1 9 1,4 68 111,-3-76-103,1 0 1,-1 0-1,1 0 0,1-1 1,0 1-1,0 0 1,0-1-1,1 0 1,6 10-1,-7-15-12,-1 1-1,1-1 1,0 0-1,0 1 0,0-1 1,0 0-1,0-1 1,1 1-1,-1-1 0,1 1 1,0-1-1,-1 0 1,1 0-1,0-1 1,0 1-1,1-1 0,-1 0 1,0 0-1,0 0 1,0-1-1,6 1 0,-7-2 13,0 1-1,-1-1 0,1 0 0,0 0 0,-1 0 0,1 0 1,-1-1-1,1 1 0,-1-1 0,0 0 0,1 1 0,-1-1 1,0 0-1,0 0 0,0 0 0,0-1 0,-1 1 0,1 0 1,-1-1-1,1 1 0,-1-1 0,0 1 0,0-1 0,1-4 1,4-8 17,-2 0 1,0 0-1,3-19 1,-4 13 20,1-39 0,-4 55-16,0-1 0,0 1-1,-1 0 1,1 0-1,-1 0 1,-1 0 0,1 0-1,0 1 1,-1-1-1,0 0 1,0 1 0,-1-1-1,-4-6 1,7 11-17,0-1 1,-1 1-1,1-1 1,-1 1-1,1-1 0,0 1 1,-1-1-1,1 1 1,-1-1-1,0 1 1,1 0-1,-1-1 0,1 1 1,-1 0-1,0-1 1,1 1-1,-1 0 1,1 0-1,-1 0 0,0-1 1,1 1-1,-1 0 1,-1 0-1,-6 12-6,6 25-83,2-35 77,0 1 5,0 0-1,0 0 0,1 0 1,0 0-1,-1 0 1,1 0-1,0 0 0,0 0 1,1 0-1,-1-1 0,1 1 1,-1 0-1,1-1 1,0 0-1,0 1 0,0-1 1,0 0-1,0 0 0,0 0 1,1 0-1,-1 0 1,1 0-1,0-1 0,-1 1 1,1-1-1,4 2 1,0-1-96,0 0 0,0 0 0,0 0 0,0-1 0,0 0 0,0-1 0,0 1 0,0-1 0,0-1 0,12-1 0,-15 1 76,0-1-1,0 0 0,0 0 0,0-1 0,0 1 0,-1-1 1,1 1-1,-1-1 0,1 0 0,-1 0 0,0-1 1,0 1-1,0-1 0,-1 0 0,1 1 0,2-8 1,0 2 168,-1 1 0,0-1 0,0-1 0,-1 1 0,0 0 0,2-17 0,-7 63 213,1 1 0,8 73-1,-6-105-382,0-1 0,1 0-1,-1 0 1,1 0-1,0 0 1,1 0-1,-1-1 1,1 1 0,0-1-1,0 1 1,0-1-1,1 0 1,-1 0 0,1-1-1,0 1 1,0-1-1,0 0 1,1 0-1,-1 0 1,1 0 0,0-1-1,-1 0 1,1 0-1,0 0 1,0 0 0,0-1-1,1 0 1,-1 0-1,0-1 1,0 1-1,1-1 1,-1 0 0,0 0-1,1-1 1,6-1-1,-8 0 12,-1 0 0,1 0 0,-1 0 0,1 0 0,-1-1 0,0 1 0,0-1 0,0 0 0,0 0 0,0 0 0,-1 0 0,1 0 0,-1-1 0,0 1 0,0-1 0,0 0 0,-1 0 0,1 1 0,-1-1 0,1-4 0,3-8 13,-1 1-1,-1-1 1,3-30 0,-6 44 5,1-8 62,-1-1 0,1 1 0,-2 0 0,1 0 0,-2-1 0,-2-10 1,4 19-52,-1-1 1,0 1-1,0 0 1,-1 0-1,1 0 1,0 0-1,-1 0 1,1 0-1,-1 0 1,0 0-1,0 0 1,1 1-1,-1-1 1,0 1-1,0-1 1,-1 1-1,1 0 1,0 0-1,0 0 1,-1 0-1,1 0 1,0 0 0,-1 1-1,1-1 1,-1 1-1,1 0 1,-1-1-1,1 1 1,-5 1-1,6-1-13,0 0-1,1 0 1,-1 0-1,0 1 1,1-1-1,-1 0 1,0 1 0,1-1-1,-1 0 1,1 1-1,-1-1 1,1 0-1,-1 1 1,1-1-1,-1 1 1,1-1-1,-1 1 1,1-1 0,0 1-1,-1 0 1,1-1-1,0 1 1,-1-1-1,1 1 1,0 0-1,0-1 1,0 1-1,-1 0 1,1-1 0,0 1-1,0 1 1,-1 25-30,1-21 21,0-3 11,0 1 1,1-1-1,-1 0 1,1 0-1,-1 1 1,1-1-1,0 0 1,0 0-1,0 0 1,1 0-1,-1 0 1,1 0-1,0 0 1,-1-1-1,1 1 0,0 0 1,1-1-1,3 4 1,-2-3-73,1 0 1,-1 0-1,1 0 1,0-1-1,0 0 0,0 0 1,0 0-1,0 0 1,0-1-1,10 2 0,-6-2-46,-1-1-1,1 1 0,0-1 0,0-1 0,-1 0 1,1 0-1,0 0 0,-1-1 0,1-1 0,-1 1 1,0-1-1,0-1 0,0 1 0,8-6 0,-13 7 109,0-1 0,0 1-1,-1 0 1,1-1 0,-1 0-1,0 0 1,0 1-1,0-1 1,0-1 0,0 1-1,-1 0 1,1 0 0,-1-1-1,2-4 1,-2-2 533,1 0 1,-1 0 0,-1-18-1,0 18 278,-9 44-603,6 0-198,2 0 0,1 0 0,7 45 0,-6-74-87,0 0 0,0 0-1,0-1 1,1 1 0,0 0-1,0-1 1,0 0-1,1 1 1,-1-1 0,1 0-1,0 0 1,0 0 0,0-1-1,1 1 1,-1-1-1,1 0 1,0 0 0,0 0-1,0 0 1,0-1 0,1 1-1,-1-1 1,1 0-1,-1-1 1,1 1 0,0-1-1,0 0 1,-1 0 0,1 0-1,0-1 1,0 1-1,6-2 1,-8 1 42,0-1 1,0 0-1,0 0 0,0 0 0,-1 0 1,1 0-1,0-1 0,0 1 0,-1-1 1,1 0-1,-1 1 0,0-1 0,1-1 1,-1 1-1,0 0 0,0 0 0,0-1 1,-1 1-1,1-1 0,0 0 1,-1 1-1,0-1 0,2-4 0,3-8 55,0-1-1,6-31 1,-12 46-19,6-30 732,-2-1 0,-1 1 0,-2-41 0,-8 92-567,6-9-312,1 0-1,0 1 1,1-1 0,4 17 0,-5-26 70,1 0 0,-1 0 0,1 0 0,0 0 0,0 0 0,0 0 0,0 0 0,0 0 0,0 0 0,0-1 0,1 1 0,-1 0 1,1-1-1,1 2 0,-2-2 33,1-1 0,-1 1 1,0-1-1,1 1 0,-1-1 0,1 1 1,-1-1-1,1 0 0,-1 0 1,1 0-1,-1 0 0,1 0 1,-1 0-1,1 0 0,-1 0 0,1-1 1,-1 1-1,0-1 0,1 1 1,-1-1-1,1 1 0,-1-1 1,2-1-1,0 0 18,1-1 0,0 0 1,-1 0-1,0 0 0,0-1 0,0 1 0,0-1 1,0 0-1,-1 0 0,0 0 0,0 0 0,0 0 1,2-6-1,0 1 42,-1-1 0,0 1 0,-1-1 0,0 0-1,1-12 1,-3 19 66,0-1-1,0 1 0,0-1 0,0 1 0,0 0 0,-1-1 0,1 1 1,-1 0-1,0-1 0,0 1 0,0 0 0,0 0 0,-1 0 1,0 0-1,1 0 0,-4-4 0,3 5-26,-1 0 0,1 1 1,-1-1-1,1 1 0,-1 0 0,1 0 0,-1 0 1,0 0-1,1 0 0,-1 0 0,0 1 1,0 0-1,0-1 0,1 1 0,-1 0 0,0 0 1,0 0-1,0 1 0,1-1 0,-6 2 0,4-1-36,1 1-1,1-1 0,-1 1 1,0-1-1,0 1 0,0 0 1,1 0-1,-1 0 0,1 0 1,0 0-1,-1 1 0,1-1 1,0 1-1,0-1 0,1 1 1,-1 0-1,0 0 0,1-1 0,0 1 1,0 0-1,0 1 0,-1 3 1,-2 7 18,1 0 0,0-1 1,0 27-1,2-38-37,0 17 30,1 0 0,0 0 0,1 0 0,7 35-1,-7-50-56,0 0-1,0-1 0,0 1 0,0 0 0,1 0 1,0-1-1,0 1 0,0-1 0,0 0 0,0 0 1,1 1-1,0-1 0,-1-1 0,1 1 0,0 0 1,0-1-1,1 1 0,-1-1 0,0 0 0,1 0 1,-1 0-1,1-1 0,0 1 0,0-1 0,-1 0 1,1 0-1,0 0 0,0-1 0,8 1 1,-9-1-1,-1 1 0,1-1 0,0 0 0,0-1 1,0 1-1,0 0 0,0-1 0,-1 0 1,1 1-1,0-1 0,0 0 0,-1 0 0,1-1 1,-1 1-1,1-1 0,-1 1 0,1-1 1,1-2-1,1-1 28,-1-1 0,-1 1 0,1-1 0,-1 0 0,0-1 0,4-11 0,4-12 107,10-53 0,2-7 1743,-23 89-1814,0 1-1,0-1 0,0 1 1,0-1-1,1 1 0,-1-1 1,0 1-1,0-1 0,0 1 0,1-1 1,-1 1-1,0-1 0,0 1 1,1-1-1,-1 1 0,0-1 1,1 1-1,-1 0 0,1-1 0,-1 1 1,1 0-1,-1-1 0,0 1 1,1 0-1,-1 0 0,1-1 1,-1 1-1,1 0 0,0 0 0,-1 0 1,1-1-1,11 13 152,6 28-350,-18-39 199,44 171-2137,-44-172 2074,0 1 0,0 0 0,0 0 0,0 0 0,0 0 0,1 0 0,-1-1 0,0 1 0,1 0 0,-1 0 0,1-1 0,-1 1 0,1 0 0,-1 0 0,1-1 0,-1 1 0,1 0 0,-1-1 0,1 1 0,0-1 0,0 1 0,-1-1 0,1 1 0,0-1 0,0 0 0,-1 1 0,1-1 0,0 0 0,0 1 0,0-1 0,0 0 0,-1 0 0,1 0 0,0 0 0,0 0 0,0 0 0,0 0 0,0 0 0,0 0 0,-1 0 0,1-1 0,0 1 0,0 0 0,0-1 0,-1 1 0,1 0 0,1-2 0,2 0 43,-1-1 0,0 0 0,1 0-1,-2 0 1,1 0 0,0-1 0,0 1 0,1-5 0,15-24 561,0 0 1,2 1-1,2 1 0,0 2 1,47-45-1,-70 73-557,1 0 0,-1 0 0,0 0 0,0-1 0,0 1 0,1 0 0,-1 0 0,0 0 0,0 0 0,0-1 0,1 1 0,-1 0 0,0 0 0,0 0 0,1 0 0,-1 0 0,0 0 0,0 0 0,1 0 0,-1 0 0,0 0 0,1 0 0,-1 0 0,0 0 0,0 0 0,1 0 0,-1 0 0,0 0 0,0 0 0,1 0 0,-1 0 0,0 0 0,0 0 0,1 1 0,-1-1 0,0 0 0,0 0 0,1 0 0,-1 0 0,0 1 0,0-1 0,0 0 0,1 0 0,-1 0 0,0 1 0,0-1 0,0 0 0,0 0 0,0 1 0,0-1 0,0 0 0,1 0-1,-1 1 1,0-1 0,0 0 0,0 1 0,0-1 0,0 0 0,0 0 0,0 1 0,0-1 0,0 1 0,0 23-183,-1-17 219,1 23-79,1 55 98,0-77-110,0 0-1,1 0 1,-1 0-1,2-1 1,-1 1-1,1 0 1,0-1-1,5 9 1,-7-14 17,1 0 0,-1 1 0,1-1 0,0 0 0,0 0 0,-1-1 1,1 1-1,0 0 0,1-1 0,-1 1 0,0-1 0,0 0 0,1 1 1,-1-1-1,1 0 0,-1 0 0,1-1 0,-1 1 0,1-1 0,-1 1 0,1-1 1,0 0-1,-1 0 0,1 0 0,0 0 0,-1 0 0,1 0 0,-1-1 1,1 0-1,-1 1 0,1-1 0,-1 0 0,1 0 0,2-2 0,2 0 14,1-2 0,-1 1 0,0-1 0,0 0 0,0 0-1,-1 0 1,0-1 0,0 0 0,7-10 0,-4 2-6,0-1 0,0 0 0,-2-1 0,0 0 1,-1 0-1,0 0 0,-1-1 0,5-33 0,-6 17 62,-2 0 1,-1 0-1,-6-57 0,4 76-2,-2 1 0,0-1 0,-6-18 0,7 28 31,1-1 0,-1 0 0,0 1-1,-1-1 1,1 1 0,-1 0 0,0 0-1,0 0 1,0 0 0,0 0 0,-1 1 0,-5-5-1,9 7-62,-1 1-1,1-1 0,-1 1 0,1 0 1,-1-1-1,1 1 0,-1 0 0,0-1 0,1 1 1,-1 0-1,1 0 0,-1 0 0,0-1 1,1 1-1,-1 0 0,0 0 0,1 0 1,-1 0-1,1 0 0,-1 0 0,0 0 1,1 1-1,-1-1 0,0 0 0,1 0 0,-1 0 1,1 1-1,-1-1 0,0 0 0,1 0 1,-1 1-1,1-1 0,-1 1 0,1-1 1,-1 0-1,1 1 0,-1-1 0,1 1 1,0-1-1,-1 1 0,1-1 0,0 1 0,-1 0 1,1-1-1,0 1 0,0-1 0,-1 2 1,-3 32 84,3-30-87,1 34 56,1 0 0,2 0 0,1 0-1,3 0 1,0-1 0,3 0 0,1 0-1,1-1 1,31 60 0,-40-91-143,0 2-395,0-1 1,1 1-1,0-1 1,0 0-1,0 0 1,8 7-1</inkml:trace>
  <inkml:trace contextRef="#ctx0" brushRef="#br0" timeOffset="5930.33">6546 457 3922,'0'0'11285,"120"-8"-11285,-63 8-176,1 0-3122,-5-5-7266</inkml:trace>
  <inkml:trace contextRef="#ctx0" brushRef="#br0" timeOffset="6845.4">7109 233 4098,'0'0'14260,"0"-12"-12838,0-22-888,0 22-352,0 24 35,4 70-96,4 0-1,4 0 0,33 125 0,-44-256-339,-25-76 103,-2-22 88,18 57 156,3-103 0,5 191-117,0 0 0,0 1 0,0-1 0,1 0 0,-1 1 0,0-1 0,1 1 0,-1-1 0,1 0 0,-1 1 0,1-1 0,0 1 0,-1-1 0,1 1 0,0 0 0,0-1 0,0 1 0,2-2 0,-2 3-7,0-1 1,0 0-1,0 1 0,0-1 0,0 1 0,0 0 0,1-1 0,-1 1 0,0 0 0,0 0 1,0 0-1,1 0 0,-1 0 0,0 0 0,0 0 0,0 0 0,1 0 0,-1 1 1,1-1-1,3 2-6,0 0 0,-1 0 0,1 0 0,-1 1 0,0 0 0,1 0 0,-1 0-1,-1 0 1,1 0 0,4 6 0,1 2-4,0 0 0,-1 1 0,-1 0 0,0 1 0,-1-1-1,0 1 1,-1 1 0,0-1 0,-1 1 0,0 0-1,-2 0 1,1 0 0,-2 0 0,0 0 0,0 1 0,-1-1-1,-1 0 1,-4 18 0,3-25-70,0-1 0,0 1 0,-1-1 0,0 0 0,-1 0 0,1 0 0,-1-1 0,0 1 0,-1-1 0,1 0 1,-1 0-1,0-1 0,0 1 0,-1-1 0,1 0 0,-10 5 0,14-9 77,1 1-1,-1-1 1,0 0 0,1 0-1,-1 1 1,1-1 0,-1 0 0,1 0-1,-1 0 1,0 0 0,1 0-1,-1 0 1,0 0 0,1 0 0,-1 0-1,1 0 1,-1 0 0,0 0 0,1 0-1,-1 0 1,1-1 0,-1 1-1,0 0 1,1 0 0,-1-1 0,1 1-1,-1 0 1,1-1 0,-1 1-1,1-1 1,-1 1 0,1-1 0,0 1-1,-1-1 1,1 1 0,-1-1 0,1 1-1,0-1 1,-1 0 0,1-1 79,-1 0 0,1 1 0,0-1 0,-1 0 0,1 0 0,0 0 0,0 0 0,0 1 0,1-1 0,-1 0 0,0 0 1,2-3-1,0 5-58,1-1 1,-1 1 0,1 0-1,0 0 1,-1 0 0,1 0-1,-1 0 1,1 1 0,0-1-1,-1 1 1,4 1 0,0 1-25,0 1 1,0 1-1,-1-1 1,0 1 0,1 0-1,-2 0 1,7 7-1,31 48-42,-29-41 46,-7-9-275,1-1-1,0 0 0,0 0 0,1-1 0,16 13 0,-20-18-377,1 0 0,-1 0 0,1-1-1,0 0 1,8 3 0,-6-3-956,-1 0 1,1-1 0,0 0 0,13 0-1,2-1-5983</inkml:trace>
  <inkml:trace contextRef="#ctx0" brushRef="#br0" timeOffset="7234.9">7534 417 3858,'0'0'12736,"-3"-6"-12199,-8-13-424,6 22-64,3 17 45,2-17-105,-1-1 1,1 1 0,0-1-1,0 1 1,0 0 0,1-1 0,-1 1-1,0-1 1,1 1 0,0-1-1,-1 0 1,1 1 0,0-1-1,0 0 1,1 1 0,-1-1 0,0 0-1,1 0 1,-1 0 0,1 0-1,0 0 1,-1-1 0,1 1-1,0 0 1,0-1 0,0 1 0,0-1-1,1 0 1,-1 0 0,0 0-1,1 0 1,-1 0 0,0 0-1,1 0 1,-1-1 0,1 1 0,-1-1-1,1 0 1,-1 0 0,1 0-1,-1 0 1,5-1 0,-5 1-25,1-1 0,0 1 0,-1-1 0,1 1 0,-1-1 0,1 0 0,-1 0 0,1 0 0,-1-1 0,1 1 0,-1-1-1,0 1 1,0-1 0,0 0 0,0 0 0,0 1 0,0-1 0,0-1 0,-1 1 0,1 0 0,-1 0 0,1-1 0,-1 1 0,0-1 0,0 1 0,0-1 0,0 1 0,0-6 0,1-1 55,0 1 0,0-1-1,-1 0 1,-1 1 0,1-1 0,-2 0 0,1 0-1,-2-9 1,1 16 28,1 0 0,-1 0 0,1 0 1,-1 0-1,0 0 0,0 0 0,0 0 0,0 0 0,0 1 1,0-1-1,0 0 0,-1 1 0,1-1 0,-1 1 0,1-1 0,-1 1 1,0-1-1,1 1 0,-1 0 0,-3-2 0,0 2 85,0-1 0,1 1-1,-1-1 1,0 1 0,0 1 0,0-1-1,-9 1 1,13 0-123,-1 0 0,1 0 0,-1 1 0,1-1 0,-1 0 0,1 1 0,0-1 0,-1 1 0,1-1 0,-1 1 0,1 0 0,0 0 0,0-1 0,0 1 0,-1 0 0,1 0 0,0 0 0,0 0 0,0 0 0,-1 3 0,0 0 9,-1 0 0,1 0 0,0 0 0,0 0 0,1 1 0,-2 7 0,0 4 25,1-1 0,-1 33 0,3-37-29,0 1 1,1-1-1,0 0 1,1 1-1,0-1 1,1 0-1,6 17 0,-6-23-111,-1 1-1,1-1 0,0-1 0,1 1 0,-1 0 0,1-1 1,0 0-1,0 0 0,0 0 0,1 0 0,-1-1 0,1 1 1,0-1-1,0 0 0,0-1 0,0 1 0,7 1 0,-2-1-754,0 0-1,0-1 1,0 0-1,0-1 1,16 0-1,18 0-4510</inkml:trace>
  <inkml:trace contextRef="#ctx0" brushRef="#br0" timeOffset="8989.76">7912 430 4082,'0'0'15916,"-19"-14"-15387,-59-43-377,77 56-148,0 0 0,-1 1 1,1-1-1,0 0 0,0 1 1,-1-1-1,1 0 0,0 1 0,0 0 1,-1-1-1,1 1 0,-1 0 0,1 0 1,0 0-1,-1 0 0,1 0 1,-1 0-1,1 0 0,0 0 0,-1 0 1,1 1-1,0-1 0,-1 1 1,1-1-1,0 1 0,0-1 0,-1 1 1,1 0-1,0-1 0,0 1 1,0 0-1,0 0 0,0 0 0,0 0 1,0 0-1,0 0 0,0 0 1,0 0-1,1 1 0,-1-1 0,0 0 1,1 0-1,-1 3 0,-3 2 3,-1 3-6,-1 0 0,1 1 0,1-1 0,0 1 0,0 1 0,1-1 0,0 0 0,1 1 0,0-1 0,1 1 0,0 0 0,1 13 0,0-22-9,0-1 0,0 1-1,0 0 1,1 0 0,-1 0 0,1-1 0,-1 1-1,1 0 1,-1-1 0,1 1 0,0 0 0,0-1-1,0 1 1,0-1 0,0 1 0,0-1 0,0 0-1,1 1 1,-1-1 0,0 0 0,3 2 0,-1-2-57,0 1 0,0 0 0,1-1 0,-1 1 0,1-1 0,-1 0 0,1 0 1,-1-1-1,1 1 0,5-1 0,-4 1 12,0-1 1,1 0-1,-1-1 0,0 1 1,0-1-1,1 0 0,-1 0 1,0-1-1,0 0 0,0 0 0,0 0 1,-1 0-1,1-1 0,0 1 1,5-6-1,-6 3 89,0 1 0,0-1 0,-1 0 0,0-1-1,0 1 1,0-1 0,0 1 0,-1-1 0,0 0 0,0 0 0,1-10-1,0-4 754,-2 0 0,-1-25 0,0 24 61,0 22-835,0-1 1,0 0-1,0 0 0,-1 1 0,1-1 0,0 0 1,0 0-1,0 0 0,0 0 0,-1 1 0,1-1 1,0 0-1,0 0 0,-1 0 0,1 0 0,0 0 1,0 0-1,-1 0 0,1 1 0,0-1 0,0 0 1,-1 0-1,1 0 0,0 0 0,0 0 0,-1 0 1,1 0-1,0 0 0,0-1 0,-1 1 0,1 0 1,0 0-1,0 0 0,-1 0 0,1 0 1,0 0-1,0 0 0,-1 0 0,1-1 0,0 1 1,0 0-1,0 0 0,-1 0 0,1-1 0,0 1 1,0 0-1,0 0 0,0 0 0,0-1 0,-1 1 1,1 0-1,0 0 0,0-1 0,0 1 0,0 0 1,0 0-1,0-1 0,0 1 0,0-1 1,-3 14-12,1 0 0,0 0 0,0 0 0,2 0 0,0 0 0,0 0 0,1 0 0,0 0 0,7 22 0,4 11 23,25 58-1,4-9-14,14 39 8,-51-122-67,-2 1 0,1-1 0,-2 0-1,0 1 1,0 18 0,-1-30 25,0 0 0,0-1 0,0 1 0,0 0 0,-1 0-1,1 0 1,0-1 0,0 1 0,-1 0 0,1 0 0,0-1 0,-1 1 0,1 0-1,-1-1 1,1 1 0,-1 0 0,1-1 0,-1 1 0,1-1 0,-1 1 0,0-1-1,1 1 1,-1-1 0,0 1 0,0 0 0,-26 3-134,21-4 151,1-1-1,0 0 0,-1 0 1,1 0-1,0 0 0,0-1 1,-1 0-1,-4-3 0,4 2 9,1-1-1,0-1 0,1 1 0,-1-1 0,1 0 0,0 0 1,0 0-1,0 0 0,1-1 0,0 0 0,0 1 0,0-1 1,1 0-1,0-1 0,0 1 0,-2-9 0,1-7 2,0 0-1,1 1 1,2-35-1,1 46-13,1 0 0,-1 1-1,1 0 1,1-1 0,0 1 0,0 0-1,1 0 1,0 0 0,7-11 0,9-11-579,29-34 1,2-4-451,-45 58 1178,0 0 0,0-1 0,-1 0 0,-1 0 0,0 0 1,-1 0-1,0-1 0,-1 1 0,0-1 0,-1 0 0,0 0 0,-2-19 1,1 31-135,0 1 0,0 0 0,0 0 0,0 0 0,0 0 0,0-1 0,-1 1 0,1 0 0,0 0 1,0 0-1,0 0 0,0-1 0,0 1 0,0 0 0,0 0 0,-1 0 0,1 0 0,0 0 0,0 0 1,0 0-1,0-1 0,0 1 0,-1 0 0,1 0 0,0 0 0,0 0 0,0 0 0,0 0 0,-1 0 1,1 0-1,0 0 0,0 0 0,0 0 0,0 0 0,-1 0 0,1 0 0,0 0 0,0 0 1,0 0-1,0 0 0,-1 0 0,1 0 0,0 0 0,0 0 0,0 1 0,0-1 0,0 0 0,-1 0 1,1 0-1,0 0 0,0 0 0,0 0 0,0 0 0,0 1 0,0-1 0,-1 0 0,1 0 0,-9 11-39,5 1 31,1 0 0,0 0 0,1 1 0,1-1 0,0 1 1,1-1-1,0 1 0,0-1 0,2 1 0,0-1 0,0 0 0,1 0 0,0 1 0,1-2 0,1 1 0,-1 0 1,2-1-1,0 0 0,0 0 0,1-1 0,10 12 0,-14-18-73,1 1 0,0-1 0,1 0 0,-1 0 0,1 0 1,0 0-1,0-1 0,0 0 0,0 0 0,0 0 0,1-1 0,-1 0 0,1 0 0,0 0 0,0-1 1,-1 1-1,1-2 0,0 1 0,8 0 0,-12-2 76,0 0-1,1 1 1,-1-1 0,0 0 0,0 0 0,0 0-1,0-1 1,0 1 0,0 0 0,0-1-1,-1 1 1,1-1 0,0 0 0,-1 1-1,1-1 1,-1 0 0,0 0 0,1 0-1,-1 0 1,0 0 0,0 0 0,-1-1-1,2-2 1,18-61 29,-18 57-23,2-7 23,47-159 1418,-51 175-1438,0 1 1,0-1 0,0 0 0,0 0-1,0 0 1,0 0 0,0 0 0,1 0-1,-1 1 1,0-1 0,0 0 0,0 0-1,0 0 1,0 0 0,0 0 0,1 0-1,-1 0 1,0 0 0,0 0 0,0 1 0,0-1-1,0 0 1,1 0 0,-1 0 0,0 0-1,0 0 1,0 0 0,0 0 0,0 0-1,1 0 1,-1 0 0,0 0 0,0 0-1,0 0 1,0 0 0,1 0 0,-1-1-1,0 1 1,0 0 0,0 0 0,0 0-1,0 0 1,0 0 0,1 0 0,-1 0-1,0 0 1,0 0 0,0-1 0,0 1-1,0 0 1,0 0 0,0 0 0,0 0-1,1 0 1,-1-1 0,3 17-175,-3-14 226,1 4-62,1 0 0,-1 0-1,1 0 1,0 0-1,0 0 1,1 0 0,0-1-1,0 1 1,4 5-1,-4-8-6,-1-1-1,0 0 1,1 0-1,-1 0 1,1 0-1,0 0 1,-1 0-1,1-1 1,0 1-1,0-1 1,0 0-1,0 0 1,1 0-1,-1 0 1,0-1-1,0 1 1,1-1-1,-1 0 1,4 0-1,-6 0 11,-1-1-1,1 0 0,0 1 1,-1-1-1,1 0 1,-1 0-1,0 1 0,1-1 1,-1 0-1,1 0 0,-1 0 1,0 0-1,0 1 0,1-1 1,-1 0-1,0 0 1,0 0-1,0 0 0,0 0 1,0 0-1,0 1 0,0-3 1,0 1-3,0 0 0,0 1 1,0-1-1,-1 0 1,1 0-1,0 0 0,-1 0 1,1 0-1,-1 0 1,1 1-1,-2-4 0,-1 3-1,1 1 0,-1-1 0,0 1 0,1-1-1,-1 1 1,0 0 0,0 0 0,0 0 0,0 0-1,0 1 1,0-1 0,0 1 0,0-1 0,0 1-1,0 0 1,0 1 0,-6 0 0,6-1 2,-1 1-1,1-1 1,-1 1 0,1 0 0,0 0 0,-1 0-1,1 1 1,0-1 0,0 1 0,0 0 0,0 0-1,0 0 1,0 0 0,-4 5 0,2 2-5,0-1-1,1 2 1,1-1 0,0 0 0,0 1 0,0-1 0,1 1-1,1 0 1,0 0 0,0 0 0,1-1 0,0 1 0,1 0-1,0 0 1,4 18 0,-3-24-16,-1 0 0,1 0 1,0 0-1,0-1 0,0 1 0,1-1 0,-1 0 0,1 1 0,0-1 1,0 0-1,0-1 0,0 1 0,0-1 0,1 1 0,-1-1 1,1 0-1,0 0 0,-1 0 0,1-1 0,0 1 0,0-1 0,0 0 1,0 0-1,0 0 0,1-1 0,-1 1 0,0-1 0,0 0 1,0-1-1,0 1 0,6-2 0,-7 1 15,0 0 1,0 0-1,-1-1 1,1 0-1,-1 0 0,1 1 1,-1-1-1,1-1 0,-1 1 1,0 0-1,0 0 0,0-1 1,0 0-1,-1 1 0,1-1 1,-1 0-1,1 1 1,-1-1-1,0 0 0,1-4 1,3-7 37,-1 0 0,-1 0 0,3-15 1,-4-4 310,0-1 0,-4-42 1,2 75-326,0 0 1,0 0-1,0 0 1,-1 1-1,1-1 1,0 0-1,0 0 1,-1 0-1,1 1 1,-1-1-1,1 0 1,-1 1 0,1-1-1,-1 0 1,1 1-1,-1-1 1,1 0-1,-1 1 1,0-1-1,1 1 1,-1-1-1,-1 0 1,2 1-19,-1 0 1,1 0-1,-1 0 0,1 0 1,-1 0-1,1 0 0,-1 0 1,1 0-1,-1 0 0,1 0 1,-1 0-1,1 0 0,-1 0 1,1 0-1,-1 0 0,1 1 1,-1-1-1,1 0 0,0 0 1,-1 1-1,1-1 0,-1 0 1,1 1-1,0-1 0,-1 0 1,1 1-1,0-1 0,-1 0 1,1 1-1,0-1 0,0 1 1,-1-1-1,1 0 0,0 1 1,0-1-1,0 1 0,0-1 1,-1 1-1,1-1 0,0 2 1,-2 6-15,0 1-1,1 0 1,-1 0 0,2 0 0,-1 0-1,1 0 1,1 0 0,0 0 0,0 0 0,3 11-1,-2-14-58,0 0 0,0 0 0,0 0 0,1 0 0,0-1 0,0 1 0,0-1 0,1 0-1,-1 0 1,1 0 0,1 0 0,-1-1 0,1 1 0,0-1 0,8 5 0,-10-6 29,1-1-1,-1 0 1,1 0 0,-1-1 0,1 1 0,0-1 0,0 0-1,0 0 1,0 0 0,0 0 0,0-1 0,0 1 0,0-1-1,0 0 1,0 0 0,0-1 0,0 1 0,0-1-1,8-2 1,-7 0 73,0 1 0,-1-1 0,1 0 0,0-1-1,-1 1 1,0-1 0,0 0 0,0 0 0,0 0-1,0-1 1,-1 1 0,0-1 0,5-8 0,22-54 1099,-23 48-364,1 1 0,16-27 0,-22 47-728,0 0 0,0 1 0,0-1 1,-1 1-1,1-1 0,-1 1 0,0 0 1,0-1-1,0 1 0,1 4 0,-1-5 3,3 9-101,1 0 1,0 0-1,1-1 0,0 0 0,0 0 0,1-1 0,1 1 0,0-2 0,14 14 1,-20-20 35,1 0 0,0 1 1,0-1-1,0 0 1,0-1-1,0 1 0,0 0 1,1-1-1,-1 0 0,1 0 1,-1 0-1,1 0 1,-1 0-1,1-1 0,-1 0 1,1 1-1,-1-1 0,1-1 1,0 1-1,-1 0 1,1-1-1,-1 0 0,1 0 1,-1 0-1,1 0 1,-1 0-1,0-1 0,0 0 1,1 1-1,-1-1 0,0 0 1,-1-1-1,1 1 1,4-5-1,64-70 1597,-71 76-1566,1 1-1,-1 0 1,0 0-1,1 0 1,-1 0-1,0 0 1,1-1-1,-1 1 1,0 0-1,1 0 1,-1 0-1,0 0 1,1 0-1,-1 0 1,0 0-1,1 0 1,-1 0-1,0 0 1,1 1-1,-1-1 1,0 0-1,1 0 1,-1 0-1,0 0 1,0 0-1,1 1 1,-1-1-1,0 0 1,1 0-1,-1 0 1,0 1-1,0-1 0,1 0 1,-1 0-1,0 1 1,0-1-1,0 0 1,0 1-1,1-1 1,-1 0-1,0 1 1,0-1-1,0 1 1,7 14-42,-7-15 42,4 12-227,0 0 0,-1 0 0,-1 1 1,0-1-1,-1 1 0,0 14 0,-1-26 55,0 0-1,0-1 0,0 1 1,0-1-1,0 1 1,0-1-1,0 1 1,0-1-1,0 1 1,0-1-1,-1 0 1,1 1-1,0-1 1,0 1-1,-1-1 1,1 1-1,0-1 0,-1 0 1,1 1-1,0-1 1,-1 1-1,1-1 1,-1 0-1,1 0 1,0 1-1,-1-1 1,1 0-1,-1 0 1,1 1-1,-1-1 1,1 0-1,-1 0 0,1 0 1,-1 0-1,1 0 1,-1 0-1,1 0 1,-1 0-1,1 0 1,-1 0-1,1 0 1,-1 0-1,1 0 1,-2 0-1,0 0-974,-23 0-11691</inkml:trace>
  <inkml:trace contextRef="#ctx0" brushRef="#br0" timeOffset="9174.92">7980 3 10373,'0'0'3201</inkml:trace>
  <inkml:trace contextRef="#ctx0" brushRef="#br0" timeOffset="9690.33">9361 378 9957,'0'0'4722</inkml:trace>
</inkml:ink>
</file>

<file path=xl/ink/ink5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5:17.080"/>
    </inkml:context>
    <inkml:brush xml:id="br0">
      <inkml:brushProperty name="width" value="0.05" units="cm"/>
      <inkml:brushProperty name="height" value="0.05" units="cm"/>
      <inkml:brushProperty name="color" value="#F6630D"/>
    </inkml:brush>
  </inkml:definitions>
  <inkml:trace contextRef="#ctx0" brushRef="#br0">38 0 1088,'0'0'14386,"-3"7"-13770,-3 5-248,1 0 0,1 0 1,0 1-1,1-1 0,0 1 0,1 0 0,-1 16 0,0 105 1149,3-72-1241,-2 6-24,4 112 286,-2-178-530,0 0 1,0 1-1,0-1 1,0 0-1,1 0 1,0 1-1,-1-1 1,1 0-1,0 0 1,0 0-1,0 0 1,0 0-1,0 0 1,0 0-1,1-1 1,-1 1-1,1 0 1,-1-1-1,1 1 1,0-1-1,-1 1 1,4 1-1,-3-3-1,0 1 0,0-1-1,0 1 1,0-1 0,0 0-1,0 0 1,0 0-1,0 0 1,1-1 0,-1 1-1,0 0 1,0-1 0,0 1-1,0-1 1,0 0 0,0 0-1,-1 0 1,1 0 0,0 0-1,0 0 1,-1 0-1,1-1 1,2-1 0,12-12-2907,0-1 1,18-23 0,-9 9-1577,-11 14-1826</inkml:trace>
  <inkml:trace contextRef="#ctx0" brushRef="#br0" timeOffset="374.11">196 427 4178,'0'0'12104,"-4"-5"-11269,-14-18-312,5 16 229,20 9-471,34-4 89,-26 0-323,0 2-1,0 0 1,1 0-1,25 5 0,-38-4-54,-1 0-1,1 1 0,0-1 0,-1 0 1,1 1-1,0 0 0,-1-1 0,0 1 1,1 0-1,-1 1 0,0-1 0,0 0 1,0 0-1,-1 1 0,1-1 0,-1 1 0,1 0 1,-1-1-1,0 1 0,0 0 0,0 0 1,1 4-1,1 4-46,-1 0 1,0 1-1,-1-1 0,0 17 1,-1-26 4,-1-1 0,1 0 0,0 1 0,0-1 1,-1 1-1,1-1 0,0 0 0,-1 1 0,1-1 1,-1 0-1,0 1 0,0-1 0,1 0 0,-1 0 0,0 0 1,0 0-1,0 0 0,0 0 0,0 0 0,-2 2 1,-1-1-9,1 0 1,-1 0 0,1-1-1,-1 1 1,0-1-1,0 1 1,-5 0 0,-7 0-1680,0 0 0,-28 0 0,42-2 1359,-17 0-5022</inkml:trace>
  <inkml:trace contextRef="#ctx0" brushRef="#br0" timeOffset="1592.74">1094 619 2961,'0'0'11376,"-6"-1"-10538,6 1-697,-2 1-47,0-1 0,0 0 0,1-1 0,-1 1 0,0 0 0,0 0 0,1-1 0,-1 1 0,0-1 1,1 1-1,-1-1 0,0 0 0,1 0 0,-1 1 0,-1-3 0,2 1-47,0 0 0,0 0 0,1 0 0,-1-1 1,1 1-1,0 0 0,0 0 0,0 0 0,0-1 0,0 1 0,0 0 0,0 0 0,1 0 0,-1-1 1,1 1-1,-1 0 0,1 0 0,0 0 0,0 0 0,0 0 0,0 0 0,2-1 0,3-7-130,1 1-1,1 0 0,9-8 1,-2 1-47,-9 9 43,1-1 4,-1 0 0,1 0 0,6-13 0,-12 20 201,1 88 380,29 170 1,-25-224-469,-1 0 0,-2 1 0,-2 49 0,-1-82-31,-1 0 0,1 0 1,-1 0-1,1 0 0,-1 0 0,1-1 0,-1 1 0,0 0 0,1 0 0,-1-1 0,0 1 0,0 0 0,0-1 0,0 1 0,1-1 0,-1 1 0,0-1 0,0 1 0,0-1 0,0 0 0,0 0 0,0 1 0,0-1 1,0 0-1,0 0 0,0 0 0,0 0 0,0 0 0,0 0 0,-2-1 0,-34-1 92,29-1-45,1 1 1,-1-1-1,0-1 1,1 1-1,0-1 1,-1-1-1,2 1 0,-1-1 1,0 0-1,1-1 1,-10-10-1,16 15-190,5 7-640,5 1 562,0-1-1,1 0 1,0-1 0,1 0 0,-1 0 0,1-1 0,0-1-1,0 0 1,0 0 0,0-1 0,0-1 0,1 0-1,18-1 1,-26-1 186,0 1 0,-1 0 0,1-1 0,-1 0 0,1 0-1,-1 0 1,1-1 0,-1 1 0,0-1 0,1 0 0,-1 0 0,0-1 0,0 1 0,4-4-1,-3 0 37,1 1 0,-1-1-1,0 0 1,0 0-1,0 0 1,-1-1-1,6-13 1,-3 3 46,0 0 0,-2 0 1,0-1-1,-1 0 0,0 0 0,0-30 1,-3 38 17,0-111 584,-2 110-302,0 0-1,-1 0 1,0-1 0,0 1-1,-1 1 1,-1-1 0,0 0-1,-8-14 1,12 25-331,0 0 0,0 0 0,0 0 0,0-1 1,0 1-1,0 0 0,0 0 0,0 0 0,0 0 0,0 0 1,0 0-1,0 0 0,0 0 0,0-1 0,0 1 1,0 0-1,-1 0 0,1 0 0,0 0 0,0 0 0,0 0 1,0 0-1,0 0 0,0 0 0,0 0 0,0 0 0,0 0 1,-1 0-1,1 0 0,0-1 0,0 1 0,0 0 0,0 0 1,0 0-1,0 0 0,0 0 0,-1 0 0,1 0 0,0 0 1,0 0-1,0 0 0,0 1 0,0-1 0,0 0 0,0 0 1,-1 0-1,1 0 0,0 0 0,0 0 0,0 0 1,0 0-1,0 0 0,0 0 0,0 0 0,0 0 0,0 0 1,0 0-1,-1 1 0,1-1 0,0 0 0,0 0 0,0 0 1,0 0-1,0 0 0,0 0 0,0 0 0,0 1 0,-3 13 158,2 18-342,0 1 220,2 0-1,1 0 1,2 1 0,1-2-1,10 35 1,6-4-1075,45 96-1,-61-152 354,0 0-759</inkml:trace>
  <inkml:trace contextRef="#ctx0" brushRef="#br0" timeOffset="1737.46">1359 823 2401,'0'0'4994,"117"20"-4737,-59-18-257,12-2-5043</inkml:trace>
  <inkml:trace contextRef="#ctx0" brushRef="#br0" timeOffset="2465.34">1944 358 10325,'0'0'10738,"0"10"-10663,1 13 68,1-1 1,2 0-1,10 41 1,31 77 410,-22-73-420,53 181 10,-75-297-1177,-11 3 879,-20-62 0,-1 0 179,24 78-48,2 0 0,1 0 0,1 0-1,2 0 1,1 0 0,4-35 0,-4 62 15,1 1 0,0-1 1,-1 1-1,1-1 1,0 1-1,1 0 0,-1-1 1,0 1-1,1 0 1,-1 0-1,1 0 1,0 0-1,-1 0 0,1 0 1,0 0-1,0 1 1,0-1-1,1 1 0,-1-1 1,0 1-1,0 0 1,1 0-1,-1 0 0,1 0 1,-1 0-1,1 1 1,-1-1-1,5 0 0,-3 1 1,-1-1-1,1 1 0,0 0 0,-1 0 0,1 1 1,-1-1-1,1 1 0,-1 0 0,1 0 0,-1 0 1,1 0-1,-1 0 0,0 1 0,0-1 0,1 1 1,-1 0-1,0 0 0,-1 0 0,1 1 0,3 2 0,0 3 5,0 0-1,-1 1 0,0 0 0,0 0 1,-1 0-1,0 1 0,-1-1 0,0 1 0,-1 0 1,3 14-1,-1 11-24,-1 57 1,-3-82-15,0-3-39,0-1-1,-1 0 1,1 1 0,-1-1 0,0 0-1,-1 0 1,1 0 0,-1 0 0,-1 0-1,1 0 1,-1-1 0,0 1 0,0-1-1,-1 1 1,1-1 0,-1 0 0,0 0-1,-1-1 1,-7 8 0,11-12 85,1 0 0,0 0 0,0 0 0,-1 0 0,1 0 1,0 0-1,-1 0 0,1 0 0,0 0 0,0-1 0,-1 1 0,1 0 0,0 0 0,0 0 0,-1 0 1,1 0-1,0-1 0,0 1 0,0 0 0,-1 0 0,1 0 0,0 0 0,0-1 0,0 1 0,-1 0 1,1 0-1,0-1 0,0 1 0,0 0 0,0 0 0,0-1 0,0 1 0,0 0 0,0 0 0,-1-1 1,1 1-1,0 0 0,0-1 0,0 1 0,0 0 0,0 0 0,1-1 0,-1 1 0,0 0 0,0-1 0,0 1 1,0 0-1,0 0 0,0-1 0,0 1 0,1 0 0,3-19 26,-1 16-35,1 0 0,-1 1 1,0-1-1,1 1 0,0 0 1,0 0-1,-1 1 0,1-1 1,0 1-1,0 0 0,0 0 1,1 0-1,-1 0 0,0 1 1,0 0-1,6 0 0,-5 0-7,1 0 0,0 0-1,0 1 1,0 0 0,-1 0 0,1 0-1,0 1 1,-1-1 0,1 1 0,-1 1-1,7 3 1,-7-2 13,0 0 0,-1 0 0,1 1 0,-1 0 0,0-1 0,-1 1 0,1 1 1,-1-1-1,0 0 0,0 1 0,-1 0 0,1-1 0,-1 1 0,-1 0 0,3 10 0,-4-13-9,1 1 0,-1 0-1,1 0 1,-1 0 0,0 0-1,-1 0 1,1 0 0,-1 0 0,1 0-1,-1 0 1,0 0 0,-1 0 0,1-1-1,-1 1 1,0 0 0,1-1 0,-2 1-1,1-1 1,0 0 0,-1 0 0,1 0-1,-1 0 1,0 0 0,-6 4 0,-5 1-88,-1 0-1,-1-2 1,1 0 0,-1 0 0,-1-1 0,1-1 0,0-1 0,-1 0 0,0-2 0,-30 1 0,73-5-7225,13-6 1036</inkml:trace>
  <inkml:trace contextRef="#ctx0" brushRef="#br0" timeOffset="5356.22">2614 698 4402,'0'0'9487,"-17"-16"-7945,-52-48-291,67 63-1197,-1-1 0,1 0 0,0 0 0,-1 1 0,1 0 0,-1-1 0,1 1 0,-1 0 0,0 0 0,1 0 0,-4 0 0,4 1-44,1 0 0,0 0 0,0 0 0,-1 0 0,1 0 0,0 0 0,0 1 1,0-1-1,0 0 0,-1 1 0,1-1 0,0 1 0,0-1 0,0 1 0,0 0 0,0-1 0,-2 2 0,1 2-13,-1-1 0,1 0 0,-1 1 0,1 0 0,0-1 0,0 1 0,1 0 0,-1 0-1,0 5 1,0-4 46,-3 12-37,1 0 1,1 0 0,1 0-1,0 0 1,1 1 0,1-1-1,0 1 1,1-1 0,7 29-1,-7-41-102,0 0 0,1 0-1,0-1 1,0 1-1,0-1 1,0 0 0,1 1-1,-1-1 1,1 0 0,0 0-1,1-1 1,-1 1-1,1-1 1,-1 1 0,1-1-1,0 0 1,0-1-1,0 1 1,1-1 0,-1 1-1,1-1 1,-1-1-1,1 1 1,0-1 0,0 1-1,-1-1 1,1-1 0,0 1-1,0-1 1,8 0-1,-10-1 106,-1 0 0,1 0-1,-1 0 1,0 0 0,1-1-1,-1 1 1,0-1-1,0 1 1,0-1 0,0 0-1,0 0 1,0 0 0,0 0-1,-1 0 1,1 0-1,-1-1 1,1 1 0,-1 0-1,0-1 1,0 1 0,0-1-1,0 1 1,0-6 0,3-4 111,-1-1 0,-1 0 0,2-21 1,-3 14 262,1 5-48,-1 1-1,-1-1 1,0 0-1,-1 0 1,-5-21-1,6 36-332,0 0-1,0 0 0,0 0 1,0 0-1,0 0 1,0 0-1,0 0 1,0 0-1,0 0 1,0 0-1,0 0 1,0 1-1,-1-1 0,1 0 1,0 0-1,0 0 1,0 0-1,0 0 1,0 0-1,0 0 1,0 0-1,0 0 1,0 0-1,0 0 0,0 0 1,-1 0-1,1 0 1,0-1-1,0 1 1,0 0-1,0 0 1,0 0-1,0 0 1,0 0-1,0 0 0,0 0 1,0 0-1,0 0 1,0 0-1,0 0 1,0 0-1,0 0 1,-1 0-1,1 0 1,0 0-1,0 0 0,0 0 1,0-1-1,0 1 1,0 0-1,0 0 1,0 0-1,0 0 1,-2 13 61,-1 18-5,3-17-372,1 0 0,-1 0 0,2 0 0,0 1 0,1-2 0,5 17 1,-7-26 232,1-1 0,-1 1 0,1-1 0,0 1 0,0-1 0,0 0 0,0 0 0,1 0 1,-1 0-1,1 0 0,0 0 0,0-1 0,0 1 0,0-1 0,0 0 0,0 0 0,0 0 1,1 0-1,-1-1 0,1 1 0,0-1 0,-1 0 0,1 0 0,0 0 0,0-1 0,-1 1 1,1-1-1,4 0 0,-6-1 86,1 1 1,-1-1 0,0 1-1,1-1 1,-1 0 0,0 0-1,0 0 1,0 0 0,0-1-1,0 1 1,0 0 0,0-1-1,0 1 1,-1-1 0,1 0-1,0 0 1,-1 0 0,1 0-1,-1 0 1,0 0 0,0 0-1,0 0 1,0 0-1,1-4 1,3-7 99,-1 0 0,0 0-1,2-14 1,-1-20 2277,-1-75 1,-4 116-1444,0 9-951,0 6 4,0-1-1,0 0 1,0 0 0,1 0-1,0 0 1,1 0 0,0 0-1,0 0 1,0-1-1,7 14 1,20 23 141,12 23-949,-38-61 452,0 0-1,-1 1 1,1-1 0,-1 1-1,-1 0 1,1 0 0,-1-1-1,1 13 1,-2-19 270,-1 1 0,1 0 0,0 0 0,0-1 0,0 1 0,0 0 0,-1-1 0,1 1 0,0 0 0,-1-1 0,1 1 0,0 0 0,-1-1 1,1 1-1,-1 0 0,1-1 0,-1 1 0,1-1 0,-1 1 0,0-1 0,1 1 0,-1-1 0,1 0 0,-1 1 0,0-1 0,0 0 0,0 1 0,-29 2-1207,25-3 1173,0 0 1,0-1 0,0 0 0,0 0-1,0 0 1,0 0 0,0-1 0,1 0-1,-6-3 1,5 1 118,1 0 0,0 0 1,0 0-1,1-1 0,-1 1 0,-3-8 0,-19-23 1461,25 35-1492,2 2-267,0 2 280,0-1 0,0 1 1,1-1-1,0 0 0,-1 0 0,1 1 0,0-1 0,1-1 0,-1 1 0,0 0 1,1 0-1,0-1 0,0 1 0,-1-1 0,1 0 0,0 0 0,1 0 0,-1-1 1,0 1-1,1-1 0,-1 1 0,4 0 0,4 2-687,1-1 0,-1 0 1,1 0-1,-1-1 0,24 1 0,-29-3 720,0-1-1,0 1 0,0-1 1,0 0-1,0-1 0,0 1 1,-1-1-1,1 0 0,0-1 1,-1 1-1,0-1 0,1 0 1,-1-1-1,-1 1 0,1-1 1,0 0-1,-1 0 0,0 0 1,0-1-1,0 1 0,0-1 1,-1 0-1,0 0 0,0-1 1,0 1-1,0-1 0,2-10 1,0-1 852,0 0 0,-2-1 0,0 1 0,-1-1 1,0 0-1,-2 0 0,0 0 0,-5-30 0,5 47-792,0 0 0,0 0 0,-1 0 0,1 0 0,0 0 0,-1 0 0,1 0 1,0 0-1,-1 0 0,0 0 0,1 0 0,-1 1 0,1-1 0,-1 0 0,0 0 0,0 1 0,1-1 0,-1 0 0,0 1 0,0-1 0,0 1 0,-1-2 0,1 2-55,0 0 0,1 0 0,-1 0-1,1 0 1,-1 0 0,1 0 0,-1 0 0,0 0 0,1 1 0,-1-1-1,1 0 1,-1 0 0,1 0 0,-1 1 0,1-1 0,-1 0-1,1 0 1,-1 1 0,1-1 0,-1 1 0,1-1 0,-1 0 0,1 1-1,0-1 1,-1 1 0,1-1 0,0 1 0,-1-1 0,1 1-1,0-1 1,0 1 0,-1-1 0,1 1 0,0 0 0,0-1 0,0 1-1,0-1 1,0 1 0,0-1 0,0 2 0,-3 12 14,2 1 0,0 0 0,0 0-1,1 0 1,1 0 0,1 0 0,0 0 0,4 14 0,-4-22-129,0 1-1,0-1 1,1-1 0,0 1-1,0 0 1,0-1 0,1 1-1,0-1 1,0 0 0,1 0-1,0-1 1,0 1 0,0-1-1,1 0 1,-1 0 0,1-1-1,0 0 1,9 5 0,-12-7 61,1-1 1,-1 1 0,0-1 0,1 0 0,-1 0-1,1 0 1,-1 0 0,1 0 0,0-1-1,-1 0 1,1 0 0,-1 0 0,1 0-1,0 0 1,-1-1 0,1 1 0,-1-1 0,1 0-1,-1 0 1,1 0 0,-1-1 0,1 1-1,-1-1 1,0 0 0,0 0 0,0 0-1,0 0 1,0-1 0,-1 1 0,1-1 0,-1 1-1,1-1 1,-1 0 0,3-6 0,4-11 320,-2 0 1,0 0-1,-1 0 0,-1-1 1,-1 0-1,3-41 1,2-9 2774,-9 71-3048,0 0 0,0-1 0,0 1 0,0 0 0,1 0 0,-1-1 0,0 1 0,0 0 0,0-1 0,1 1 0,-1 0 0,0 0 0,0-1 1,1 1-1,-1 0 0,0 0 0,0 0 0,1-1 0,-1 1 0,0 0 0,1 0 0,-1 0 0,0 0 0,1 0 0,-1 0 0,0-1 0,1 1 0,-1 0 0,0 0 0,1 0 0,-1 0 0,0 0 0,1 0 0,-1 0 0,0 1 0,1-1 0,-1 0 0,0 0 1,1 0-1,-1 0 0,0 0 0,1 0 0,-1 1 0,0-1 0,0 0 0,1 0 0,-1 0 0,0 1 0,0-1 0,1 0 0,-1 0 0,0 1 0,0-1 0,0 0 0,1 1 0,-1 0 0,15 14-31,-1 9-390,11 12-2849,-25-36 3163,0-19 17,-1 14 179,0 1 1,-1 0-1,1 0 0,0 0 0,-1 0 1,0 0-1,0 1 0,0-1 1,-1 0-1,1 1 0,-1 0 1,-5-6-1,6 7-49,1 1-1,-1-1 1,0 1 0,0-1-1,0 1 1,1 0 0,-1 0-1,-1 0 1,1 0 0,0 0-1,0 0 1,0 0 0,0 1-1,-1-1 1,1 1 0,0 0 0,-1-1-1,1 1 1,0 0 0,0 0-1,-1 1 1,1-1 0,0 0-1,-1 1 1,-2 1 0,3-1-51,0 0 1,0 0 0,1 1-1,-1-1 1,1 0 0,-1 1-1,1 0 1,0-1-1,-1 1 1,1 0 0,0-1-1,0 1 1,0 0 0,0 0-1,0 0 1,1 0 0,-1 0-1,1 0 1,-1 0 0,1 4-1,-3 48-19,3-42 51,0-5-68,1 1 0,0-1 0,0 1 1,0-1-1,1 1 0,0-1 0,0 0 0,0 0 1,1 0-1,1 0 0,-1 0 0,5 6 1,-5-9-107,0 0 1,1 0 0,-1-1-1,1 1 1,-1-1 0,1 0-1,0 0 1,0 0 0,0-1-1,1 0 1,-1 1 0,1-1-1,-1-1 1,1 1 0,-1-1-1,1 1 1,0-1 0,0-1-1,8 1 1,-9 0 103,0-1-1,0 0 0,1 0 1,-1-1-1,0 1 1,0-1-1,0 0 1,0 0-1,0 0 1,0-1-1,0 1 0,8-5 1,-7 2 68,0-1 1,0 1-1,-1-1 0,0 0 1,1-1-1,-2 1 1,6-10-1,16-28 1259,-2 0 0,31-87 1,-54 129-1237,0 0 0,0 1 0,0-1 0,0 0 0,1 1-1,-1-1 1,0 0 0,1 1 0,-1-1 0,0 1 0,1-1 0,-1 1 0,0-1 0,1 1 0,-1-1 0,1 1 0,-1-1 0,1 1 0,0-1 0,-1 1 0,1 0 0,-1-1 0,1 1 0,-1 0 0,1 0 0,0-1 0,-1 1 0,2 0 0,-1 0-29,0 1 1,0-1-1,0 0 1,0 1-1,1-1 1,-1 1-1,0 0 0,0-1 1,-1 1-1,1 0 1,0-1-1,0 1 1,0 0-1,0 0 0,0 1 1,28 43-391,-25-37 533,0-1-146,0-1-307,0 1 0,0 0 0,0-1 1,1 0-1,0 0 0,7 5 0,-12-10 283,0-1 0,0 0 0,0 0 0,0 0 0,0 0 1,1 0-1,-1 0 0,0 0 0,0 0 0,0 0 0,0 0 0,1 0 0,-1 0 0,0 0 0,0 0 0,0 0 0,0 0 0,1 0 1,-1 0-1,0 0 0,0 0 0,0 0 0,0 0 0,1 0 0,-1 0 0,0 0 0,0 0 0,0 0 0,0 0 0,1 0 1,-1 0-1,0-1 0,0 1 0,0 0 0,0 0 0,0 0 0,0 0 0,0 0 0,1 0 0,-1-1 0,0 1 0,0 0 0,0 0 1,0 0-1,0 0 0,0-1 0,0 1 0,0 0 0,3-16-184,-5-16 156,1 29 98,-1-1 0,0 1 1,0 0-1,0-1 0,0 1 0,0 0 0,0 0 0,-1 0 0,0 1 1,1-1-1,-1 1 0,0-1 0,-1 1 0,1 0 0,0 0 0,0 0 1,-7-2-1,4 2-8,0 0 0,1 0 0,-1 1 1,0-1-1,0 1 0,0 1 0,0-1 1,0 1-1,-1 0 0,-9 2 0,13-1-54,0 0 0,0 0 0,0 1-1,1-1 1,-1 1 0,0-1 0,1 1-1,-1 0 1,1 0 0,0 0 0,-1 1 0,1-1-1,0 1 1,0-1 0,1 1 0,-1-1-1,0 1 1,1 0 0,0 0 0,-1 0 0,1 0-1,1 0 1,-1 0 0,0 0 0,0 4-1,-2 10 15,1 1 0,0-1-1,2 20 1,0-33-30,0-1 1,0 1-1,1 0 0,-1-1 1,1 1-1,0 0 0,0-1 1,0 1-1,0-1 0,1 0 1,0 1-1,-1-1 0,1 0 1,0 0-1,1 0 0,-1 0 1,0-1-1,1 1 0,0-1 1,-1 1-1,1-1 0,0 0 1,0 0-1,4 2 0,-1-1-61,-1-1-1,1 0 0,0 0 0,0-1 1,0 1-1,0-1 0,0-1 0,0 1 0,0-1 1,1 0-1,-1 0 0,0-1 0,0 0 1,6-1-1,-8 0 83,0 1 0,0-1 0,-1 0 0,1 0 0,-1 0 0,1-1 0,-1 1 0,0-1 0,0 0 0,0 0 0,-1 0 0,1 0 0,-1 0 0,1-1 0,-1 1 1,0-1-1,0 1 0,-1-1 0,3-7 0,0 1 164,-1-1 0,0 0 0,-1 1 0,0-1-1,0 0 1,-1-13 0,0 13 88,-1-19 469,0 30-714,0-1 0,0 1-1,0-1 1,0 1-1,0-1 1,0 1-1,0-1 1,0 1-1,-1-1 1,1 1 0,0-1-1,0 1 1,0-1-1,-1 1 1,1-1-1,0 1 1,0 0-1,-1-1 1,1 1-1,0-1 1,-1 1 0,1 0-1,0-1 1,-1 1-1,1 0 1,-1-1-1,1 1 1,-1 0-1,1 0 1,-1-1-1,1 1 1,-1 0 0,1 0-1,-1 0 1,1 0-1,-1 0 1,0 0-1,0 0-11,0 1-1,0-1 0,1 1 0,-1-1 1,0 1-1,0 0 0,1-1 0,-1 1 1,0 0-1,1 0 0,-1-1 0,0 1 1,1 0-1,-1 0 0,1 0 0,0 0 1,-1 0-1,1 0 0,0 0 0,-1 0 1,1 0-1,0 2 0,-4 24-20,4-27 23,0 11 19,-2 5-159,1 1-1,3 26 0,-2-40-5,0 1 0,1-1 0,-1 0-1,1 0 1,0 0 0,0 0 0,0 0 0,0 0-1,1 0 1,-1 0 0,1 0 0,0 0 0,-1-1-1,1 1 1,0-1 0,1 1 0,-1-1 0,0 0-1,6 4 1,-6-5 3,0 0-1,0 0 1,-1-1 0,1 1-1,0 0 1,0-1 0,0 1-1,0-1 1,0 0 0,0 0-1,1 0 1,-1 0 0,0 0-1,0 0 1,0 0-1,0-1 1,0 1 0,0-1-1,3-1 1,-1 0 78,0 0 0,0-1 0,-1 1 0,1-1 0,-1 0 0,0 0 0,0 0 0,6-7 0,1-5 185,-1 0 1,0 0-1,10-26 1,-11 17 141,0 0 1,-2 0-1,-1-1 1,-1 0-1,-1 0 1,-2 0-1,0 0 1,-3-26 0,2 39-2,-1 1 1,-1-1 0,0 1 0,0-1 0,-1 1 0,0 0 0,-1 0 0,-1 0 0,1 1-1,-2-1 1,1 1 0,-9-11 0,13 20-244,0 0-1,1 0 1,-1 0-1,0 0 1,0 0-1,0 0 1,0 0-1,1 1 1,-1-1-1,0 0 1,-1 1 0,1-1-1,0 0 1,0 1-1,0-1 1,0 1-1,0-1 1,-2 1-1,2 0-3,0 0 1,1 0-1,-1 0 0,0 0 0,1 1 0,-1-1 0,0 0 0,1 1 1,-1-1-1,0 0 0,1 1 0,-1-1 0,0 1 0,1-1 0,-1 1 0,1-1 1,-1 1-1,1-1 0,-1 1 0,1 0 0,0-1 0,-1 2 0,-1 2 32,0 1-1,0 0 1,0 0 0,1 0-1,-1 0 1,1 1-1,0 5 1,-1 20-78,1 0 1,1 0 0,2 0 0,1 0-1,2-1 1,0 1 0,2-1 0,2 0-1,1-1 1,1 0 0,22 42 0,-31-67-160,1 0 1,0 0 0,0 0-1,0 0 1,0 0-1,1-1 1,0 1 0,-1-1-1,1 0 1,0 0-1,1 0 1,-1-1 0,0 0-1,1 0 1,0 0-1,8 3 1,-10-5 174,1 1-1,0-1 0,-1 1 1,1-1-1,0 0 1,0 0-1,-1-1 1,1 1-1,0-1 0,-1 0 1,1 0-1,-1 0 1,1 0-1,-1-1 1,1 1-1,-1-1 1,0 0-1,0 0 0,0 0 1,0 0-1,0-1 1,4-4-1,2-4 95,0 0 0,-2-1-1,1 1 1,-1-1 0,-1-1 0,-1 1-1,1-1 1,-2 0 0,0-1 0,0 1-1,2-22 1,-1-15 1316,-1-92 0,-4 101 19,-7 62-806,3 26-635,3 1-1,2 0 1,2 0-1,2 0 1,20 84-1,-24-128-93,0-1 1,1 1-1,-1-1 0,1 0 1,-1 1-1,1-1 0,0 0 1,0 0-1,1 0 0,-1-1 1,1 1-1,-1 0 0,1-1 1,0 0-1,0 1 0,0-1 1,5 2-1,-6-3 100,1 0 0,-1 0 1,0-1-1,0 1 0,1-1 0,-1 0 0,0 1 0,1-1 0,-1 0 1,0 0-1,1-1 0,-1 1 0,0 0 0,1-1 0,-1 0 0,0 1 1,0-1-1,1 0 0,-1 0 0,0 0 0,0 0 0,0-1 0,0 1 1,0 0-1,-1-1 0,1 0 0,2-2 0,4-5 144,0-1 0,-1 0-1,0 0 1,0-1 0,-2 0-1,1 0 1,-1 0 0,-1 0 0,0-1-1,0 0 1,-1 0 0,-1 0-1,0 0 1,-1 0 0,0-1 0,-1 1-1,0 0 1,-1-1 0,-3-12 0,4 24-103,0 1 1,0 0 0,0-1 0,0 1 0,0 0 0,0-1-1,0 1 1,0 0 0,0-1 0,0 1 0,-1 0 0,1-1-1,0 1 1,0 0 0,0-1 0,-1 1 0,1 0-1,0 0 1,0-1 0,-1 1 0,1 0 0,0 0 0,-1-1-1,1 1 1,0 0 0,-1 0 0,1 0 0,0 0 0,-1 0-1,1 0 1,0-1 0,-1 1 0,1 0 0,0 0 0,-1 0-1,1 0 1,0 0 0,-1 0 0,1 0 0,-1 1 0,0-1-17,0 0 1,1 1 0,-1-1-1,0 1 1,1-1 0,-1 1 0,0-1-1,1 1 1,-1-1 0,1 1-1,-1 0 1,1-1 0,-1 1 0,1 0-1,-1 0 1,1-1 0,0 1-1,0 0 1,-1 0 0,1-1 0,0 2-1,-4 18 19,1 0-1,1 0 1,1 28 0,1-38-42,0 0 1,1 0 0,1 1-1,-1-1 1,2-1 0,-1 1-1,1 0 1,8 16 0,-8-21-115,0-1 0,1 0 1,-1 1-1,1-1 1,-1-1-1,1 1 0,1 0 1,-1-1-1,0 0 1,1 0-1,0 0 0,-1-1 1,1 0-1,0 0 0,0 0 1,7 2-1,-9-4 100,1 1-1,-1 0 0,1-1 0,-1 1 1,1-1-1,-1 0 0,1-1 0,0 1 1,-1 0-1,1-1 0,-1 0 1,1 0-1,-1 0 0,0 0 0,1-1 1,-1 1-1,0-1 0,0 0 1,0 0-1,0 0 0,0 0 0,0-1 1,-1 1-1,6-6 0,-2 0 121,-1-1 0,1 0-1,-1 0 1,-1 0 0,0-1-1,0 0 1,-1 1 0,0-1-1,2-13 1,-1-4 1277,-2 0 1,0-35-1,-10 100-225,4 50-1060,4 0 1,3 0-1,26 153 0,-25-225-432,-2-11-118,-1 0 1,0 0-1,0 0 0,0 0 1,-1 0-1,0 1 1,0-1-1,-1 9 1,-5-12-4538,-13-2-4137</inkml:trace>
</inkml:ink>
</file>

<file path=xl/ink/ink5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5:30.384"/>
    </inkml:context>
    <inkml:brush xml:id="br0">
      <inkml:brushProperty name="width" value="0.05" units="cm"/>
      <inkml:brushProperty name="height" value="0.05" units="cm"/>
      <inkml:brushProperty name="color" value="#F6630D"/>
    </inkml:brush>
  </inkml:definitions>
  <inkml:trace contextRef="#ctx0" brushRef="#br0">1 599 4690,'0'0'6977,"0"8"-6316,0 27-162,0-33-474,0 0-1,1 0 1,-1 0-1,1-1 1,0 1 0,0 0-1,0 0 1,0 0-1,0-1 1,0 1-1,0-1 1,0 1-1,1-1 1,-1 1 0,0-1-1,1 1 1,0-1-1,-1 0 1,1 0-1,0 0 1,-1 0-1,1 0 1,0 0 0,4 0-1,0 1 22,0 0 0,1-1-1,-1 1 1,1-2 0,10 1 0,-14-1-31,-1 1 1,1-1-1,0-1 1,0 1 0,-1 0-1,1-1 1,0 1-1,-1-1 1,1 0 0,0 0-1,-1 0 1,1 0 0,-1-1-1,0 1 1,1 0-1,-1-1 1,0 0 0,3-2-1,-2 0 8,-1 0-1,0 0 0,0 0 1,0 0-1,0 0 1,-1 0-1,1-1 1,-1 1-1,0 0 0,0-1 1,-1-5-1,2-1 148,-1 1-1,0-1 1,-1 0-1,0 0 1,-1 0-1,0 0 1,-5-19-1,5 27-126,0 0-1,0 0 0,0 0 1,-1 0-1,0 1 1,1-1-1,-1 0 0,0 1 1,0-1-1,-1 1 1,1-1-1,0 1 0,-1 0 1,1 0-1,-1 0 1,0 0-1,0 1 0,0-1 1,0 1-1,0 0 0,0 0 1,0 0-1,0 0 1,0 0-1,-1 0 0,1 1 1,0 0-1,0 0 1,-6 0-1,7 0-43,0 0 0,0 0 0,0 0 0,0 1 0,0-1 0,0 1 0,0-1 0,0 1 0,0 0 0,0 0 0,0 0 0,0 0 0,0 0 0,0 0 0,1 0 0,-1 1 0,1-1 0,-1 0 0,1 1 0,-1 0 0,0 1 0,-1 1-4,1 0 0,0 0 1,0 0-1,1 0 0,-1 1 1,1-1-1,0 0 0,0 1 0,0 7 1,0-3-1,1-1 0,0 0 0,1 1 0,0-1 0,0 0 1,1 1-1,0-1 0,0 0 0,1 0 0,7 14 0,-5-13-8,1-1 0,1 0 0,-1-1 0,1 1 0,0-1 0,1 0 0,0-1 0,0 0 0,0 0 0,1-1 0,0 0 0,0-1 0,0 0 0,1 0 0,-1-1 0,1 0 0,0 0 0,0-1 1,0-1-1,0 0 0,0 0 0,13-1 0,-22 0 15,1-1 1,-1 1-1,1 0 1,-1-1-1,0 0 1,1 1-1,-1-1 1,1 0-1,-1 1 1,0-1-1,0 0 1,1 0 0,-1 0-1,0 0 1,0-1-1,0 1 1,0 0-1,0 0 1,-1-1-1,1 1 1,0 0-1,0-1 1,-1 1-1,1-1 1,-1 1 0,1 0-1,-1-1 1,0-1-1,9-51 158,-9 47-129,2-37 298,-3 34-149,1 0 1,0 0-1,1 0 1,0 1-1,0-1 1,1 0-1,1 1 1,-1-1-1,6-10 1,-8 20-163,0 0-1,1-1 1,-1 1 0,0 0-1,1-1 1,-1 1 0,0 0-1,1 0 1,-1-1-1,0 1 1,1 0 0,-1 0-1,1 0 1,-1-1 0,1 1-1,-1 0 1,0 0 0,1 0-1,-1 0 1,1 0 0,-1 0-1,1 0 1,-1 0 0,1 0-1,-1 0 1,1 0 0,-1 0-1,0 0 1,1 1-1,-1-1 1,1 0 0,-1 0-1,1 0 1,-1 1 0,0-1-1,1 0 1,-1 0 0,0 1-1,1-1 1,-1 0 0,1 1-1,12 13-198,-3 0 173,-2 0 0,0 1 0,9 24-1,-10-23-174,0 0-1,19 29 0,-26-44 156,1 0 1,-1 0-1,1 0 0,-1 0 0,1 0 1,-1 0-1,1-1 0,0 1 1,-1 0-1,1 0 0,0-1 1,0 1-1,-1 0 0,1-1 0,0 1 1,0-1-1,0 1 0,0-1 1,0 0-1,0 1 0,0-1 1,0 0-1,0 1 0,0-1 0,0 0 1,0 0-1,0 0 0,0 0 1,0 0-1,0 0 0,0 0 0,0-1 1,0 1-1,0 0 0,0 0 1,0-1-1,0 1 0,0-1 1,0 1-1,-1-1 0,1 1 0,0-1 1,0 1-1,0-1 0,-1 0 1,1 1-1,0-1 0,-1 0 1,1 0-1,0 0 0,-1 0 0,1 1 1,-1-1-1,1 0 0,0-2 1,4-7 147,0-1-1,0 0 1,5-21 0,-7 23-195,9-27 417,-5 12 743,17-39 1,-14 87-1011,-7-9-227,0-1 0,1 1 1,11 27-1,-14-39 123,1 0-1,-1 0 0,1 0 0,0 0 1,0 0-1,0 0 0,0-1 0,0 1 0,0-1 1,1 1-1,0-1 0,-1 0 0,1 0 1,0 0-1,0 0 0,0-1 0,0 1 1,0-1-1,0 0 0,0 0 0,1 0 1,-1 0-1,6 1 0,-6-2 19,0 0 1,1 0-1,-1 0 1,0 0-1,1 0 0,-1-1 1,0 0-1,1 1 1,-1-1-1,0 0 0,0-1 1,0 1-1,0 0 0,0-1 1,5-3-1,-4 1 23,-1 0-1,0 0 1,0 1-1,0-2 1,0 1 0,-1 0-1,0-1 1,0 1-1,0-1 1,2-7-1,0-7 6,0 0 0,-1 0-1,-2-1 1,0 1 0,-3-39-1,1 21 55,-2 9 185,-1 1 0,-1-1-1,-1 1 1,-2 0 0,0 1-1,-24-48 1,22 61 468,3 18-676,0 16-193,4 0 152,1 1-1,1 0 0,1-1 0,1 1 1,0 0-1,2-1 0,1 0 1,11 38-1,-6-30 13,2 0 0,1-1 0,2 0 0,0-1 0,29 41 0,-38-62-11,1 1-1,-1-1 1,1 0 0,0 0 0,1 0-1,-1-1 1,10 6 0,-14-10-6,0 0-1,-1 0 1,1 0-1,0 0 1,0 0 0,0-1-1,-1 1 1,1-1-1,0 1 1,0-1 0,0 0-1,0 1 1,0-1 0,0 0-1,0 0 1,0 0-1,0-1 1,0 1 0,0 0-1,0-1 1,0 1-1,0-1 1,0 0 0,-1 0-1,1 0 1,0 0-1,0 0 1,-1 0 0,1 0-1,-1 0 1,1-1 0,-1 1-1,1 0 1,-1-1-1,2-3 1,3-4 6,0 0 0,-1-1 0,-1 0 1,1 0-1,-2 0 0,1-1 0,-2 1 0,4-21 0,-3-5 50,-1-49 0,-3 55-42,0 68-245,0-19 252,0 0 0,1 0 1,4 23-1,-4-37-106,1 0 0,0-1 0,0 1 1,1 0-1,0-1 0,-1 1 0,1-1 0,1 0 0,-1 0 1,1 0-1,-1 0 0,1 0 0,0 0 0,1-1 1,-1 1-1,0-1 0,1 0 0,4 3 0,-4-4-52,-1 0-1,0 0 1,0-1-1,1 1 1,-1-1-1,1 0 1,-1 0-1,1 0 1,0 0-1,-1 0 0,1-1 1,0 0-1,0 0 1,-1 0-1,1 0 1,0 0-1,0-1 1,5-1-1,-4 0 72,0-1 0,-1 1 0,1-1 0,-1 1 0,1-1 0,-1 0-1,0-1 1,-1 1 0,1-1 0,0 0 0,-1 0 0,4-5 0,-1-1 99,0 0 1,0 0 0,-1-1-1,0 0 1,-1 0-1,0 0 1,-1-1-1,0 1 1,-1-1-1,2-23 1,-4 26 4,1-1 196,-1 1 1,-1 0-1,0 0 1,-4-18-1,5 25-180,-1 1 0,1-1 0,-1 0-1,0 0 1,1 1 0,-1-1 0,0 0-1,0 1 1,0-1 0,-1 1 0,1-1-1,0 1 1,-1-1 0,1 1 0,-1 0-1,1 0 1,-1 0 0,1 0 0,-1 0-1,0 0 1,1 0 0,-1 1 0,0-1-1,0 0 1,0 1 0,0-1 0,1 1-1,-1 0 1,0 0 0,-2 0 0,3 0-56,0 0 1,0 0-1,0 1 1,1-1-1,-1 0 1,0 1-1,0-1 1,1 0-1,-1 1 1,0-1-1,1 1 1,-1-1-1,0 1 1,1 0-1,-1-1 1,1 1-1,-1-1 1,1 1-1,-1 0 1,1 0-1,0-1 1,-1 1-1,1 0 1,0 0 0,-1-1-1,1 1 1,0 0-1,0 0 1,0 0-1,0-1 1,0 2-1,-2 31-42,2-27 38,0 1-9,0 0-1,1 0 0,-1-1 1,1 1-1,0-1 0,1 1 1,0-1-1,2 8 1,-2-11-14,1 1 1,-1 0 0,0-1-1,1 0 1,0 1 0,0-1-1,0 0 1,0-1 0,0 1-1,1 0 1,-1-1 0,1 0-1,0 0 1,4 2 0,-2-1-153,1 0 1,0-1 0,0 1 0,0-1-1,0-1 1,0 0 0,0 0 0,0 0-1,1-1 1,-1 0 0,0 0 0,0-1-1,14-2 1,-18 2 195,1 0-1,0 0 0,-1-1 1,0 1-1,1-1 1,-1 0-1,0 0 1,0 0-1,0 0 0,0-1 1,0 1-1,0-1 1,-1 0-1,1 1 1,-1-1-1,0 0 0,0-1 1,0 1-1,0 0 1,-1-1-1,1 1 1,-1 0-1,0-1 0,0 0 1,0 1-1,0-1 1,0-5-1,-1-59 3970,-9 117-3738,9-36-239,0 0 0,1 0 0,0 0 0,1 0 0,1 0 0,3 13 0,-3-19-92,-1-1-1,1 1 1,0 0-1,1-1 1,-1 0 0,1 0-1,1 0 1,-1 0-1,1-1 1,0 1-1,0-1 1,9 7-1,-12-11 20,0 1-1,0-1 1,0 0-1,0 0 0,0 0 1,0 0-1,0 0 1,0 0-1,0 0 0,1 0 1,-1-1-1,0 1 1,0-1-1,1 0 1,-1 0-1,0 0 0,1 0 1,-1 0-1,0 0 1,1-1-1,-1 1 1,0-1-1,3-1 0,-2 1 60,-1 0-1,0-1 0,0 0 1,0 1-1,0-1 0,-1 0 0,1 0 1,0 0-1,-1 0 0,1 0 0,-1 0 1,0-1-1,0 1 0,0 0 1,0-1-1,0 1 0,0-1 0,-1 1 1,1-1-1,-1-3 0,4-37 926,-3-71-1,-1 61 406,0 51-1106,0 32-574,0-30 355,-1 8-211,1-1 0,1 1 0,-1-1 0,1 0 0,0 0 0,4 13 0,-4-18 84,0 0 0,0 0 0,1 0 0,-1 0 0,0-1 1,1 1-1,-1 0 0,1-1 0,-1 1 0,1-1 0,0 0 1,0 0-1,0 1 0,0-1 0,-1 0 0,1-1 0,1 1 1,-1 0-1,0-1 0,0 1 0,0-1 0,0 1 0,0-1 1,0 0-1,1 0 0,-1 0 0,3 0 0,-3 0 97,0-1 0,1 1 0,-1 0 0,0-1 0,1 1-1,-1-1 1,0 0 0,1 1 0,-1-1 0,0 0 0,0 0 0,0-1 0,0 1-1,0 0 1,0-1 0,0 1 0,-1-1 0,1 0 0,1-2 0,1 0 20,-1-1 0,0 0 1,-1 0-1,1 0 0,-1 0 1,0 0-1,2-12 0,0-1 294,-1 0-1,-2 0 0,0 0 0,-1-23 1,0 39-235,-1 1 1,1-1 0,-1 0 0,1 0-1,-1 1 1,1-1 0,-1 1 0,0-1-1,0 1 1,0-1 0,0 1 0,0-1-1,0 1 1,0 0 0,-1-1 0,1 1-1,0 0 1,-1 0 0,1 0 0,-1 0-1,1 0 1,-1 1 0,0-1 0,1 0-1,-1 1 1,0-1 0,-2 0 0,2 1-36,0-1 0,0 1 1,0-1-1,-1 1 0,1 0 1,0 0-1,0 0 0,-1 0 1,1 1-1,0-1 1,0 0-1,0 1 0,0 0 1,-1-1-1,1 1 0,0 0 1,0 0-1,0 0 1,1 0-1,-1 1 0,0-1 1,-2 3-1,1-1-11,1 1 1,-1 0-1,1 0 1,0 0-1,0 0 1,0 0-1,1 0 0,0 0 1,-1 1-1,1-1 1,0 9-1,0 53-2,1-49 8,0-11-25,1 1 1,0-1 0,0 1-1,0-1 1,0 1 0,1-1 0,0 0-1,1 0 1,-1 0 0,1 0-1,0 0 1,1 0 0,-1-1-1,1 0 1,0 1 0,1-2 0,-1 1-1,1 0 1,0-1 0,0 0-1,0 0 1,1 0 0,-1-1-1,1 0 1,0 0 0,0 0 0,0-1-1,0 0 1,0 0 0,1 0-1,-1-1 1,1 0 0,8 0-1,-6 0-313,-7-1 178,0 0 1,-1 1-1,1-1 1,0 0 0,-1 0-1,1 0 1,0 0-1,-1 0 1,1-1 0,0 1-1,-1 0 1,1-1-1,-1 1 1,1-1 0,-1 0-1,1 1 1,-1-1 0,1 0-1,-1 0 1,1 0-1,-1 0 1,0 0 0,0 0-1,1 0 1,-1 0-1,0-1 1,1-1 0,5-20-5237</inkml:trace>
  <inkml:trace contextRef="#ctx0" brushRef="#br0" timeOffset="190.65">1436 1 5282,'0'0'6291,"-54"69"-13894</inkml:trace>
  <inkml:trace contextRef="#ctx0" brushRef="#br0" timeOffset="388.78">407 409 2625,'0'0'5523,"96"0"-4227,-26 0-1200,20-10-96,21-12-4402</inkml:trace>
</inkml:ink>
</file>

<file path=xl/ink/ink5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5:26.296"/>
    </inkml:context>
    <inkml:brush xml:id="br0">
      <inkml:brushProperty name="width" value="0.05" units="cm"/>
      <inkml:brushProperty name="height" value="0.05" units="cm"/>
      <inkml:brushProperty name="color" value="#F6630D"/>
    </inkml:brush>
  </inkml:definitions>
  <inkml:trace contextRef="#ctx0" brushRef="#br0">243 173 5122,'0'0'10829,"-20"-11"-9916,-63-37-318,81 46-559,-1 1 0,0-1 0,0 1 0,0-1-1,0 1 1,0 0 0,0 0 0,0 1 0,0-1 0,0 1 0,-1-1 0,1 1 0,0 0 0,0 0 0,0 1 0,-1-1 0,1 1 0,0-1 0,0 1 0,0 0 0,0 0 0,0 0 0,0 1 0,0-1 0,0 1 0,1-1 0,-1 1 0,0 0-1,1 0 1,-1 0 0,1 1 0,-3 2 0,1 2-7,-1 0-1,1 0 0,0 1 1,0-1-1,1 1 0,0 0 1,1-1-1,0 1 0,-2 12 1,2-9-11,0 1 1,1-1-1,0 1 1,1-1-1,1 1 0,0 0 1,4 20-1,-3-26-10,0 0-1,1 0 1,-1 0-1,1 0 1,1 0-1,-1 0 0,1-1 1,0 0-1,0 0 1,0 0-1,1 0 1,0-1-1,0 1 1,0-1-1,7 4 0,14 6 15,0-1 0,1-2-1,0 0 1,1-2-1,33 7 1,18 6-256,-76-21 136,0 0-1,0 1 0,0-1 1,0 0-1,-1 1 1,1-1-1,0 1 0,-1 0 1,1 0-1,-1 0 0,5 5 1,-7-6 66,0-1 0,1 1 0,-1-1 0,0 1 0,0-1 0,1 1 0,-1-1 0,0 1 0,0-1 1,0 1-1,0 0 0,0-1 0,0 1 0,0-1 0,0 1 0,0-1 0,0 1 0,0 0 0,0-1 0,0 1 1,0-1-1,0 1 0,-1-1 0,1 1 0,0 0 0,-2 0 20,1 0-1,0 0 1,0 1-1,0-1 1,0 0-1,-1-1 1,1 1-1,-1 0 1,1 0 0,-1 0-1,1-1 1,-1 1-1,-1 0 1,-38 8-279,-1-1 1,1-2 0,-1-2 0,-73-3-1,186-8-6632,-19-3 1115</inkml:trace>
  <inkml:trace contextRef="#ctx0" brushRef="#br0" timeOffset="1599.56">399 446 3506,'0'0'12800,"-2"-6"-11981,-10-19-581,11 26-236,1 1 1,-1-1 0,1 1 0,-1-1 0,1 1-1,0-1 1,0 1 0,-1-1 0,1 1 0,0-1-1,0 1 1,1-1 0,-1 1 0,0-1 0,0 1-1,1-1 1,-1 1 0,1-1 0,-1 1 0,2 1-1,0-1-7,0 0 0,1 0 0,-1 0 0,1-1 0,0 1 0,-1-1 0,1 1 0,0-1 0,0 0 0,0 0 0,0 0 0,0 0-1,0-1 1,0 1 0,5-1 0,-6 0-6,-1 1 0,1-1-1,0 0 1,-1 0 0,1 0-1,0-1 1,-1 1-1,1 0 1,0-1 0,-1 1-1,1-1 1,0 1 0,-1-1-1,1 0 1,-1 0 0,0 1-1,1-1 1,-1 0 0,1 0-1,-1-1 1,0 1 0,0 0-1,0 0 1,0-1 0,0 1-1,0 0 1,0-1-1,0 1 1,1-4 0,0-6 15,0 0 1,0 0 0,-1 0 0,0 0-1,-1 0 1,-2-18 0,1 23 41,0 0 0,0-1 1,0 1-1,-1 0 0,0 0 1,0 0-1,-1 0 0,1 1 1,-1-1-1,0 1 0,-1-1 0,-7-8 1,10 13-21,0-1 1,-1 1-1,1-1 0,-1 1 1,1-1-1,-1 1 0,0 0 1,1 0-1,-1 0 1,0 0-1,0 0 0,0 0 1,0 1-1,1-1 0,-1 1 1,0-1-1,0 1 1,-1 0-1,1 0 0,0-1 1,0 1-1,0 1 1,0-1-1,0 0 0,0 0 1,0 1-1,0-1 0,0 1 1,0 0-1,1 0 1,-1 0-1,0-1 0,0 2 1,1-1-1,-1 0 0,0 0 1,1 0-1,-1 1 1,1-1-1,-1 1 0,1-1 1,0 1-1,0 0 1,0-1-1,0 1 0,0 0 1,0 0-1,0 0 0,0 0 1,1 0-1,-1 0 1,1 0-1,-1 3 0,-2 10-16,1-1 0,0 1 0,2 0 0,-1 0 0,2 0 0,0 0 0,0 0-1,1-1 1,1 1 0,1-1 0,0 1 0,7 15 0,-8-23-57,1 1-1,-1-1 1,1 0 0,1 0 0,0 0-1,-1-1 1,2 1 0,-1-1 0,1 0-1,0-1 1,0 0 0,1 0-1,0 0 1,-1 0 0,2-1 0,-1 0-1,0-1 1,1 0 0,0 0 0,-1 0-1,1-1 1,0 0 0,13 1 0,-16-3 1,0 1 1,0-1-1,0 0 1,0-1-1,0 1 1,0-1-1,0 0 0,0 0 1,0 0-1,0-1 1,-1 0-1,1 1 1,0-2-1,-1 1 1,7-5-1,-5 2 47,-1 0 0,0-1-1,-1 1 1,1-1 0,-1 0 0,0 0-1,0 0 1,-1-1 0,0 1 0,3-11-1,0-1 158,-2 0-1,0 0 0,-1-1 0,-1 1 0,-1-1 1,-1 1-1,0-1 0,-1 0 0,-1 1 1,-1-1-1,0 1 0,-2 0 0,0 0 1,-1 0-1,-10-21 0,15 38-87,1-1 0,-1 1 0,0-1 0,0 1 0,0 0 0,0-1-1,0 1 1,0 0 0,0 0 0,0-1 0,0 1 0,-2-1 0,3 2-55,-1 0 1,1 0-1,0 0 0,-1 0 1,1 0-1,0-1 1,-1 1-1,1 0 0,0 0 1,-1 0-1,1 0 1,0 1-1,-1-1 0,1 0 1,0 0-1,-1 0 1,1 0-1,0 0 0,-1 0 1,1 0-1,0 1 1,0-1-1,-1 0 0,1 0 1,0 0-1,-1 1 1,1-1-1,0 0 0,0 0 1,0 1-1,-1-1 1,1 1-1,-2 2-11,1 0 0,-1 0-1,1 0 1,0 1 0,0-1 0,1 0 0,-1 1 0,0 6-1,0 5 6,1 1 0,0-1 0,1 0 0,0 0 0,2 1 0,0-1 0,0-1 0,8 20 0,-8-27-61,0 1 0,1-1 0,0 0 0,1-1 0,0 1 0,0-1 0,0 0-1,0 0 1,1-1 0,0 1 0,0-1 0,1-1 0,0 1 0,-1-1 0,1 0 0,1 0 0,12 4 0,-10-5-270,-1 0 1,1-1-1,0 0 0,0-1 0,0 0 1,0 0-1,0-1 0,0 0 0,13-2 1,-21 1 305,0 1 0,-1-1 0,1 0 0,0 0 0,-1 0 0,1 0 0,0 0 0,-1 0 0,1 0 0,-1 0 0,0-1 0,1 1 0,-1-1 0,0 1 0,0-1 0,0 1 0,0-1 0,0 1 0,0-1 0,0 0 0,-1 0 0,1 1 0,-1-1 0,1 0 0,-1 0 0,1-3 1,0-8 60,0 1 1,0 0 0,-2-14 0,0 8 92,1 12 58,-1-1-1,1 1 1,-1 0 0,-1 0-1,1 0 1,-1-1-1,0 1 1,-1 1-1,1-1 1,-1 0 0,0 1-1,0-1 1,-1 1-1,0 0 1,-6-6 0,10 10-190,0 1 1,0 0 0,-1 0-1,1 0 1,0 0 0,0 0-1,0 0 1,0 0 0,-1 0 0,1 0-1,0 0 1,0-1 0,-1 1-1,1 0 1,0 0 0,0 0-1,0 0 1,-1 1 0,1-1 0,0 0-1,0 0 1,0 0 0,-1 0-1,1 0 1,0 0 0,0 0-1,0 0 1,-1 0 0,1 0 0,0 1-1,0-1 1,0 0 0,0 0-1,-1 0 1,1 0 0,0 0-1,0 1 1,0-1 0,0 0-1,0 0 1,0 0 0,0 1 0,-1-1-1,1 0 1,0 0 0,0 0-1,0 1 1,0-1 0,0 0-1,0 0 1,0 0 0,0 1 0,0-1-1,0 0 1,0 0 0,0 0-1,0 1 1,0-1 0,0 0-1,1 0 1,-1 1 0,-1 13-75,1-14 81,0 3-72,-1 0 1,1 0-1,0 1 1,1-1-1,-1 0 1,0 0-1,1 0 0,0 0 1,0 0-1,0 0 1,0 0-1,0 0 1,1 0-1,-1 0 1,1-1-1,-1 1 1,1 0-1,0-1 0,0 0 1,1 1-1,-1-1 1,0 0-1,1 0 1,-1 0-1,1 0 1,0-1-1,-1 1 1,1-1-1,0 1 1,0-1-1,0 0 0,0 0 1,0-1-1,6 2 1,-6-1-44,0-1-1,0 1 1,0-1 0,0 1-1,0-1 1,-1 0 0,1 0 0,0 0-1,0 0 1,0-1 0,0 1-1,0-1 1,4-1 0,-6 1 100,1-1 0,-1 1 0,0 0 0,0-1 0,0 1 0,1 0 0,-1-1 0,0 0 0,-1 1 0,1-1 0,0 0 0,0 1 0,-1-1 0,1 0 0,-1 0 0,0 1 0,1-1 0,-1 0 0,0 0 0,0 0 0,0-3 0,0-3 133,1 0-1,-2 0 0,1 0 0,-1-1 0,0 1 0,-4-12 0,4 18-53,1-1 0,-1 1-1,0 0 1,0 0 0,-1 0-1,1 0 1,0 1 0,-1-1-1,1 0 1,-1 0 0,1 1 0,-1-1-1,0 1 1,1-1 0,-1 1-1,0 0 1,0 0 0,0 0-1,0 0 1,0 0 0,-1 0-1,1 1 1,0-1 0,0 0-1,0 1 1,-1 0 0,1 0 0,-4 0-1,4 0-75,0 0 0,1 1-1,-1-1 1,1 0 0,-1 1-1,1 0 1,-1-1-1,1 1 1,-1 0 0,1 0-1,-1 0 1,1 0 0,0 0-1,0 0 1,0 0 0,-1 0-1,1 1 1,0-1 0,0 0-1,1 1 1,-1-1 0,0 0-1,0 1 1,1-1 0,-1 1-1,1 0 1,-1-1 0,1 1-1,0-1 1,-1 4-1,-1 7 2,1 0 0,0 1-1,1 12 1,0-16 6,0-3-54,0 1-1,1-1 1,0 0 0,0 1 0,0-1-1,1 0 1,0 0 0,0 0 0,0 0 0,1 0-1,0-1 1,0 1 0,0-1 0,1 1-1,0-1 1,0 0 0,0-1 0,1 1-1,-1-1 1,1 0 0,0 0 0,0 0-1,1-1 1,-1 1 0,1-1 0,-1-1-1,1 1 1,0-1 0,0 0 0,1 0-1,-1-1 1,0 0 0,0 0 0,1 0-1,6-1 1,-6 1-64,0-1-1,0-1 0,0 1 1,0-1-1,-1 0 1,1 0-1,0-1 0,0 0 1,-1 0-1,12-6 1,-13 5 112,-1 0 0,0 0 0,0-1 0,0 1 0,-1-1 0,1 0 0,-1 0 0,0 0 0,0-1 0,0 1 0,-1-1 0,1 1 0,-1-1 0,0 0 0,1-6 0,3-12 581,-1 1 0,-1-1-1,-1 0 1,-2 0 0,0-26 0,-1 48-578,0 1 0,0 0 0,0 0 0,0 0 0,0 0 0,0-1 0,0 1-1,0 0 1,1 0 0,-1 0 0,0 0 0,0-1 0,0 1 0,0 0 0,0 0 0,0 0 0,1 0-1,-1 0 1,0 0 0,0 0 0,0-1 0,0 1 0,0 0 0,1 0 0,-1 0 0,0 0 0,0 0-1,0 0 1,1 0 0,-1 0 0,0 0 0,0 0 0,0 0 0,0 0 0,1 0 0,-1 0 0,0 0 0,0 0-1,0 0 1,1 0 0,-1 0 0,0 0 0,0 0 0,0 1 0,0-1 0,1 0 0,-1 0 0,0 0-1,0 0 1,0 0 0,0 0 0,0 0 0,0 1 0,1-1 0,-1 0 0,0 0 0,0 0 0,0 0-1,0 1 1,0-1 0,0 0 0,0 0 0,0 0 0,0 1 0,10 9-185,-9-10 220,10 15-357,-7-15 169,-2-9 266,-3 8-103,1 0 0,0-1 0,0 1 0,-1-1 1,1 1-1,-1 0 0,0 0 0,1-1 0,-1 1 0,0 0 0,1 0 0,-1 0 0,0 0 0,0 0 0,0 0 0,0 0 0,0 0 0,0 0 0,-1 0 1,1 1-1,0-1 0,0 0 0,0 1 0,-1-1 0,1 1 0,0-1 0,-1 1 0,1 0 0,0-1 0,-1 1 0,1 0 0,-1 0 0,1 0 1,-2 0-1,0 0-15,1 0 1,-1 0 0,1 0-1,-1 0 1,1 1 0,0-1 0,-1 1-1,1-1 1,0 1 0,-1 0-1,1 0 1,0 0 0,0 0 0,0 0-1,0 0 1,0 1 0,0-1-1,0 1 1,-3 3 0,2 0-6,0 1 1,1-1 0,-1 1 0,1 0-1,1 0 1,-1 0 0,1 0-1,0 1 1,0-1 0,1 0 0,0 0-1,0 1 1,0-1 0,1 0-1,0 0 1,0 0 0,0 0 0,1 0-1,0 0 1,0 0 0,1 0-1,0 0 1,0-1 0,0 0 0,0 1-1,1-1 1,0 0 0,0-1-1,1 1 1,-1-1 0,1 0 0,9 7-1,-7-7-51,-1-1-1,1 0 0,-1 0 0,1 0 0,0-1 0,0 0 0,0-1 1,0 1-1,0-1 0,1-1 0,-1 1 0,0-1 0,11-2 1,-13 2 23,0-1-1,0 0 1,-1 0 0,1-1 0,0 0 0,-1 1 0,1-2 0,-1 1 0,0 0-1,0-1 1,0 0 0,0 0 0,0 0 0,0 0 0,-1-1 0,1 1 0,-1-1-1,0 0 1,0 0 0,2-5 0,0-1 79,-1 0-1,0-1 1,-1 1-1,0-1 1,-1 1 0,3-22-1,-4-68 557,-1 79-485,-1 8 85,0 0 1,0 0-1,-1 0 0,-1 0 1,0 0-1,-1 1 0,0 0 1,-1 0-1,0 0 0,-1 0 1,-1 1-1,-14-21 0,11 24 183,4 13-306,4 18-136,2-22 64,0 20 7,1 1 1,1-1-1,1 1 0,1-1 1,1 0-1,0 0 1,2 0-1,0-1 1,18 34-1,-9-25-162,0 1-1,3-2 1,0 0 0,26 27-1,-31-43-1365</inkml:trace>
  <inkml:trace contextRef="#ctx0" brushRef="#br0" timeOffset="1755.48">1346 252 3330,'0'0'8964,"141"0"-8964,-51 0-1313,21-3-7651</inkml:trace>
</inkml:ink>
</file>

<file path=xl/ink/ink6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5:31.668"/>
    </inkml:context>
    <inkml:brush xml:id="br0">
      <inkml:brushProperty name="width" value="0.05" units="cm"/>
      <inkml:brushProperty name="height" value="0.05" units="cm"/>
      <inkml:brushProperty name="color" value="#F6630D"/>
    </inkml:brush>
  </inkml:definitions>
  <inkml:trace contextRef="#ctx0" brushRef="#br0">20 2322 9780,'0'0'8033,"1"15"-7840,63 315 743,-51-290-851,-11-74 1129,-3 7-1174,-2 0 0,-1 1 0,-1 0 0,-1-1 0,-1 2 0,-12-26 0,17 44-40,-9-22 4,1-1 0,1 0 0,2 0 0,1-1 0,-3-49 0,9 80-6,0-1-1,1 1 0,-1-1 0,0 1 1,1-1-1,-1 1 0,1-1 1,-1 1-1,1 0 0,-1-1 0,1 1 1,-1-1-1,1 1 0,0 0 0,-1 0 1,1-1-1,-1 1 0,1 0 1,0 0-1,-1 0 0,1 0 0,-1 0 1,1-1-1,0 1 0,-1 0 0,1 1 1,0-1-1,-1 0 0,2 0 1,23 3-138,-19-1 131,0 0 0,0 0-1,0 1 1,-1 0 0,1 0 0,-1 1-1,0 0 1,0-1 0,0 2 0,-1-1 0,1 0-1,-1 1 1,0 0 0,0 0 0,0 0-1,-1 1 1,0-1 0,0 1 0,2 7 0,1 1 4,-1 0 1,0 0 0,-2 0-1,1 1 1,-2-1 0,0 1 0,0 19-1,-1-22-7,-1-9 15,1 1-1,-1-1 1,0 0 0,0 0-1,0 0 1,0 0 0,-1 0-1,1 0 1,-1 0-1,1 0 1,-1 0 0,0 0-1,-1 0 1,1 0-1,0 0 1,-1-1 0,1 1-1,-1 0 1,0-1-1,0 0 1,0 1 0,0-1-1,0 0 1,-4 3 0,5-5 191,1-5 279,0 4-466,0-1 1,0 1 0,1 0 0,-1 0 0,0-1 0,1 1 0,-1 0 0,0 0 0,1 0 0,0-1 0,-1 1 0,1 0 0,0 0 0,-1 0 0,1 0 0,0 0 0,0 0 0,0 0 0,0 1 0,2-3 0,0 1-6,0 1 1,1-1-1,-1 1 1,1-1-1,-1 1 1,1 0-1,5-1 1,-2 1-18,0 0 0,0 0 0,0 1 1,0 0-1,0 1 0,0-1 1,13 4-1,-15-2 7,0 0 0,-1 0 1,1 1-1,-1 0 0,0 0 0,0 0 1,0 0-1,0 1 0,0-1 0,-1 1 1,0 0-1,1 0 0,-1 0 0,-1 1 0,1-1 1,-1 1-1,3 6 0,-2-4 4,0 0 0,-1 0 0,0 0 0,-1 0-1,1 0 1,-1 0 0,-1 1 0,1-1 0,-1 1 0,-1-1 0,-1 13-1,1-17 8,0 0-1,-1 0 1,1 0-1,-1-1 1,0 1-1,0 0 0,0-1 1,0 1-1,0-1 1,0 1-1,-1-1 1,1 0-1,-1 0 0,0 0 1,1-1-1,-1 1 1,0-1-1,0 1 1,0-1-1,0 0 0,0 0 1,0 0-1,0-1 1,-5 1-1,-9 2-74,-1 0 0,1-2 1,-19 0-1,35-2-47,0 1 1,0 0 0,-1 0-1,1-1 1,0 1 0,0-1-1,0 1 1,-1-1 0,1 1-1,0-1 1,0 0 0,0 1-1,0-1 1,0 0 0,0 0-1,0 0 1,1 0 0,-1 0-1,0 0 1,0 0 0,1 0-1,-1 0 1,1 0 0,-1 0-1,1 0 1,-1-1 0,1 1-1,0 0 1,-1 0 0,1-1-1,0 1 1,0 0 0,0-2-1,0-2-786,-1 0 0,1 1 0,1-1-1,-1 0 1,1 1 0,-1-1-1,1 1 1,3-8 0,15-19-7403</inkml:trace>
  <inkml:trace contextRef="#ctx0" brushRef="#br0" timeOffset="231.81">398 2245 8388,'0'0'12739,"-3"-10"-12187,2 4-520,-6-20 11,5 66-96,3-14-93,2 1 1,1-1 0,1 1 0,1-1 0,1-1 0,1 1 0,2-1 0,0-1-1,28 46 1,-35-65-874,0 0 1,0 0-1,1 0 0,-1-1 0,1 1 0,0-1 1,8 6-1,6-1-7831</inkml:trace>
  <inkml:trace contextRef="#ctx0" brushRef="#br0" timeOffset="634.99">665 2377 8628,'0'0'9828,"-4"6"-9499,-2 5-235,0 0 0,1 0 0,1 1 0,-1-1 0,2 1 0,0 0 1,0 1-1,2-1 0,-1 0 0,1 1 0,1-1 0,0 1 0,3 15 1,-3-25-92,1 0 1,0-1-1,0 1 1,0 0-1,0-1 1,0 1-1,1-1 1,-1 1-1,1-1 1,-1 0-1,1 0 1,0 1-1,0-1 1,0 0-1,0-1 1,1 1-1,-1 0 1,0-1-1,1 1 1,-1-1-1,1 0 1,-1 1-1,1-1 1,5 1-1,0 0-10,-1-1-1,1 1 0,0-1 1,-1-1-1,1 1 0,0-1 1,-1-1-1,10-1 0,-15 2 0,0-1-1,1 1 1,-1-1-1,1 0 1,-1 0-1,0 0 1,0 0-1,0-1 1,0 1-1,0 0 1,0-1 0,0 1-1,0-1 1,0 0-1,-1 0 1,1 0-1,0 0 1,1-2-1,-1-1 10,0 1 1,0-1-1,0 1 0,-1-1 0,1 0 1,-1 0-1,0 0 0,1-9 0,-2 7 6,0 0 0,0-1 0,0 1 0,-1-1 0,0 1 0,0 0 0,-1 0 0,0 0 0,-1 0 0,1 0 0,-1 0 1,-5-8-1,6 11-24,0 0 0,0 1 1,-1 0-1,1 0 1,-1 0-1,0 0 1,0 0-1,0 0 1,0 0-1,0 1 1,-1 0-1,1 0 0,-1 0 1,0 0-1,1 0 1,-1 1-1,0-1 1,0 1-1,-8-1 1,12 2-75,-1 1 1,1-1 0,-1 1 0,1-1 0,-1 1-1,1-1 1,0 1 0,-1-1 0,1 1 0,0-1-1,-1 1 1,1 0 0,0-1 0,0 1 0,-1-1-1,1 1 1,0 0 0,0-1 0,0 1 0,0 0-1,0-1 1,0 1 0,0 0 0,0-1 0,0 2-1,0 22-1180,0-22 953,0 1-1,1 0 1,-1 0 0,0 1 0,1-1 0,0-1 0,0 1 0,-1 0 0,2 0 0,-1 0 0,0 0-1,1-1 1,-1 1 0,1 0 0,0-1 0,-1 0 0,5 4 0,19 16-4997</inkml:trace>
  <inkml:trace contextRef="#ctx0" brushRef="#br0" timeOffset="1119.08">990 2411 7555,'0'0'13121,"-8"-8"-12643,-25-19-348,33 27-127,-1 0-1,1-1 0,-1 1 1,1 0-1,-1 0 0,0 0 1,1 0-1,-1 0 0,1 0 1,-1 0-1,1 0 0,-1 0 1,0 0-1,1 0 0,-1 0 1,1 1-1,-1-1 0,1 0 1,-1 0-1,1 0 0,-1 1 1,1-1-1,-1 0 0,1 1 1,-1-1-1,1 0 0,-1 1 1,1-1-1,0 1 0,-1-1 1,1 1-1,0-1 0,-1 1 0,1 0 1,-10 21 18,9-19-22,-3 13 20,1 0 0,1 0 1,0 1-1,1-1 1,0 1-1,3 16 0,-2-30-18,0 1-5,1 0 0,0 1 0,0-1 0,1 0 0,-1 0 0,1 1 0,0-1 0,0 0-1,0-1 1,0 1 0,1 0 0,0-1 0,0 1 0,0-1 0,0 0 0,0 0 0,0 0 0,1 0 0,0-1 0,-1 1 0,1-1 0,0 0 0,0 0 0,7 2 0,-6-2-57,-1-1 0,0 1 0,1-1 0,-1 0 0,1 0 0,-1 0 0,1-1 0,-1 0 0,1 1 0,-1-2 1,1 1-1,0 0 0,-1-1 0,1 0 0,-1 0 0,0 0 0,1-1 0,-1 0 0,0 1 0,0-2 0,0 1 0,0 0 0,7-6 0,-4 0 55,0 0-1,-1 0 0,0 0 0,-1-1 0,0 0 0,0 0 1,-1 0-1,0-1 0,-1 1 0,0-1 0,0 0 0,1-13 1,0-7 282,-2 0 0,-2-55-1,-1 72-46,0 0-1,0 0 0,-1 1 0,-1-1 0,0 1 0,-1 0 0,0 0 0,-1 0 0,0 0 1,-1 1-1,-1 0 0,1 0 0,-14-16 0,19 29-193,0 1 0,0 0 0,0-1 1,1 1-1,-1-1 0,1 1 0,0 0 0,0-1 0,0 1 1,0 4-1,0 20-9,1 1 0,2-1 0,1 0 1,0 0-1,10 29 0,-3-20-108,-6-16-157,1 0 0,0 0 0,2-1 0,0 0 0,2 0 0,16 25 0,-25-42-37,0 0 0,1 0 0,0-1 0,-1 1 1,1-1-1,0 0 0,0 1 0,0-1 0,0 0 1,2 1-1,22 2-6081,-10-4-1249</inkml:trace>
  <inkml:trace contextRef="#ctx0" brushRef="#br0" timeOffset="1379.81">1312 2279 8324,'0'0'13014,"-7"-1"-12374,5 1-633,0 0 1,1-1-1,-1 1 0,0 0 1,1 0-1,-1 0 0,0 1 0,0-1 1,1 0-1,-1 1 0,0-1 1,1 1-1,-1-1 0,1 1 1,-1 0-1,1-1 0,-1 1 0,1 0 1,-1 0-1,1 0 0,0 0 1,-3 3-1,0 2 15,0 1-1,0 0 1,0 0 0,-4 13-1,4-11-9,-3 8 60,-4 8 12,-9 35 0,18-54-75,0 1 0,1-1 0,0 1 0,0 0 0,1 0 0,0-1 0,0 1 0,0 0 0,1 0 0,2 11 0,-2-16-5,0-1 0,0 1 1,0 0-1,0-1 0,0 1 0,1-1 0,-1 0 0,0 1 0,1-1 1,-1 0-1,1 0 0,-1 0 0,1 0 0,0 0 0,-1 0 1,1 0-1,0-1 0,0 1 0,-1-1 0,1 1 0,0-1 1,0 1-1,2-1 0,50 2 107,-43-2-151,5 1-570,-1-2-1,1 1 1,-1-2 0,0 0 0,0-1 0,21-7-1,11-7-4116,5-1-3527</inkml:trace>
  <inkml:trace contextRef="#ctx0" brushRef="#br0" timeOffset="2265.05">1878 2377 8964,'0'0'12849,"-17"-14"-12270,-57-39-267,72 51-305,0 0 1,0 1 0,0 0-1,0-1 1,0 1 0,-1 0-1,1 0 1,0 0 0,-1 1-1,1-1 1,0 0-1,-1 1 1,1 0 0,-1-1-1,1 1 1,-1 0 0,1 0-1,-1 1 1,1-1 0,-1 0-1,1 1 1,-1 0 0,1-1-1,0 1 1,-1 0 0,1 0-1,0 0 1,0 1-1,0-1 1,0 0 0,0 1-1,0 0 1,-4 3 0,3-1-3,-1 1 0,1 0 0,0 0 0,0 1 0,0-1 0,1 1 0,0-1 0,0 1 0,0 0 0,-1 7 0,1-4-4,1 0 0,0-1 1,1 1-1,0 0 1,0 0-1,1-1 1,0 1-1,0 0 1,5 15-1,-4-20-37,-1-1 0,1 1 0,0-1 0,0 0 0,1 0 1,-1 0-1,0 0 0,1 0 0,0-1 0,0 1 0,0-1 0,0 0 0,0 0 0,0 0 0,1 0 1,-1 0-1,0-1 0,1 1 0,0-1 0,-1 0 0,1 0 0,0 0 0,-1-1 0,9 1 0,-7 0 16,0-1 0,1 1 0,-1-1 0,1 0 0,-1-1-1,0 1 1,1-1 0,-1 0 0,0-1 0,0 1 0,0-1-1,0 0 1,0 0 0,0 0 0,7-6 0,-8 5 40,0-1 0,0 0 0,-1-1 0,0 1 1,0 0-1,0-1 0,0 1 0,-1-1 0,0 0 0,0 0 1,0 0-1,0 0 0,-1-1 0,0 1 0,1-11 0,0 1 283,-1 0 0,0-1 0,-3-27 0,2 42-301,0 0 1,0 1-1,0-1 1,0 0 0,0 1-1,-1-1 1,1 0-1,0 1 1,0-1-1,0 1 1,-1-1 0,1 0-1,0 1 1,0-1-1,-1 1 1,1-1-1,-1 1 1,1-1 0,-1 1-1,1-1 1,0 1-1,-1-1 1,1 1-1,-1-1 1,0 1 0,1 0-1,-1-1 1,1 1-1,-1 0 1,0 0-1,1 0 1,-1-1 0,0 1-1,1 0 1,-1 0-1,1 0 1,-1 0-1,0 0 1,1 0 0,-1 0-1,0 0 1,1 0-1,-1 0 1,0 1-1,1-1 1,-2 1 0,0-1-10,1 1 1,-1 0-1,1 0 1,-1 0-1,1 0 1,0 0-1,-1 0 1,1 0-1,0 0 1,0 0-1,0 1 1,0-1-1,0 0 1,0 1-1,0-1 1,-1 4-1,1-2-27,0 0-1,0 0 0,0 1 1,0-1-1,1 0 1,-1 1-1,1-1 0,0 0 1,0 1-1,1-1 0,-1 0 1,1 1-1,-1-1 1,1 0-1,0 0 0,0 0 1,0 1-1,1-1 0,-1 0 1,4 5-1,-2-6-77,0 1-1,0 0 0,1-1 1,-1 1-1,0-1 1,1 0-1,0-1 0,-1 1 1,1 0-1,0-1 1,0 0-1,0 0 1,0 0-1,0 0 0,0-1 1,7 1-1,-6-1-54,1 1 0,-1-1 0,1 0 0,0-1 0,-1 1 0,1-1 0,-1 0 0,1 0 0,-1-1 1,1 0-1,-1 0 0,0 0 0,0 0 0,0-1 0,0 0 0,0 0 0,-1 0 0,1-1 0,-1 1 0,0-1 0,0 0 0,0-1 0,3-4 0,11-15 337,-1 0 0,-1-1 0,0-1-1,-3-1 1,0 0 0,-1-1 0,-2 0 0,10-42 0,-14 19 3263,-6 45-2201,-2 7-269,-7 26-687,1 9-66,1 1 0,-4 71 0,11 80 351,2-87-413,-2-84-134,1-1 0,0 0-1,1 0 1,1 1 0,6 18 0,-6-27-3,0 0 0,0 0 0,1-1 0,0 1 0,0-1 0,1 0 0,0 0 1,0 0-1,1-1 0,0 1 0,10 8 0,-14-13-13,-1-1 1,1 0-1,-1 1 0,1-1 1,0 0-1,-1 0 0,1 1 0,0-2 1,0 1-1,0 0 0,0 0 0,0 0 1,0-1-1,0 1 0,0-1 1,0 0-1,0 0 0,0 0 0,0 0 1,0 0-1,0 0 0,1 0 1,-1 0-1,0-1 0,0 1 0,0-1 1,0 0-1,0 1 0,-1-1 1,1 0-1,0 0 0,0 0 0,0-1 1,-1 1-1,1 0 0,-1-1 1,1 1-1,1-3 0,1-1-8,-1 0 1,0-1-1,0 1 0,0-1 0,-1 0 1,0 0-1,0 1 0,0-2 0,-1 1 1,0 0-1,1-11 0,-2 4 4,1 0-1,-2-1 1,0 1 0,0 0-1,-1-1 1,-1 1-1,-8-24 1,7 28 2,-1-1-1,0 1 1,0 0 0,-1 0-1,0 0 1,-1 1 0,0 0-1,0 0 1,-1 1 0,-12-10-1,34 15 1,0 0 0,1 1 0,25 2 0,6 2 693,-16 0-3293,-13-2-5869,-31-1-2887</inkml:trace>
  <inkml:trace contextRef="#ctx0" brushRef="#br0" timeOffset="4808.34">3152 2392 3570,'0'0'12485,"-11"-8"-11431,-37-24-144,44 30-826,1 0 1,-1 0-1,0 1 0,0-1 1,0 1-1,0 0 1,0 0-1,0 0 0,0 1 1,0-1-1,-1 1 1,1 0-1,0 0 0,0 1 1,0-1-1,0 1 0,-1 0 1,1 0-1,0 0 1,0 0-1,1 1 0,-1 0 1,0 0-1,0 0 1,1 0-1,-5 3 0,2 2-68,-1-1-1,1 1 0,0 0 1,0 0-1,1 0 0,0 1 0,0 0 1,1 0-1,0 0 0,0 1 1,1-1-1,0 1 0,1 0 1,0 0-1,0 0 0,1 0 0,0 0 1,0 18-1,1-25-11,0 0-1,1-1 1,-1 1-1,0 0 1,0 0-1,1-1 1,-1 1-1,1 0 1,0-1 0,-1 1-1,1 0 1,0-1-1,0 1 1,0-1-1,0 1 1,0-1-1,1 0 1,-1 1-1,0-1 1,2 1 0,1 1 2,-1-1 1,1 0 0,0-1 0,0 1 0,-1-1-1,1 1 1,0-1 0,7 1 0,6 0 3,1-1-1,-1-1 1,22-1-1,-35 0-12,0 1 4,0-1 0,0 0 1,-1 0-1,1 0 0,0-1 1,-1 1-1,1-1 0,-1 0 0,0 0 1,1 0-1,-1 0 0,0-1 0,0 1 1,-1-1-1,1 0 0,0 1 1,-1-1-1,0-1 0,0 1 0,0 0 1,0 0-1,0-1 0,0 1 1,-1-1-1,2-7 0,2-4 3,-1-1-1,-1 0 1,0 0-1,0-30 1,-3 43 3,-1-150-24,0 137 138,-1 0 0,-1 0-1,0 0 1,-1 0-1,-1 1 1,0 0-1,-11-21 1,11 33 645,2 12-659,1 17-276,2-25 196,0 11-59,-2 54 112,12 108 0,-8-155-167,1 0 0,1 0 0,1 0-1,1-1 1,0 0 0,1 0 0,1-1 0,1 0 0,0 0 0,18 23 0,-23-35-312,0 0 1,1 0-1,-1-1 0,1 0 1,0 1-1,0-2 0,1 1 1,-1-1-1,1 1 0,8 2 1,-8-4-689,0 0-1,0-1 1,0 1 0,0-1 0,1-1 0,8 1 0,11-1-5495</inkml:trace>
  <inkml:trace contextRef="#ctx0" brushRef="#br0" timeOffset="5443.56">3421 2448 5555,'0'0'12469,"-7"-14"-11660,-25-42-353,31 55-446,1 0-1,0 0 1,-1 1 0,1-1 0,-1 0 0,1 0-1,-1 1 1,1-1 0,-1 0 0,1 1 0,-1-1-1,0 0 1,1 1 0,-1-1 0,0 1 0,1-1-1,-1 1 1,0 0 0,0-1 0,0 1 0,1 0-1,-1-1 1,0 1 0,0 0 0,0 0 0,0 0-1,0 0 1,1-1 0,-1 1 0,0 1 0,0-1 0,0 0-1,0 0 1,0 0 0,1 0 0,-1 1 0,0-1-1,0 0 1,0 1 0,-16 20 9,16-19 2,-5 8-2,1 0-1,1 1 1,-1-1 0,2 1-1,0 0 1,0 0 0,1 0-1,0 1 1,1-1 0,0 0-1,2 17 1,-1-25-25,0 0 0,1 0 0,0 0 0,-1 0 0,1-1 0,0 1 0,1 0 0,-1 0 0,0-1 0,1 1 0,-1-1 0,1 0 0,0 1 0,0-1-1,0 0 1,0 0 0,0 0 0,0 0 0,1 0 0,-1-1 0,1 1 0,-1-1 0,1 1 0,5 1 0,-4-1-105,1-1 0,-1 1 0,1-1 0,0 0 0,0 0 0,-1 0 0,1-1 0,0 1 1,0-1-1,-1-1 0,1 1 0,0 0 0,0-1 0,-1 0 0,7-2 0,-8 1 103,-1 1 1,1-1-1,-1 0 1,0 0 0,0 0-1,0 0 1,0 0-1,0 0 1,0 0-1,0-1 1,-1 1-1,1-1 1,-1 1-1,0-1 1,0 0-1,0 1 1,0-1-1,0 0 1,-1 0-1,1 0 1,0-4-1,0-10 229,0 0 0,-1-25 0,-1 21 420,0-14 1305,1 32-601,-1 20-1176,1-7-158,1-1-1,-1 1 0,1-1 0,1 1 0,0-1 1,0 0-1,1 0 0,7 18 0,-8-24-17,0 1 0,0-1 0,1 0 0,-1 0 0,1 0 0,-1 0 0,1 0-1,0 0 1,0-1 0,1 1 0,-1-1 0,0 0 0,1 0 0,-1 0 0,1-1 0,0 1 0,-1-1 0,1 0 0,0 0-1,0 0 1,0 0 0,0-1 0,0 0 0,6 0 0,-7 0 4,-1 0 0,1-1 0,0 0 0,0 0 0,-1 1 0,1-2 0,0 1 0,-1 0-1,1 0 1,-1-1 0,1 0 0,-1 1 0,0-1 0,0 0 0,0 0 0,0 0 0,0 0 0,0-1 0,0 1 0,-1 0 0,1-1 0,-1 1 0,2-6 0,3-6-2,0 0 1,-1-1 0,3-16-1,-8 31 5,6-28 11,-1 0-1,-2-1 1,0 1-1,-3-45 1,0 57 4,-2-1 1,0 1-1,-1-1 0,-1 1 0,0 0 1,-1 0-1,0 1 0,-2-1 0,-9-16 1,16 33-12,0-1 1,0 0 0,0 0 0,0 1-1,0-1 1,0 0 0,0 0-1,0 1 1,-1-1 0,1 0-1,0 0 1,0 1 0,0-1-1,0 0 1,-1 0 0,1 0 0,0 1-1,0-1 1,0 0 0,-1 0-1,1 0 1,0 0 0,0 0-1,-1 1 1,1-1 0,0 0 0,0 0-1,-1 0 1,1 0 0,0 0-1,0 0 1,-1 0 0,1 0-1,0 0 1,0 0 0,-1 0 0,1 0-1,0 0 1,0 0 0,-1 0-1,1 0 1,0 0 0,-1-1-1,1 1 1,0 0 0,0 0 0,0 0-1,-1 0 1,1 0 0,0-1-1,0 1 1,0 0 0,-1 0-1,1 0 1,0-1 0,-1 34 229,1-27-216,1 31 0,1-1 0,2 0 0,1 0 0,2 0 0,1-1 0,2 0 1,2 0-1,1-1 0,21 40 0,-27-59-160,5 7-607,-3-9-3378</inkml:trace>
  <inkml:trace contextRef="#ctx0" brushRef="#br0" timeOffset="5615.25">3647 2390 4466,'0'0'10357,"37"0"-10341,-10 11-16,1-1-721,4-3-863,8-1-961,-1-4-177,1-2-655</inkml:trace>
  <inkml:trace contextRef="#ctx0" brushRef="#br0" timeOffset="6004.18">3963 2396 592,'0'0'14978,"-4"-15"-13316,-17-44-350,20 58-1263,0 0 0,0-1-1,0 1 1,0 0 0,0 0-1,0 0 1,0 0 0,0 0-1,-1 0 1,1 0 0,0 0-1,0 1 1,-1-1 0,1 0-1,-1 1 1,1-1 0,-1 1-1,1-1 1,-1 1 0,1 0-1,-1 0 1,1 0 0,-3 0-1,-28 5 335,27-2-366,1-1 1,0 1 0,1 0-1,-1 0 1,0 0-1,1 1 1,0-1 0,-1 1-1,1 0 1,1 0 0,-1 0-1,1 0 1,-1 0 0,1 0-1,0 1 1,1-1 0,-1 1-1,1-1 1,-1 7 0,-1 2-6,1 0-1,0 0 1,1 0 0,1 0 0,2 25 0,-2-35-33,1 0 1,0 1 0,0-1-1,0 0 1,0 0 0,0-1-1,1 1 1,-1 0 0,1 0-1,-1-1 1,1 1 0,0-1-1,0 1 1,1-1 0,-1 0-1,0 0 1,1 0 0,-1 0-1,1 0 1,0 0 0,3 1-1,-1-1-14,0 0 1,-1 0-1,1-1 0,0 0 1,0 0-1,0 0 0,0 0 0,0-1 1,0 0-1,0 0 0,1 0 0,7-2 1,-11 1 46,1 0 1,-1 0-1,1 0 0,-1 0 1,0-1-1,1 1 1,-1-1-1,0 1 1,0-1-1,0 0 1,0 0-1,0 0 0,-1 0 1,1 0-1,0 0 1,-1-1-1,0 1 1,0 0-1,1-1 1,-1 1-1,-1-1 0,1 0 1,0 1-1,-1-1 1,1-3-1,2-9 114,-1 0 1,-1 0-1,-1-18 0,0 27-90,1-6 148,-1 9-92,1 0 1,-1 0-1,1 0 1,-1 0 0,0-1-1,0 1 1,-1 0-1,1 0 1,-1 0-1,1 0 1,-1 0 0,0 0-1,0 0 1,0 0-1,-3-4 1,2 19-51,2-3-81,0 0-1,0 0 1,1 0-1,0 0 1,1 0-1,0-1 1,1 1-1,4 11 1,-4-15-154,0 0 1,0 0 0,1 0 0,-1 0 0,1-1-1,0 0 1,1 0 0,-1 0 0,1 0 0,0-1-1,-1 1 1,2-1 0,-1 0 0,7 2 0,37 13-2567,6-7-357</inkml:trace>
  <inkml:trace contextRef="#ctx0" brushRef="#br0" timeOffset="8297.83">4593 2208 5843,'0'0'12611,"-19"-4"-12200,-64-6-33,80 10-364,0 0 0,0 0 0,0 1 0,0-1 0,0 1 0,0 0 0,0 0 0,0 0 0,1 0 0,-1 1 0,0-1 0,0 1 0,1 0 0,-1-1 0,1 1 0,0 0 0,-1 0 0,1 1 0,0-1 0,0 0 0,1 1 0,-1-1 0,0 1 0,1 0 0,-3 5 0,1 1 9,-1 0-1,2 1 1,-1 0-1,1-1 1,-1 17-1,2-14-8,0 1 0,1-1 0,0 0 0,1 0-1,0 0 1,6 22 0,-6-30-58,1-1 0,-1 1 1,1 0-1,-1-1 0,1 1 0,0-1 0,0 0 1,1 1-1,-1-1 0,1 0 0,-1 0 1,1-1-1,0 1 0,0-1 0,1 1 1,-1-1-1,0 0 0,1 0 0,-1 0 0,1-1 1,-1 1-1,1-1 0,0 0 0,7 1 1,-6-1-12,-1 0 0,1 0 0,0-1 0,0 1 0,0-1 0,0-1 1,-1 1-1,1-1 0,0 1 0,0-1 0,-1-1 0,1 1 1,-1-1-1,1 1 0,-1-1 0,0-1 0,1 1 0,-1-1 0,7-5 1,-6 3 77,-1 0 0,0 0 0,-1-1 0,1 1-1,-1-1 1,0 0 0,0 0 0,-1 0 0,0 0 0,0-1 0,0 1 0,-1 0 0,0-1 0,1-8 0,0-6 884,0 1-1,-2-1 0,-3-39 1,2 60-899,1 0 1,0 0-1,0 0 0,0 0 1,0-1-1,0 1 1,0 0-1,0 0 0,0 0 1,0 0-1,0 0 1,0-1-1,-1 1 0,1 0 1,0 0-1,0 0 1,0 0-1,0 0 0,0 0 1,0 0-1,-1 0 1,1-1-1,0 1 0,0 0 1,0 0-1,0 0 1,-1 0-1,1 0 0,0 0 1,0 0-1,0 0 1,0 0-1,-1 0 0,1 0 1,0 0-1,0 0 1,0 0-1,0 0 0,-1 0 1,1 0-1,0 1 1,0-1-1,0 0 0,0 0 1,0 0-1,-1 0 1,1 0-1,0 0 0,0 0 1,0 0-1,0 1 1,0-1-1,0 0 0,0 0 1,-1 0-1,1 0 0,0 0 1,0 1-1,0-1 1,0 0-1,0 0 0,0 0 1,0 0-1,0 0 1,0 1-1,0-1 0,0 0 1,-3 13-15,0-1 0,1 1 0,1-1 0,0 1 0,1 0-1,0 0 1,1-1 0,0 1 0,1 0 0,6 21 0,-7-28-114,1 0-1,0 0 1,1 0-1,-1-1 1,1 1 0,0-1-1,1 1 1,-1-1-1,1-1 1,0 1-1,0 0 1,1-1 0,-1 0-1,1 0 1,0 0-1,0 0 1,0-1 0,1 0-1,-1 0 1,1-1-1,-1 1 1,1-1-1,0 0 1,0-1 0,0 1-1,0-1 1,0 0-1,7-1 1,-9 1 72,-1-1-1,0 0 1,1 0 0,-1 0-1,1 0 1,-1-1 0,0 1-1,1-1 1,-1 0-1,0 0 1,0 0 0,0-1-1,1 1 1,-2-1 0,1 1-1,0-1 1,0 0 0,0 0-1,-1-1 1,1 1 0,-1 0-1,0-1 1,1 1 0,-1-1-1,0 0 1,-1 0 0,1 0-1,0 0 1,-1 0 0,0 0-1,0 0 1,0 0 0,1-7-1,2-2 271,-2-1 0,0 0-1,0 0 1,-1 0-1,-1 0 1,0 0 0,-1 0-1,0 0 1,-1 0-1,-1 0 1,0 0 0,-1 1-1,0-1 1,0 1-1,-8-13 1,-7 1 931,9 20-660,10 5-496,-1-1 1,1 0 0,-1 1 0,1-1 0,0 1 0,-1-1-1,1 1 1,0-1 0,-1 1 0,1-1 0,0 1-1,0-1 1,-1 1 0,1 0 0,0-1 0,0 1 0,0-1-1,0 1 1,0 0 0,0-1 0,0 1 0,0 0-1,-1 11 5,1-1-1,0 0 0,1 0 0,0 1 0,4 18 0,-3-25-23,0 1-1,1 0 1,-1-1 0,1 0 0,0 0-1,0 1 1,1-2 0,0 1 0,0 0-1,0-1 1,0 0 0,8 6 0,-8-6-119,0-1 0,0 0 0,1 0 0,-1 0 0,1-1 0,0 1 0,0-1 0,-1-1 0,2 1 0,-1-1 0,0 1 1,0-1-1,0-1 0,0 1 0,1-1 0,7 0 0,-12-1 137,0 1 1,1-1-1,-1 1 0,0-1 1,0 0-1,0 1 0,0-1 1,0 0-1,0 0 0,0 0 1,0 0-1,0 0 0,0 0 1,-1 0-1,1 0 0,0 0 1,-1 0-1,1-1 0,0 1 1,-1 0-1,0 0 0,1-1 1,-1 1-1,0 0 0,1-1 1,-1 1-1,0-2 0,2-44 193,-2 41-128,0-87 2911,0 92-2682,0 25-199,0-6-91,1 0 0,0 0 0,1 0 0,1 0 0,1-1-1,7 22 1,-9-34-153,0 0-1,0-1 1,0 1-1,0-1 1,1 1 0,-1-1-1,1 0 1,0 0-1,1 0 1,-1-1-1,0 1 1,1-1-1,0 1 1,0-1-1,0-1 1,0 1-1,1 0 1,-1-1-1,1 0 1,-1 0-1,1 0 1,0-1 0,0 0-1,0 0 1,0 0-1,0 0 1,7-1-1,-10 1 89,0-1 0,0 0 0,1 0 0,-1 0 0,0 0 0,0 0 0,0 0 0,0 0 0,0-1 0,0 1 0,0-1 0,0 0 0,0 1 0,0-1 0,-1 0 0,1 0 0,0 0 0,0-1 0,-1 1 0,1 0 0,0-1 0,-1 1 0,0-1 0,1 1 0,-1-1 0,0 1 0,0-1 0,0 0 0,0 0 0,0 0 0,0 0 0,0 0 0,-1 0 0,2-3-1,3-15 117,0-1-1,-2 1 0,0 0 0,0-29 0,-2 26 909,1 0 0,1 0 0,6-25 1,-9 48-942,0-1 1,1 1-1,-1-1 0,0 1 1,0-1-1,1 1 1,-1 0-1,0-1 1,1 1-1,-1-1 1,0 1-1,1 0 0,-1-1 1,1 1-1,-1 0 1,1-1-1,-1 1 1,0 0-1,1 0 1,-1 0-1,1-1 0,-1 1 1,1 0-1,0 0 1,-1 0-1,1 0 1,-1 0-1,1 0 1,-1 0-1,1 0 0,-1 0 1,1 0-1,-1 0 1,1 0-1,-1 0 1,1 0-1,-1 1 1,1-1-1,-1 0 0,1 0 1,-1 1-1,1-1 1,0 1-1,18 13-186,5 34-938,-16-29-209,-8-17 633,-2-7 47,0 1 746,-1 1 1,1 0-1,-1 0 0,1 0 1,-1 0-1,0 0 0,0 0 1,0 1-1,0-1 0,-1 1 1,-5-3-1,7 4-88,0-1-1,-1 1 1,1 0-1,-1 0 1,1 1-1,-1-1 1,1 0 0,-1 1-1,1 0 1,-1-1-1,1 1 1,-1 0-1,0 0 1,1 1 0,-1-1-1,1 0 1,-1 1-1,1 0 1,-4 0-1,4 1-23,1-1 0,-1 1 0,1-1 0,-1 1 0,1-1 0,0 1 0,0 0 0,-1 0 0,1 0 0,0 0 0,1 0 0,-1 0 0,0 0 0,1 0 0,-1 0 0,1 0 0,-1 0 0,1 4-1,-2 45-29,2-42 48,0 3-74,0 0 0,1 0 0,0 0 1,1 0-1,1 0 0,0 0 0,6 16 0,-7-24-110,-1-1 0,1 1 0,0-1 0,0 1 0,1-1 0,-1 0 0,1 0 0,0 0 0,-1 0 0,1 0 0,1-1 0,-1 1 0,0-1 0,1 0 0,-1 0-1,1 0 1,-1 0 0,1-1 0,0 1 0,0-1 0,0 0 0,0 0 0,0 0 0,0-1 0,0 0 0,5 0 0,-6 1 118,-1-1-1,1 0 1,0 0 0,0 0 0,-1 0 0,1-1 0,0 1-1,0-1 1,-1 0 0,1 1 0,-1-1 0,1-1 0,-1 1-1,1 0 1,-1 0 0,1-1 0,-1 0 0,0 1-1,0-1 1,0 0 0,0 0 0,0 0 0,0 0 0,-1 0-1,1-1 1,-1 1 0,1 0 0,-1-1 0,2-4-1,2-8 591,0-1-1,-1 1 1,0-1-1,-1 0 1,-1 0-1,-1 0 1,0 0-1,-3-27 1,2 13 624,0 29-1103,-2-30 1193,2 30-1203,0 0 1,0 0-1,0 0 0,0 0 0,0 0 0,0 0 0,-1 0 1,1 0-1,0 1 0,-1-1 0,1 0 0,0 0 1,-1 0-1,1 1 0,-1-1 0,1 0 0,-1 0 0,0 1 1,1-1-1,-1 0 0,0 1 0,1-1 0,-1 1 1,0-1-1,0 1 0,1-1 0,-1 1 0,-2-1 1,3 2-58,-1 0 1,1 0 0,0-1-1,-1 1 1,1 0 0,-1 0 0,1 0-1,0 0 1,0 0 0,0 0-1,0 0 1,-1 0 0,1 0 0,0 0-1,0 0 1,1 1 0,-1 0-9,-1 17-29,1 0 1,1 0-1,5 34 0,-4-46-106,-1 0-1,1-1 1,1 1-1,-1 0 1,1-1 0,0 0-1,1 1 1,-1-1-1,1-1 1,0 1 0,1-1-1,-1 1 1,1-1-1,6 4 1,-8-6 34,1-1 0,0 0 0,0 0 0,0 0 0,0 0 0,0-1 0,0 0 0,1 0 0,-1 0 0,0 0 0,0-1 0,1 1 0,-1-1 0,1 0 1,-1 0-1,0-1 0,1 0 0,5-1 0,-5 1 112,1-1 0,-1 1 0,0-1 0,1-1 0,-1 1 0,0-1 0,0 0 0,0 0 0,-1 0 0,1-1 0,-1 1 0,0-1 0,5-6 0,-4 3 41,0 0 0,-1-1 0,-1 1 0,1-1 0,-1 0 0,0 0 0,-1 0 0,0 0 0,1-12 0,-1 5 413,-1 1 1,0-1-1,-1 0 0,-4-22 1,-5 7 738,8 29-1151,1 0-1,-1 0 1,1 0-1,-1 0 1,1 0-1,-1 0 1,0 0-1,0 0 1,0 0-1,1 0 1,-1 1-1,0-1 1,0 0-1,0 1 1,0-1-1,0 0 1,0 1-1,0-1 1,-1 1-1,1-1 1,0 1-1,-2-1 1,2 2-45,1-1 0,-1 0 0,1 1 0,0-1 0,-1 0 1,1 1-1,-1-1 0,1 1 0,0-1 0,-1 1 1,1-1-1,0 0 0,-1 1 0,1-1 0,0 1 1,0 0-1,-1-1 0,1 1 0,0-1 0,0 1 0,0-1 1,0 1-1,0-1 0,0 1 0,0 0 0,0-1 1,0 2-1,0 22-13,0-18 5,0 16 51,0 1-1,2-1 1,5 27-1,-5-42-189,-1 0 0,1-1 0,1 1 0,-1-1 0,1 0-1,0 1 1,1-1 0,-1 0 0,1-1 0,0 1 0,1-1 0,-1 0 0,1 0 0,11 9 0,-14-12 78,1 0 0,0 0 0,0-1 0,-1 1 1,1 0-1,0-1 0,1 0 0,-1 0 1,0 0-1,0 0 0,0 0 0,1 0 1,-1-1-1,0 0 0,1 0 0,-1 0 1,0 0-1,1 0 0,-1-1 0,0 1 1,1-1-1,-1 0 0,0 0 0,0 0 1,0 0-1,0-1 0,0 1 0,0-1 1,0 0-1,0 0 0,-1 0 0,1 0 1,-1 0-1,1-1 0,-1 1 0,0-1 1,0 1-1,2-4 0,2-3 117,-1 1 0,0-1 1,0 0-1,-1 0 0,0-1 0,-1 1 0,0-1 0,-1 0 1,0 1-1,0-1 0,0-16 0,-2 14-2,1 6 90,-1 1 0,0-1 0,0 0 0,-1 1 0,1-1 1,-1 0-1,-1 1 0,1-1 0,-1 1 0,-4-9 0,3 9 703,1 7-346,5 10-398,5 5-88,1 0 0,15 20 0,0 2-46,-19-32-35,1 5-453,0-2-1,1 1 1,11 12-1,-15-20 181,-1-1-1,1 0 0,-1 1 1,1-1-1,0 0 1,-1 0-1,1-1 0,0 1 1,0-1-1,0 1 1,1-1-1,-1 0 0,0 0 1,0 0-1,1-1 1,-1 1-1,5-1 0,-6 0 343,0-1 0,-1 1-1,1-1 1,0 0-1,-1 1 1,1-1 0,-1 0-1,1 0 1,-1 0-1,0 0 1,1-1-1,-1 1 1,0 0 0,0-1-1,1 1 1,-1 0-1,0-1 1,-1 1-1,1-1 1,0 0 0,0 1-1,0-4 1,16-47 2180,-14 41-1350,9-35 1314,-9 29-886,2-1 0,0 1 0,10-23 0,-10 38-293,1 9-742,3 17-430,-8-21 309,13 42-127,-10-30-429,1 1-1,0-1 0,12 24 0,-16-38 433,0 0 0,-1 0 1,1 0-1,0 0 0,0 0 0,0 0 1,0 0-1,0-1 0,0 1 0,0 0 1,0-1-1,0 1 0,0-1 0,0 1 1,1-1-1,-1 1 0,0-1 0,0 0 1,0 0-1,1 1 0,-1-1 0,0 0 0,0 0 1,1 0-1,-1 0 0,0-1 0,0 1 1,1 0-1,-1 0 0,0-1 0,0 1 1,0-1-1,0 1 0,1-1 0,-1 0 1,0 1-1,0-1 0,0 0 0,0 1 1,0-1-1,-1 0 0,1 0 0,0 0 1,0 0-1,0 0 0,-1 0 0,1 0 1,-1 0-1,1-1 0,-1 1 0,1-1 1,19-52 251,-18 45 52,2-1 1,-1 0-1,1 1 0,0-1 0,1 1 1,9-14-1,-13 22-271,-1 1 1,0 0-1,0 0 0,0-1 1,1 1-1,-1 0 0,0 0 1,0-1-1,0 1 0,1 0 1,-1 0-1,0 0 1,1-1-1,-1 1 0,0 0 1,0 0-1,1 0 0,-1 0 1,0 0-1,1 0 0,-1 0 1,0 0-1,1 0 1,-1-1-1,0 1 0,1 0 1,-1 1-1,0-1 0,1 0 1,-1 0-1,0 0 0,0 0 1,1 0-1,-1 0 1,0 0-1,1 0 0,-1 1 1,0-1-1,0 0 0,1 0 1,-1 0-1,0 0 0,0 1 1,1-1-1,-1 0 1,0 0-1,0 1 0,0-1 1,1 0-1,-1 1 0,0-1 1,0 0-1,0 0 0,0 1 1,0-1-1,7 21-66,-7-19 78,10 47-325,-7-26-611,11 35 0,-12-53 135,0 1-1,0-1 0,0 1 1,1-1-1,-1 0 0,1 0 1,1-1-1,-1 1 0,1 0 1,0-1-1,6 6 1,9 3-6797</inkml:trace>
  <inkml:trace contextRef="#ctx0" brushRef="#br0" timeOffset="8781.07">6461 2243 4162,'0'0'16199,"-11"-10"-15700,-38-27-371,48 37-127,1-1 0,-1 1 1,0 0-1,0-1 0,1 1 0,-1 0 0,0 0 0,0 0 0,0-1 0,1 1 0,-1 0 0,0 0 0,0 0 1,0 0-1,1 0 0,-1 1 0,0-1 0,0 0 0,1 0 0,-1 0 0,0 1 0,0-1 0,1 0 0,-1 1 1,0-1-1,1 1 0,-1-1 0,0 1 0,1-1 0,-1 1 0,1-1 0,-1 1 0,0 1 0,-11 23 54,11-21-43,-4 13-16,0 1-1,2-1 0,0 1 0,1 0 0,0 0 1,2 0-1,0-1 0,1 1 0,4 19 0,-4-32-187,1 0 0,0 0 0,0-1-1,0 1 1,1 0 0,0-1 0,0 1-1,0-1 1,0 0 0,1 0 0,-1 0-1,1 0 1,5 3 0,-7-6 112,-1 1 0,0-1 0,0 0 0,1 0 0,-1 0 0,1-1 0,-1 1 0,1 0 0,-1 0 0,1-1 0,0 1 0,-1-1 0,1 0 0,0 1 0,-1-1 0,1 0 0,0 0 0,-1 0 0,1 0 0,0 0 0,-1 0 0,1-1 0,0 1 0,-1 0 0,1-1 0,0 1 0,-1-1 0,1 0 0,-1 0 0,1 1 0,-1-1 0,0 0 0,1 0 0,-1-1 0,0 1 0,1 0 0,-1 0 0,0 0 0,0-1 0,0 1 0,0-1 0,-1 1 0,2-2 0,3-9 111,0 1-1,-1-1 1,0 0-1,-1 0 0,0 0 1,-1-1-1,-1 1 0,1-18 1,-7-102 2286,-2 89-1321,-2 0-1,-2 1 1,-1 0 0,-36-79-1,48 120-980,0 0-1,0 1 0,0-1 0,0 0 1,0 1-1,0-1 0,-1 0 0,1 1 1,0-1-1,0 1 0,-1-1 0,1 0 1,0 1-1,-1-1 0,1 1 1,-1-1-1,1 1 0,-1-1 0,1 1 1,-1-1-1,1 1 0,-1 0 0,1-1 1,-1 1-1,1 0 0,-1-1 0,0 1 1,0 0-1,-3 21-94,2 15 82,2 0 0,2 0 0,1 0 1,1-1-1,17 63 0,-17-85-78,34 89 204,-35-93-421,2 0 0,-1-1 0,1 1 0,0-1 0,1-1 0,0 1 0,0-1 0,15 13 0,-18-18-209,0 0 1,0 0-1,0 0 1,1 0-1,-1-1 1,1 0-1,-1 1 0,1-1 1,-1 0-1,1-1 1,-1 1-1,1-1 1,6 1-1,30-1-7198</inkml:trace>
  <inkml:trace contextRef="#ctx0" brushRef="#br0" timeOffset="10059.04">7336 1993 4338,'0'0'14809,"-5"-7"-13453,-19-23-444,23 29-835,0 0-1,0 0 1,0 0 0,0 0-1,0 0 1,0 1 0,0-1-1,0 0 1,0 0 0,0 1-1,0-1 1,-1 1 0,1-1-1,0 1 1,0-1-1,-3 0 1,3 1-62,1 1-1,-1-1 0,0 0 1,0 0-1,1 0 1,-1 0-1,0 1 1,1-1-1,-1 0 0,0 1 1,1-1-1,-1 1 1,0-1-1,1 0 1,-1 1-1,1 0 0,-1-1 1,1 1-1,-1-1 1,0 2-1,-1 3-36,-1-1 0,1 1 0,1 0 0,-1-1 0,0 1 0,0 5 0,2-7 88,-7 39-16,1 0-1,3 0 0,4 81 1,-1-114-58,1 0 0,0 0 1,1 0-1,0-1 0,1 1 1,-1-1-1,1 1 0,1-1 1,0 0-1,0 0 0,1-1 1,6 10-1,-7-12-93,0 0 0,1 0-1,-1-1 1,1 0 0,0 0 0,0 0 0,0 0 0,1-1-1,-1 0 1,1 0 0,0 0 0,0-1 0,0 0-1,0 0 1,0-1 0,0 1 0,11 0 0,-12-2 11,0 1 1,-1-1-1,1 0 1,-1-1 0,1 1-1,0-1 1,-1 0-1,1 0 1,-1 0-1,0-1 1,1 1-1,-1-1 1,6-3 0,-6 2 82,-1-1 0,1 1 0,-1-1 0,0 1 1,0-1-1,0 0 0,-1 0 0,1 0 0,-1 0 1,0-1-1,0 1 0,-1-1 0,2-6 0,1-2 248,0 0 0,-1 0 0,-1-1-1,0 0 1,-1 1 0,-1-1-1,0 0 1,-3-23 0,3 36-233,0 0 1,-1 0-1,1 0 0,0 0 1,-1 0-1,1-1 1,-1 1-1,1 1 1,-1-1-1,0 0 0,1 0 1,-1 0-1,0 0 1,0 0-1,1 0 0,-1 1 1,0-1-1,0 0 1,0 1-1,0-1 1,0 1-1,0-1 0,0 1 1,0-1-1,0 1 1,0 0-1,0 0 0,0-1 1,-1 1-1,1 0 1,0 0-1,0 0 1,0 0-1,0 0 0,0 0 1,0 1-1,-1-1 1,1 0-1,0 0 0,0 1 1,0-1-1,0 1 1,0-1-1,0 1 1,0-1-1,0 1 0,0 0 1,1 0-1,-1-1 1,0 1-1,0 0 0,0 0 1,1 0-1,-1 0 1,1 0-1,-1 0 1,0 1-1,-1 6-7,0 0 1,1 0-1,0 0 0,0 0 1,1 0-1,0 0 0,1 10 1,-1-15-38,1-1 1,-1 0 0,0 0-1,1 0 1,-1 0-1,1 0 1,0 0 0,0 0-1,-1 0 1,1 0 0,1 0-1,-1 0 1,0-1 0,0 1-1,1 0 1,-1-1 0,1 1-1,-1-1 1,1 0 0,0 1-1,-1-1 1,1 0 0,0 0-1,0 0 1,0 0 0,0 0-1,0-1 1,0 1 0,0 0-1,0-1 1,3 1-1,-1-1 17,-1 0 0,0 0 0,1 0 0,-1 0 0,0-1 0,1 0 0,-1 1 0,0-1 0,0 0 0,0 0 0,1-1 0,-1 1 0,-1-1 0,1 1 0,0-1 0,0 0 0,0 0 0,2-3 0,-2 1 4,1 0 1,-1-1-1,0 1 0,0-1 1,0 0-1,0 0 0,-1 0 1,0-1-1,0 1 0,1-8 1,-1 3 126,0 0 1,-1-1 0,0 1-1,-1 0 1,0 0 0,-3-20 0,3 27-77,-1 0 0,1 1 0,-1-1 1,0 1-1,0-1 0,0 1 0,0 0 1,-1-1-1,1 1 0,0 0 0,-1 0 0,0 0 1,1 0-1,-3-2 0,2 3-25,1 0 0,-1 0 0,1 1 0,-1-1-1,0 0 1,0 1 0,1-1 0,-1 1 0,0 0 0,0-1-1,0 1 1,1 0 0,-1 0 0,0 0 0,0 1 0,0-1 0,1 0-1,-1 1 1,0-1 0,0 1 0,1-1 0,-4 2 0,3 0-10,0-1 0,0 0 0,0 0 0,1 1 1,-1 0-1,0-1 0,1 1 0,-1 0 0,1-1 1,0 1-1,0 0 0,-1 0 0,1 0 1,0 0-1,1 0 0,-1 0 0,0 1 0,1-1 1,-1 0-1,0 4 0,-2 49 0,3-51 2,0 17 15,1 1 0,1-1-1,1 0 1,10 36 0,-11-49-125,0-1 0,1 1 0,0 0 0,1-1 0,0 0 0,0 0 0,0 0 0,1 0 0,0-1 1,0 1-1,1-1 0,0-1 0,0 1 0,0-1 0,11 7 0,-14-10 20,0-1 1,0 1-1,0-1 0,0 1 0,0-1 1,1 0-1,-1 0 0,0-1 1,1 1-1,-1-1 0,1 0 1,-1 0-1,0 0 0,1 0 1,-1 0-1,1-1 0,-1 1 1,5-2-1,-4 0 69,1-1-1,-1 1 1,0-1 0,0 1-1,0-1 1,0 0 0,0-1 0,0 1-1,-1-1 1,0 1 0,4-7-1,4-6 275,-1-1-1,-1-1 0,-1 0 0,0 0 0,6-23 0,-6 5 249,-1 0 0,-2 0 0,-1-1 0,-2 1 0,-3-45 0,0 37-129,2 35-268,-1 6-30,0 0 0,1 0 0,-1 0 1,0 0-1,-1 0 0,1 0 0,0 0 0,-1 0 0,0 0 0,0 0 1,0 0-1,0 0 0,0 0 0,-3-4 0,3 8-73,0 0 1,1 1-1,-1-1 0,0 0 1,0 0-1,0 0 0,1 1 0,-1-1 1,1 0-1,-1 1 0,1-1 0,-1 0 1,1 1-1,0 1 0,-9 53 23,3 0 0,2 0-1,3 1 1,7 70 0,-5-118-20,0-1 0,0 0 1,1 0-1,0 0 1,0 0-1,1 0 1,0 0-1,8 13 0,-8-17-9,-1-1 0,0 0 0,1 1 0,0-1 0,0 0 0,0-1 0,0 1 0,0 0 0,0-1 0,1 0 0,-1 0 0,1 0 0,-1 0 0,1 0 0,0-1 0,0 0 0,0 1 0,0-1 0,7 0 0,-4 0-14,-1-1 0,1 1 0,0-1 0,-1-1-1,1 0 1,0 0 0,-1 0 0,1 0 0,-1-1-1,1 0 1,-1-1 0,0 1 0,11-7 0,-11 4 8,0 0 1,-1 0-1,1 0 0,-1-1 1,0 1-1,-1-1 0,1 0 1,-1-1-1,-1 1 1,1-1-1,-1 0 0,3-8 1,0-7 8,-1 1-1,-1-1 1,-1 0 0,-1 0 0,-1 0-1,-1 0 1,-3-28 0,2 33-23,1 8 67,-1-1 0,0 1 0,0 0 0,-1 0 0,0 0 0,0 0 0,-1 0 0,-1 0 0,1 1 0,-2-1 0,1 1-1,-1 0 1,-8-10 0,13 27-45,0 25 16,1-1-1,2 0 1,1 1-1,11 38 1,52 124-1470,-66-193 902,2 7-3842</inkml:trace>
  <inkml:trace contextRef="#ctx0" brushRef="#br0" timeOffset="10492.07">7225 2810 3249,'0'0'17808,"3"-5"-16890,2 0-702,1 1-1,-1 0 0,1 0 0,0 1 0,1-1 0,-1 1 0,0 1 0,1-1 0,12-2 1,68-10 29,-74 14-174,154-20 150,411-68-140,-560 86-92,37-11-179,-51 13 117,0 0 0,0-1 0,0 0 0,0 0 0,0 0 0,-1 0 0,1-1 0,-1 1 0,1-1 1,2-3-1,-5 6 7,-1-1 0,1 1-1,-1 0 1,0-1 0,1 1 0,-1 0 0,1-1 0,-1 1 0,0-1 0,0 1 0,1 0 0,-1-1 0,0 1 0,1-1 0,-1 1 0,0-1 0,0 1 0,0-1 0,0 0 0,0 1 0,0-1 0,1 1 0,-1-1 0,0 1 0,-1-1 0,1 1 0,0-1 0,0 1 0,0-1 0,0 1 0,0-1 0,0 1 0,-1-1 0,1 1 0,0-1 0,0 1 0,-1-1 0,1 1 0,0-1 0,-1 1 0,1 0 0,0-1 0,-1 1 0,1-1 0,-1 1 0,1 0 0,-1-1 0,1 1 0,0 0 0,-1 0 0,1 0 0,-1-1 0,1 1-1,-1 0 1,0 0 0,0 0 0,-34-4-5347,31 3 4684,-42 1-6864</inkml:trace>
  <inkml:trace contextRef="#ctx0" brushRef="#br0" timeOffset="10851.67">7363 2727 6195,'0'0'14060,"16"1"-12847,470 3 1880,-484-4-3088,86-5 241,-2-4 1,1-3-1,-2-5 1,99-31-1,-183 46-1243,-7 1 199,-20-1-700,-33 1-4599,21 1-1923</inkml:trace>
  <inkml:trace contextRef="#ctx0" brushRef="#br0" timeOffset="13122.97">3171 1523 5955,'0'0'12934,"-2"6"-12814,1 1-82,0 1 0,0 0 0,1 0 0,0 0 0,0-1 1,0 1-1,4 13 0,17 62 241,-7-31-204,0 7-137,5 22 103,-7-29-3278,-12-80-12901</inkml:trace>
  <inkml:trace contextRef="#ctx0" brushRef="#br0" timeOffset="13462.97">3128 1489 3570,'0'0'11536,"-17"6"-11384,-51 21-30,63-24-113,0 0 0,0 1 0,0-1 1,1 1-1,-1 0 0,1 1 0,0-1 0,0 1 0,1 0 0,-1 0 0,1 0 0,0 0 0,0 1 0,1-1 0,0 1 0,0 0 0,-2 10 0,4-16-8,0 0 0,0 0 0,0 0 0,0 0 0,0 0-1,0 0 1,0-1 0,0 1 0,0 0 0,0 0 0,1 0 0,-1 0 0,0 0 0,0 0-1,0 0 1,0 0 0,0 0 0,0 0 0,1 0 0,-1 0 0,0 0 0,0 0-1,0 0 1,0 0 0,0 0 0,1 0 0,-1 0 0,0 0 0,0 0 0,0 0 0,0 0-1,0 0 1,0 0 0,1 0 0,-1 0 0,0 0 0,0 0 0,0 0 0,0 0 0,0 0-1,0 0 1,0 0 0,1 1 0,-1-1 0,0 0 0,0 0 0,0 0 0,0 0-1,0 0 1,0 0 0,0 0 0,0 1 0,0-1 0,0 0 0,0 0 0,0 0 0,0 0-1,0 0 1,0 1 0,1-2 5,22-20 31,-1-1-1,-2-1 1,0-1 0,27-42 0,10-12 155,-55 75-188,1-1-1,0 1 1,1-1 0,-1 1 0,1 0-1,-1 0 1,1 1 0,0-1-1,0 1 1,8-4 0,-10 6-13,1-1-1,-1 0 1,1 1 0,-1 0 0,1-1-1,-1 1 1,1 0 0,-1 0 0,1 1-1,-1-1 1,1 1 0,-1-1 0,1 1-1,-1 0 1,1-1 0,-1 1 0,0 0-1,1 1 1,-1-1 0,0 0-1,3 3 1,39 38-1290,-33-31-256,1 1-1,15 11 1,12 1-4821</inkml:trace>
  <inkml:trace contextRef="#ctx0" brushRef="#br0" timeOffset="15104.53">2558 802 6323,'0'0'10044,"-14"8"-9873,10-6-160,-1 0 7,1 0 1,0 0-1,0 0 0,0 1 1,0 0-1,1-1 1,-1 1-1,1 0 0,-1 1 1,1-1-1,0 1 0,0-1 1,1 1-1,-1 0 0,1 0 1,0 0-1,0 1 0,0-1 1,0 0-1,1 1 0,0-1 1,0 1-1,0-1 0,0 6 1,0 19 100,0 0 1,3 0-1,0 1 0,11 49 1,-10-68-109,0 0 0,1 0 0,0 0 0,0-1 1,1 1-1,1-1 0,-1 0 0,2-1 1,-1 0-1,2 0 0,-1 0 0,1 0 0,0-1 1,1-1-1,11 9 0,-16-13-21,1 0 0,0 0-1,0-1 1,0 1 0,0-1-1,0 0 1,0-1 0,0 1-1,1-1 1,-1 0 0,1 0 0,-1-1-1,1 1 1,-1-1 0,1-1-1,0 1 1,9-3 0,-10 2 9,-1-1 1,1 0-1,-1 0 1,0-1-1,1 1 1,-1-1 0,0 0-1,-1 0 1,1 0-1,0-1 1,-1 1-1,0-1 1,0 0-1,0 0 1,0 0-1,0 0 1,-1-1-1,0 1 1,3-9-1,-1-1 25,0 0 0,-1 0 0,1-21-1,-3 25 53,0 0 0,0 0 0,1 1 0,0-1 0,0 1 0,1-1-1,1 1 1,-1 0 0,9-13 0,-11 20-72,0 1 0,0 0 1,1-1-1,-1 1 0,0 0 0,1 0 0,-1 0 1,1 0-1,-1 0 0,1 0 0,-1 0 0,1 0 0,0 1 1,0-1-1,-1 0 0,1 1 0,0 0 0,0-1 1,0 1-1,-1 0 0,1 0 0,0 0 0,0 0 0,0 0 1,-1 1-1,1-1 0,0 0 0,0 1 0,0-1 1,-1 1-1,3 1 0,2 1-21,-1 0-1,0 0 1,0 0 0,-1 0 0,1 1-1,-1 0 1,1 0 0,3 6 0,4 8-43,8 10-227,-19-27 186,-1 0-1,1 0 1,0 0 0,0 0-1,1 0 1,-1 0-1,0 0 1,0 0 0,0 0-1,1-1 1,-1 1-1,0 0 1,0-1 0,1 1-1,-1-1 1,1 0 0,1 1-1,-3-26 358,0 23-212,0 0-1,0 0 0,-1 0 1,1-1-1,-1 1 0,0 0 1,1 0-1,-1 0 1,0 0-1,0 1 0,0-1 1,-1 0-1,1 0 0,0 0 1,-1 1-1,1-1 1,-1 1-1,1-1 0,-1 1 1,0 0-1,0-1 0,1 1 1,-1 0-1,0 0 1,0 0-1,0 1 0,-4-2 1,-2 0 76,0-1 0,-1 2 0,1-1 0,-1 1-1,-14 0 1,21 1-122,0 0-1,-1 1 0,1-1 0,0 0 0,0 1 0,0-1 0,0 1 0,0 0 0,0 0 0,0 0 1,0 0-1,0 0 0,1 0 0,-1 0 0,0 1 0,1-1 0,-1 1 0,-2 2 0,1 0 3,0 0 0,1 1 0,-1-1-1,1 1 1,0-1 0,0 1-1,-2 9 1,1-5 1,1 1 0,1 0 0,0 0 0,0-1 0,1 1 0,0 0 0,1 0 0,2 11 0,-2-18-13,0 0 0,1 0-1,-1 0 1,1-1-1,0 1 1,0 0 0,0-1-1,0 1 1,0-1-1,1 0 1,-1 0 0,1 0-1,-1 0 1,1 0-1,0 0 1,0-1-1,0 1 1,0-1 0,0 0-1,0 0 1,0 0-1,0 0 1,0 0 0,1-1-1,3 1 1,-1-1-5,0 1 0,-1-1-1,1 1 1,0-2 0,-1 1 0,1-1 0,0 1 0,-1-2-1,1 1 1,-1 0 0,1-1 0,-1 0 0,9-5-1,-10 4 24,0 0 0,0-1 0,0 1 0,-1-1 0,1 0 0,-1 1 0,0-2 0,0 1 0,-1 0 0,1 0 0,-1-1 0,0 1 0,0-1 0,-1 0 0,2-5 0,0-6 319,-1-1-1,-1 1 1,0-23 0,-1 38-303,0 1-51,0 26-366,0-22 351,0 0 0,0 0 0,1 0 0,-1-1 0,1 1 0,0 0 0,1 0 0,-1-1 0,0 1 0,1-1 1,0 1-1,0-1 0,0 1 0,0-1 0,1 0 0,-1 0 0,1 0 0,0-1 0,-1 1 0,1-1 0,1 1 0,-1-1 0,0 0 0,0 0 0,1 0 0,-1-1 0,1 1 0,0-1 0,-1 0 0,1 0 1,0 0-1,0 0 0,0-1 0,0 1 0,-1-1 0,1 0 0,6-1 0,-8 0 41,0 1 0,0-1 1,0 0-1,0 0 0,-1 0 1,1 0-1,0 0 0,0 0 1,-1-1-1,1 1 0,-1-1 1,0 1-1,1-1 0,-1 1 1,0-1-1,0 0 0,0 1 1,0-1-1,0 0 0,0 0 1,1-4-1,14-48 279,-14 44-69,-2 8-90,1 0 0,0 0 0,-1 0 0,1 0 0,0 0 0,0 0 0,0 0 0,0 0 0,0 0 0,3-3 0,-3 5-106,-1-1-1,1 1 1,0 0-1,-1 0 1,1-1 0,0 1-1,0 0 1,0 0 0,-1 0-1,1 0 1,0 0 0,0 0-1,-1 0 1,1 0 0,0 1-1,0-1 1,-1 0 0,1 0-1,0 1 1,-1-1-1,1 0 1,0 1 0,-1-1-1,1 1 1,0-1 0,-1 0-1,1 1 1,-1 0 0,1-1-1,-1 1 1,1-1 0,-1 1-1,1 0 1,-1-1 0,0 1-1,1 0 1,57 92-836,-57-92 789,0 0 0,0 0-1,1 0 1,-1 0 0,0 0-1,1 0 1,-1 0-1,0-1 1,1 1 0,-1 0-1,1-1 1,-1 0 0,1 1-1,-1-1 1,1 0-1,-1 0 1,1 1 0,-1-1-1,1 0 1,-1-1 0,1 1-1,-1 0 1,1 0-1,-1-1 1,1 1 0,-1-1-1,1 1 1,-1-1 0,0 1-1,3-3 1,1 0 31,1 0 0,-2 0 0,1-1-1,0 0 1,-1 0 0,6-6 0,-2-1 27,0 0 0,0-1 0,-1 0 0,-1 0 0,6-15 0,5-8 2794,-17 38-2482,-1 18-471,1-11 144,-1 1 1,2-1-1,-1 0 1,1 0 0,5 18-1,-5-26-37,0 1 0,0 0 1,0 0-1,1 0 0,-1-1 0,1 1 0,0-1 0,0 1 1,0-1-1,0 0 0,0 0 0,1 0 0,-1 0 0,0 0 0,1 0 1,0-1-1,-1 1 0,1-1 0,0 0 0,0 1 0,0-1 1,0-1-1,-1 1 0,5 0 0,-2 1-70,0-1 1,0-1-1,0 1 1,0-1-1,1 0 0,-1 0 1,0 0-1,0-1 1,0 1-1,0-1 0,0-1 1,0 1-1,5-3 0,-6 2 88,0 0-1,-1-1 0,1 1 0,-1-1 0,0 0 0,0 0 0,0-1 0,0 1 0,0-1 1,-1 1-1,1-1 0,-1 0 0,0 0 0,0 0 0,2-6 0,2-8 46,-1-1 0,-1 0 0,0 1 0,-1-1 0,-1 0 0,-1 0 0,-1-1 0,0 1 0,-4-21 0,0 16 179,0 0-1,-2 1 0,0 0 0,-2 0 1,0 1-1,-21-39 0,25 55-112,3 3 20,-1-1 1,0 1-1,0 0 1,0 0-1,0 0 1,0 1-1,-1-1 1,-4-4-1,4 18 142,4 11-200,1-1 0,1 1 0,1-1-1,1 0 1,0 0 0,2-1 0,10 23 0,76 137 38,-63-127-372,-28-48 241</inkml:trace>
  <inkml:trace contextRef="#ctx0" brushRef="#br0" timeOffset="15428.67">3572 940 4018,'0'0'4514,"20"6"-4357,-3-1-139,8 4-10,1-2 0,0-1 1,43 5-1,-68-11-1,6 1-51,0 0-1,-1-1 0,1 0 1,-1-1-1,1 1 0,-1-1 0,7-2 1,-11 2 85,0 1 0,0-2 1,-1 1-1,1 0 1,0 0-1,-1 0 0,1-1 1,-1 1-1,1-1 0,-1 1 1,0-1-1,1 0 1,-1 1-1,0-1 0,0 0 1,0 0-1,-1 0 1,1 0-1,0 0 0,-1 0 1,1 0-1,-1 0 0,1 0 1,-1 0-1,0-3 1,0-56 6127,0 48-2443,1 42-3283,0-18-479,1 0 0,1-1 0,0 1 0,0-1 1,1 0-1,0 0 0,1 0 0,0 0 0,1-1 0,0 0 1,0 0-1,1 0 0,8 7 0,-13-13-408,8 3-3599</inkml:trace>
  <inkml:trace contextRef="#ctx0" brushRef="#br0" timeOffset="15583.11">3784 676 5539,'0'0'1744</inkml:trace>
  <inkml:trace contextRef="#ctx0" brushRef="#br0" timeOffset="16454.95">4002 831 5555,'0'0'15180,"4"0"-14711,-3 0-460,1 0 0,-1 0-1,0 0 1,1 1 0,-1-1-1,0 1 1,0-1 0,1 1-1,-1 0 1,0-1-1,0 1 1,0 0 0,0 0-1,0 0 1,0 0 0,0 0-1,0 0 1,0 0 0,0 0-1,1 2 1,15 36 69,-11-14-37,4 35 1,-9-58-38,0 15 0,-1-13-10,-1 0 1,2 0 0,-1 0 0,0 1 0,1-1 0,0 0-1,0 0 1,0 0 0,0-1 0,1 1 0,-1 0-1,3 4 1,-3-8-2,0 1 0,0-1 0,0 0 0,0 1 0,-1-1 0,1 0 0,0 0 0,0 1 0,0-1 0,0 0 1,0 0-1,0 0 0,0 0 0,0 0 0,0-1 0,0 1 0,0 0 0,-1 0 0,1-1 0,0 1 0,0 0 0,0-1 0,0 1 0,0-1 0,-1 1 0,1-1 0,0 1 0,-1-1 0,1 0 0,0 1 0,-1-1 0,1 0 0,0 1 0,-1-1 0,1-1 0,19-30 46,-20 32-43,28-68 75,3-6 66,-31 74-135,0 0-1,0 0 1,0-1 0,0 1-1,0 0 1,0 0 0,0-1-1,0 1 1,1 0 0,-1 0-1,0-1 1,0 1 0,0 0-1,0 0 1,1 0 0,-1-1-1,0 1 1,0 0-1,0 0 1,1 0 0,-1 0-1,0 0 1,0-1 0,1 1-1,-1 0 1,0 0 0,0 0-1,1 0 1,-1 0 0,0 0-1,0 0 1,1 0-1,-1 0 1,0 0 0,0 0-1,1 0 1,-1 0 0,0 0-1,0 0 1,1 0 0,6 13 102,1 27 79,-7-32-167,2 9-201,1 0 0,1 0 0,0-1-1,14 31 1,-16-43 127,-1 0-1,0 0 0,1-1 1,0 1-1,0-1 0,0 0 0,0 1 1,0-1-1,1-1 0,6 6 1,-7-7 40,0 0 1,0 0 0,-1 0-1,1 0 1,0 0 0,0-1-1,0 1 1,0-1 0,0 0-1,0 0 1,0 0 0,0 0-1,0 0 1,0-1 0,0 1-1,0-1 1,6-2-1,-6 1 20,0 0 0,0 0 0,0 0 0,0 0 0,0-1 0,0 1 0,-1-1 0,1 0 0,-1 1 0,0-1 0,0-1 0,0 1 0,0 0 0,0 0 0,-1-1 0,2-3-1,2-7 31,0 1 0,4-27 0,-6 23 404,-1 0 0,-1 0 1,0 0-1,-4-31 1,0 39 161,-2 12-561,-1 19-165,6-13 74,-1 0 0,2 0-1,0-1 1,0 1 0,0 0 0,1 0 0,0 0 0,1-1 0,0 1 0,4 8 0,-5-14-91,0 1 0,0-1 0,1 0-1,-1 0 1,1 0 0,-1 0 0,1-1 0,0 1 0,0 0 0,0-1 0,0 0 0,1 0 0,-1 0 0,1 0-1,-1-1 1,1 1 0,-1-1 0,1 0 0,0 0 0,0 0 0,0-1 0,-1 1 0,1-1 0,0 0 0,7 0-1,-8-1 133,0 0-1,-1 0 1,1 0-1,-1 0 1,0-1-1,1 1 1,-1-1-1,0 1 1,0-1-1,0 0 1,0 0-1,0 0 1,0 0-1,0 0 1,-1 0-1,1 0 1,-1-1-1,2-3 1,22-49 592,-21 36 569,-1-1 1,1-29-1,-3 46 244,-1 20-1396,2 1-1,0-1 0,0 0 1,2 0-1,11 34 1,-11-41-456,0 0 0,1-1 1,0 1-1,12 14 0,-14-19-355,2 0-1,-1-1 1,0 1-1,1-1 0,0 0 1,0 0-1,0-1 1,11 6-1,15 3-5587</inkml:trace>
  <inkml:trace contextRef="#ctx0" brushRef="#br0" timeOffset="17639.91">4847 844 1665,'0'0'16837,"-15"-1"-16461,3 0-297,0 1 0,-24 3 0,34-2-70,1-1-1,-1 1 0,0 0 1,1 0-1,-1 0 1,1 0-1,-1 0 0,1 1 1,-1-1-1,1 0 0,0 1 1,0-1-1,0 1 0,0-1 1,0 1-1,0 0 0,0-1 1,0 1-1,1 0 0,-1 0 1,1-1-1,-1 1 1,1 0-1,0 0 0,0 0 1,-1-1-1,1 1 0,0 0 1,1 3-1,-2 2 0,-2 19 86,2 0 1,1 48-1,1-67-96,0 0 1,0 1-1,0-1 0,1 0 1,0 0-1,0 0 1,1-1-1,0 1 1,0 0-1,1-1 0,-1 0 1,2 0-1,-1 0 1,10 11-1,-12-16-55,0 1-1,0 0 1,0 0 0,0-1 0,0 0-1,0 1 1,0-1 0,0 0-1,1 0 1,-1 0 0,0 0-1,1 0 1,-1-1 0,1 1 0,-1-1-1,1 1 1,-1-1 0,1 0-1,-1 0 1,1 0 0,-1-1 0,1 1-1,-1 0 1,1-1 0,-1 0-1,1 1 1,-1-1 0,3-1 0,-2-1 51,0 1 0,1-1 1,-1 1-1,0-1 1,0 0-1,-1 0 1,1 0-1,0-1 1,-1 1-1,0 0 1,0-1-1,0 0 1,0 1-1,-1-1 1,0 0-1,2-4 1,1-14 441,-1 1 1,0 0 0,-2-1 0,-1 1-1,0-1 1,-4-21 0,3 35-171,-1 1 0,0 0-1,0 0 1,-6-11 0,-8-2 363,15 20-615,1 0-1,-1-1 1,1 1-1,-1 0 1,0 0-1,0-1 1,1 1-1,-1 0 1,0 0-1,1 0 1,-1 0-1,0 0 1,0 0 0,1 0-1,-1 0 1,0 0-1,0 0 1,1 0-1,-1 0 1,0 1-1,1-1 1,-1 0-1,0 1 1,1-1-1,-1 0 1,0 1-1,1-1 1,-1 1-1,-1 1-16,1-1 0,-1 1 0,1 0 0,0 0-1,0-1 1,0 1 0,0 0 0,0 0 0,0 0-1,1 0 1,-1 1 0,1-1 0,-1 0 0,1 0-1,0 0 1,0 2 0,0 43 19,0-29 4,1-10-57,-1 1 0,1-1 1,1 0-1,-1 0 1,2 0-1,-1 0 0,1 0 1,0 0-1,0 0 1,1-1-1,0 0 0,1 0 1,-1 0-1,1 0 1,1 0-1,-1-1 0,13 10 1,-16-14-3,0 0 1,0-1 0,0 1 0,0-1-1,0 0 1,0 0 0,0 0 0,1 0-1,-1 0 1,0 0 0,1 0-1,-1-1 1,1 1 0,-1-1 0,1 0-1,-1 0 1,1 0 0,-1 0 0,0 0-1,1 0 1,-1-1 0,3 0-1,-1 0 28,-1-1-1,0 0 1,0 0-1,0 0 0,0 0 1,-1 0-1,1-1 1,-1 1-1,1-1 0,-1 0 1,0 0-1,0 0 0,3-4 1,2-7 46,-1 0 1,0-1-1,-1 1 1,0-1-1,4-27 1,-6 14 362,-1 0-1,-2-30 1,-1 23 599,1 35-999,-1 1-1,0-1 1,1 0 0,-1 1-1,0-1 1,1 0-1,-1 1 1,0-1-1,1 0 1,-1 1-1,1-1 1,-1 1 0,1-1-1,-1 1 1,1 0-1,-1-1 1,1 1-1,-1-1 1,1 1-1,0 0 1,-1-1 0,1 1-1,0 1 1,-3 8 9,1 0 1,1 0 0,0 1 0,0-1-1,1 0 1,0 1 0,1-1 0,0 0-1,4 14 1,-3-16-87,0 0 0,1 0 0,-1-1-1,2 1 1,-1-1 0,1 0 0,0 0-1,1 0 1,-1-1 0,1 1 0,1-1-1,9 9 1,-13-14-27,-1 1 0,1-1 0,0 1 0,0-1 0,0 0 0,0 1 0,0-1 0,0 0 0,0-1 0,1 1 0,-1 0 0,0-1 0,0 1 0,1-1 0,-1 0 0,0 1 0,1-1 0,-1 0 0,0-1 0,1 1 0,-1 0 0,0-1 0,1 1 0,-1-1 0,0 0 0,0 1 0,0-1 0,0 0 0,3-2 0,-1 0 12,-1 0 1,1 0 0,-1 0-1,1-1 1,-1 1 0,0-1-1,-1 0 1,1 0 0,-1 0-1,1 0 1,-1-1 0,0 1-1,1-5 1,2-14 597,-1 1-1,-1-1 1,-1 0 0,-1 1 0,-1-1 0,-3-28 0,3 50-419,0-1 0,0 1 0,-1 0 0,1-1 0,0 1 0,0 0 0,-1 0 0,1-1 0,-1 1 0,1 0 1,-1 0-1,0 0 0,1-1 0,-1 1 0,0 0 0,-1-2 0,-5 5 422,2 13-609,3 1 114,0 0-1,1 1 0,0-1 0,2 1 1,4 29-1,-4-40-18,0 1 0,0-1 1,1 0-1,0 0 0,0 0 0,1 0 0,0 0 1,0-1-1,0 1 0,0-1 0,1 0 0,0 1 1,0-2-1,1 1 0,-1-1 0,1 1 0,0-1 1,6 3-1,-8-5-18,0 0 0,0-1 1,0 0-1,0 1 0,0-1 0,0 0 0,0-1 1,0 1-1,1 0 0,-1-1 0,0 0 0,1 0 1,-1 0-1,0 0 0,1-1 0,-1 1 1,0-1-1,0 0 0,1 0 0,-1 0 0,0 0 1,0 0-1,0-1 0,0 1 0,-1-1 1,1 0-1,0 0 0,-1 0 0,1 0 0,-1 0 1,1-1-1,-1 1 0,0-1 0,0 0 0,0 1 1,-1-1-1,3-6 0,3-8 40,-1-1 1,-1 0-1,0 0 0,-2-1 0,0 0 0,-1 1 1,-1-1-1,0 0 0,-3-20 0,1 35 29,1 0 0,-1 0 0,0 0 0,1 0-1,-2 0 1,1 0 0,0 1 0,-1-1 0,0 0-1,0 1 1,0-1 0,0 1 0,0 0 0,-1-1 0,0 1-1,1 0 1,-1 1 0,0-1 0,-1 0 0,-3-2 0,6 5 150,2 21-303,0-16 120,0 0 0,1-1 0,0 1-1,0-1 1,0 1 0,0-1 0,1 1 0,0-1 0,0 0 0,3 4-1,40 38 70,-27-27-98,-2-3-44,33 36 156,-48-49-145,1 1 0,0-1 0,-1 1 0,0 0 0,0 0 1,0 0-1,0 0 0,-1 0 0,1 0 0,-1 0 0,0 1 1,0 7-1,-1-11 13,0 0 0,-1 0 0,0-1-1,1 1 1,-1 0 0,1 0 0,-1-1 0,0 1 0,1 0 0,-1-1 0,0 1 0,0-1 0,0 1 0,1-1 0,-1 1 0,0-1 0,0 1-1,0-1 1,0 0 0,0 0 0,0 0 0,0 1 0,0-1 0,0 0 0,0 0 0,0 0 0,0 0 0,0 0 0,0-1 0,1 1 0,-2 0-1,-3 0-127,-81 0-8096,62 0 917</inkml:trace>
  <inkml:trace contextRef="#ctx0" brushRef="#br0" timeOffset="19911.08">5331 138 2801,'0'0'5301,"-21"0"-4185,-69-3 12,64 4-410,0 1 0,1 1 0,-1 1 0,1 1 0,-38 13 0,-14 3 88,-221 65-41,145-37-689,-1-11-74,-214 25-1,287-51-2,-481 25 372,189-21 550,308-11-759,-233 23 648,212-16-595,-122 33 1,132-25 69,-1-4 0,0-3-1,-97 4 1,158-16-137,7-1-77,-1 0 1,1 1-1,-1 0 1,-12 4 0,20-5-68,0 0 1,1 1-1,-1 0 1,1-1 0,-1 1-1,0 0 1,1 0-1,-1 0 1,1 0 0,0 0-1,-1 0 1,1 0-1,0 0 1,0 1-1,-1-1 1,1 1 0,0-1-1,0 0 1,1 1-1,-1 0 1,0-1 0,0 1-1,1-1 1,-1 1-1,1 0 1,-1 0-1,1-1 1,0 1 0,0 3-1,0 7 32,1 1 0,1-1 0,0 1-1,1-1 1,0 0 0,1 0 0,0 0-1,11 19 1,-11-23-8,168 322 503,-140-273-520,-22-36 12,1-1-1,1-1 1,0 0-1,2 0 1,25 27-1,-36-44 70,0 0 0,0 0 0,0-1 0,0 1 0,0-1 0,1 0 0,-1 0 0,0 0 0,1 0 0,-1-1 0,0 1 0,7-1 0,49-1-243,-28-1 221,16 3-50,-1-1-1,1-3 0,-1-2 0,90-21 1,-47 2-33,2 3 1,1 5 0,0 4-1,170 0 1,-36 0 67,2 1-72,315-13 133,-288 9-80,-160 13-79,173 20 0,-73-3 78,260-15 0,-338-4-17,-1-5 1,129-28 0,-211 30 155,1 1 0,66-2 1,-100 6-54,0-1 0,-1 1 0,1 0 1,-1-1-1,0 1 0,0 0 0,0-1 1,0 1-1,0-1 0,-1-2 0,-1-9-99,-1 1 0,-1 0 0,-1-1 0,-6-13 0,-6-20 55,-13-68 30,-23-197 0,15 70-99,30 203 18,-1 2 0,-23-59 0,24 78-33,0 0 0,-2 1 1,1-1-1,-2 2 1,-1-1-1,-26-28 1,37 44 2,-1 0-1,1 0 1,-1 1 0,1-1 0,-1 0 0,1 1-1,-1-1 1,0 1 0,1 0 0,-1-1 0,0 1 0,0 0-1,1 0 1,-1 0 0,0 0 0,1 0 0,-4 1 0,-28 8-65,12 1 62,-1 0 1,-19 14 0,-38 19 19,31-24-37,-2-2-1,-88 18 1,-108 4-1226,108-20-930,54-6-1040,14-5-2009</inkml:trace>
</inkml:ink>
</file>

<file path=xl/ink/ink6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5:58.251"/>
    </inkml:context>
    <inkml:brush xml:id="br0">
      <inkml:brushProperty name="width" value="0.05" units="cm"/>
      <inkml:brushProperty name="height" value="0.05" units="cm"/>
      <inkml:brushProperty name="color" value="#F6630D"/>
    </inkml:brush>
  </inkml:definitions>
  <inkml:trace contextRef="#ctx0" brushRef="#br0">19 132 2193,'0'0'7748,"-1"0"-7728,1 0 0,0 0 0,-1 0 1,1 0-1,0-1 0,-1 1 0,1 0 1,-1 0-1,1 0 0,0 0 0,-1 0 1,1 1-1,0-1 0,-1 0 0,1 0 1,0 0-1,-1 0 0,1 0 0,0 0 1,-1 1-1,1-1 0,0 0 0,-1 0 1,1 0-1,0 1 0,-1-1 0,-1 13 718,1 1 0,0-1 0,1 15 0,2 6 5653,-1-69-7292,0 15 1059,-1 0 1,-1 0-1,-1 1 1,-4-21-1,9 74 744,-3-27-825,0-1-1,0 1 1,1 0-1,0 0 1,0-1-1,3 8 1,44 129 1502,-42-119-1524,-1 0 0,-1 1 0,-1-1 0,0 28 0,-1 1 73,-1-52-98,0 0 0,0-1 0,0 1 0,1 0 0,-1-1 0,0 1-1,1-1 1,-1 0 0,0 1 0,1-1 0,-1 0 0,0 0 0,1 0 0,-1 0 0,0 0-1,1 0 1,-1 0 0,3-1 0,1 1 67,216-9 177,-195 6-298,-1-1-1,0-1 1,0-2 0,0 0-1,0-1 1,36-19 0,-57 25-69,-1 1 0,0-1 0,0-1 0,0 1 0,0 0 0,0-1 0,0 1 0,3-4 0,-6 5-207,1-1 0,0 1 0,0 0 0,-1-1 0,1 1 0,-1 0 0,1-1 0,-1 1 0,0-1 1,1 1-1,-1-1 0,0 1 0,0-1 0,0-2 0,-2-5-5324</inkml:trace>
  <inkml:trace contextRef="#ctx0" brushRef="#br0" timeOffset="312.7">485 275 5250,'0'0'12846,"0"-4"-12632,1-7-205,5 13 8,14 24 36,-3-4-4,-8-11-102,0 0 0,0 1 0,-1 0 0,-1 1 1,0 0-1,0 0 0,-1 1 0,-1-1 0,-1 1 1,0 0-1,0 1 0,-2-1 0,1 1 0,-1 22 0</inkml:trace>
  <inkml:trace contextRef="#ctx0" brushRef="#br0" timeOffset="1093.4">1328 264 5346,'0'0'13070,"-15"-11"-11896,-48-31-616,62 41-545,0 0-1,1 1 1,-1-1-1,0 1 1,1-1 0,-1 1-1,0-1 1,0 1 0,1 0-1,-1-1 1,0 1 0,0 0-1,0-1 1,0 1 0,0 0-1,1 0 1,-1 0-1,0 0 1,0 0 0,0 0-1,0 0 1,0 0 0,0 0-1,0 0 1,1 1 0,-1-1-1,0 0 1,0 1 0,-1-1-1,-2 17 91,3-12-33,-4 24 251,1 0 0,1 1 0,2 0 0,1 0 0,6 49 0,-3-61-283,1 0 0,1 0-1,1-1 1,0 0 0,14 27 0,-17-37-22,1 0 1,0 0-1,1-1 1,-1 1-1,1-1 1,0 0-1,1 0 1,0-1-1,-1 1 1,2-1 0,-1 0-1,1-1 1,-1 0-1,1 0 1,10 4-1,-12-6-8,0-1-1,-1 0 1,1 0-1,0 0 1,0 0-1,0-1 0,0 0 1,0 0-1,0 0 1,-1 0-1,1-1 1,0 0-1,0 0 1,0 0-1,-1-1 1,1 0-1,-1 0 1,1 0-1,-1 0 1,1-1-1,-1 1 0,0-1 1,0 0-1,-1 0 1,1-1-1,-1 1 1,1-1-1,3-5 1,0-2-3,-1 0 0,0 0 1,-1 0-1,0 0 0,-1-1 1,0 0-1,-1 0 0,0 0 0,-1 0 1,1-17-1,1-24 75,-5-67 0,1 119-76,0 1 0,0-1 0,0 1 0,0-1 0,0 1 0,0 0 0,0-1-1,0 1 1,0-1 0,0 1 0,0-1 0,0 1 0,0-1 0,0 1 0,0-1 0,0 1 0,-1 0 0,1-1 0,0 1-1,0-1 1,-1 1 0,1 0 0,0-1 0,0 1 0,-1 0 0,1-1 0,0 1 0,-1 0 0,1-1 0,0 1 0,-1 0-1,1 0 1,-1-1 0,1 1 0,-1 0 0,1 0 0,0 0 0,-1 0 0,1 0 0,-1 0 0,1-1 0,-1 1-1,1 0 1,-1 0 0,0 1 0,0-1 5,0 1 1,0-1-1,0 1 0,0 0 0,0-1 0,0 1 0,0 0 1,0 0-1,1 0 0,-1 0 0,0 0 0,1 0 1,-1 0-1,0 0 0,1 0 0,-1 2 0,-3 7 6,1 0 0,1 0 0,0 1 0,1-1 0,0 1 0,0 0 1,1-1-1,0 1 0,1-1 0,4 19 0,-1-12 12,0 0 1,2 0-1,0-1 1,1 0 0,15 27-1,-17-34 5,1 0 0,0-1 0,0 0-1,1 0 1,0-1 0,9 8 0,-12-11-179,0-1 1,1 0-1,-1-1 0,1 1 1,0-1-1,-1 0 0,1 0 1,0 0-1,0 0 1,0-1-1,0 0 0,0 0 1,10 0-1,-14-3-493,-1 1 0,1 0 1,-1-1-1,1 1 0,-1-1 0,0 1 0,0-1 1,0 1-1,1-1 0,-1 1 0,-1-1 0,1-2 1,0 1-1297,0-14-7735</inkml:trace>
  <inkml:trace contextRef="#ctx0" brushRef="#br0" timeOffset="1345.64">1417 508 3602,'0'0'12677,"58"-5"-12452,-24 5-161,1 0 208,3 0-272,-4 0 0,0 0-384,-8 0-2226,-5-2-3617</inkml:trace>
  <inkml:trace contextRef="#ctx0" brushRef="#br0" timeOffset="1687.57">1757 452 9044,'0'0'10530,"10"1"-10178,-2 0-288,-5-2-41,0 1-1,0 0 1,0 1-1,0-1 1,0 0-1,0 1 1,0 0-1,0 0 1,-1 0-1,1 0 1,0 0-1,0 0 1,-1 1-1,1-1 1,-1 1-1,0 0 1,1-1-1,-1 1 1,0 0-1,3 4 1,1 3 16,-1 1 0,0 0 0,-1 0 0,1 0 0,-2 0 0,0 1 0,0 0 0,-1-1 0,0 1 0,-1 0 0,0 0 0,-1 19 0,0-29-2,0-11 280,0-2-341,-1 0 90,2-1-1,-1 0 1,4-16-1,-2 24-181,-1 1-1,1-1 1,-1 0 0,1 1-1,1-1 1,-1 1-1,1 0 1,-1 0 0,1 0-1,1 0 1,-1 0 0,4-3-1,27-20-5507,-17 14 67</inkml:trace>
  <inkml:trace contextRef="#ctx0" brushRef="#br0" timeOffset="2136.4">2020 296 8708,'0'0'13553,"-2"-9"-12766,-8-24-400,-4 87-350,11-15 45,1 0 0,5 64 0,-3-97-72,1 1 0,0-1 1,1 0-1,-1 1 0,1-1 1,0 0-1,1 0 0,0 0 1,0 0-1,0-1 0,0 1 1,1-1-1,5 6 0,-5-7 3,-1 0 0,1-1 0,0 0-1,0 0 1,1 0 0,-1-1-1,0 1 1,1-1 0,0 0-1,0 0 1,-1-1 0,1 1 0,0-1-1,0 0 1,0 0 0,0-1-1,7 1 1,-7-1 3,1-1 0,0 1 0,-1-1 0,1 0 0,0 0 0,-1 0 0,1-1 0,-1 0 0,0 0 0,0 0 1,0-1-1,7-4 0,-6 2-5,0 0 0,0-1 0,0 0 0,-1 0 1,1 0-1,-1-1 0,-1 1 0,6-10 1,-3 1-7,0 0 1,-1-1-1,-1 0 1,0 0-1,-1 0 1,0-1 0,-2 1-1,0-1 1,-1 0-1,-1-18 1,0 34-105,0 13-845,-1-10 861,-1 12-493,1 1 0,0-1-1,0 0 1,2 1 0,2 17-1,-3-31 265,0 0 0,0 0-1,1 0 1,-1 0-1,1-1 1,-1 1 0,0 0-1,1 0 1,0-1-1,-1 1 1,1 0 0,-1-1-1,1 1 1,0 0-1,-1-1 1,1 1-1,0-1 1,0 1 0,1 0-1,7 0-6242</inkml:trace>
  <inkml:trace contextRef="#ctx0" brushRef="#br0" timeOffset="2667.18">2596 190 3602,'0'0'18595,"0"-4"-17728,-3-10-692,2 23-86,5 38 156,41 142 695,-7-37-1036,-53-171-15709</inkml:trace>
  <inkml:trace contextRef="#ctx0" brushRef="#br0" timeOffset="2825.65">2540 454 2305,'0'0'16632,"11"-19"-16216,17 19-384,8 0 16,4-2-48,1 0 0,2-2-1249,-1-3-1296,-3-6-2977</inkml:trace>
  <inkml:trace contextRef="#ctx0" brushRef="#br0" timeOffset="3339.31">3140 204 8100,'0'0'13926,"-3"2"-13280,1 1-615,0 1 0,0-1 0,0 0 0,1 1 0,-1-1 1,1 1-1,0-1 0,0 1 0,0 0 0,0 0 0,1-1 1,-1 1-1,1 5 0,2 63 310,-1-37-161,-1-10-138,-1-4 28,2-1 0,2 23-1,3-53 298,0-10-243,0-20-101,-2-1 0,-2-54 0,-3 64-14,1 1 0,2 0 0,1-1 0,2 1 0,12-47 0,-16 74 13,1-1 0,-1 1 0,1-1 1,0 1-1,0 0 0,0 0 0,0 0 0,6-5 1,-7 7-20,-1 0 0,1 1 0,0-1 0,0 0 0,0 1 0,0-1 0,0 1 0,0-1 0,0 1 0,0 0 0,0-1 0,0 1 0,0 0 0,0 0 0,0 0 0,0 0 0,0-1 0,0 1 0,0 1 0,0-1 0,0 0 0,0 0 0,0 0 0,0 1 0,0-1 0,0 0 0,0 1 0,0-1 0,0 1 0,0-1 0,0 1 1,0-1-1,-1 1 0,1 0 0,0-1 0,0 1 0,0 1 0,5 5-5,-1-1 0,0 1 0,0 1 0,-1-1 0,0 0 0,6 17 0,15 54 29,-21-66-19,19 72-155,-8-26-525,2-2 0,38 86-1,-53-136-1454</inkml:trace>
  <inkml:trace contextRef="#ctx0" brushRef="#br0" timeOffset="3507.1">3134 311 5987,'0'0'13958,"57"-19"-13878,-20 19-32,1 0-48,-4 0-160,-4 0-1393,-9 0-1200,-10 6-2577</inkml:trace>
  <inkml:trace contextRef="#ctx0" brushRef="#br0" timeOffset="4534.32">1928 704 784,'0'0'11584,"0"-1"-11346,0 0 0,0 0-1,0 0 1,1 0 0,-1 0 0,0 0-1,0 0 1,1 0 0,-1 0 0,0 1-1,1-1 1,-1 0 0,1 0-1,-1 0 1,1 0 0,-1 1 0,1-1-1,1-1 1,5-1-200,1 0-1,0-1 1,-1 0 0,0-1-1,0 0 1,0 0 0,-1 0-1,1-1 1,-1 0 0,-1 0-1,1-1 1,-1 1 0,0-1-1,-1 0 1,1-1 0,-1 1-1,-1-1 1,1 0 0,-1 0-1,-1 0 1,0 0 0,2-9-1,2-20 185,-2 0 1,-2-1-1,-3-66 0,0 40-200,2 17 47,0 27 167,0 0 0,-2 0 1,-3-23-1,4 40-122,-1 1 0,0-1 1,0 0-1,0 1 0,-1 0 1,1-1-1,-1 1 0,1 0 1,-1-1-1,-3-2 0,5 4-93,-1 1-1,1-1 1,-1 1-1,0-1 1,1 1-1,-1-1 0,0 1 1,1-1-1,-1 1 1,0-1-1,0 1 1,0 0-1,1 0 1,-1-1-1,0 1 1,0 0-1,0 0 0,0 0 1,1 0-1,-1 0 1,0 0-1,0 0 1,0 0-1,0 0 1,1 0-1,-1 0 0,0 1 1,0-1-1,0 0 1,1 1-1,-1-1 1,0 0-1,0 1 1,1-1-1,-1 1 1,0-1-1,1 1 0,-1 0 1,0 0-1,-3 4 19,0 1-1,1-1 0,-1 0 1,2 1-1,-1 0 0,0 0 1,1 0-1,0 0 0,1 0 0,-1 0 1,0 13-1,0 9 346,1 40-1,2-36-132,-1-4 26,-1 12 164,9 71 1,-6-99-410,0-1 0,0 0 1,1-1-1,1 1 0,0 0 1,0-1-1,1 0 0,0 0 1,1 0-1,0-1 0,10 12 1,-13-18-22,0-1 0,1 1 1,-1 0-1,1-1 0,-1 1 0,1-1 1,0 0-1,0 0 0,0-1 1,0 1-1,0-1 0,0 0 1,8 1-1,4 0 56,0-1 1,22-2-1,-20 0-43,-4 0-18,0-1 0,-1 0 0,1-1 0,-1-1 1,0 0-1,0-1 0,0 0 0,-1-1 0,0-1 0,0 1 1,0-2-1,13-11 0,-19 10-1873,-15 7-2181,-18 7-2331,-2 10-965</inkml:trace>
  <inkml:trace contextRef="#ctx0" brushRef="#br0" timeOffset="5032.26">1336 1054 3217,'0'0'12417,"9"-5"-11603,6-2-490,-1 1 0,1 1 1,0 0-1,18-2 0,78-12 1209,-52 10-1075,792-161 596,-469 76-1881,-332 90-1062,-50 4 1788,0 0 1,1 0 0,-1 1-1,0-1 1,0 0-1,0 0 1,0 0 0,0 1-1,1-1 1,-1 0-1,0 0 1,0 1 0,0-1-1,0 0 1,0 0-1,0 1 1,0-1 0,0 0-1,0 0 1,0 1-1,0-1 1,0 0 0,0 1-1,0-1 1,0 0-1,0 0 1,0 1 0,0-1-1,0 0 1,-1 0-1,1 1 1,0-1 0,0 0-1,0 0 1,0 0 0,0 1-1,-1-1 1,1 0-1,0 0 1,0 0 0,-1 1-1,-9 11-2115,-23-2-1249</inkml:trace>
  <inkml:trace contextRef="#ctx0" brushRef="#br0" timeOffset="5399.92">1456 941 944,'0'0'16757,"11"0"-14854,253-19 1405,-106 4-2601,399-35-45,-5-41-537,-484 74-196,-42 9-117,0 1 0,1 2 0,0 0 0,30 0 0,-76 6-7325,-17 6 2084</inkml:trace>
  <inkml:trace contextRef="#ctx0" brushRef="#br0" timeOffset="5761.42">1761 930 8708,'20'-6'2988,"282"-60"4226,732-101-2649,-724 139-4475,-49 5-66,-243 21-3,0 0 0,0-1-1,0 0 1,0-2-1,-1 0 1,20-9 0,-46 12-1291,-21 2-2065,-12 0-2012</inkml:trace>
</inkml:ink>
</file>

<file path=xl/ink/ink6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17.132"/>
    </inkml:context>
    <inkml:brush xml:id="br0">
      <inkml:brushProperty name="width" value="0.05" units="cm"/>
      <inkml:brushProperty name="height" value="0.05" units="cm"/>
      <inkml:brushProperty name="color" value="#F6630D"/>
    </inkml:brush>
  </inkml:definitions>
  <inkml:trace contextRef="#ctx0" brushRef="#br0">1 602 1873,'0'0'9708,"1"1"-9556,1 0-1,0 0 1,0 0-1,-1 0 0,1-1 1,0 1-1,0-1 1,0 1-1,0-1 0,0 0 1,2 0-1,61 1 898,-1-3-1,98-17 1,-56 8-2221,-37 9-4764,-53 2 1318</inkml:trace>
  <inkml:trace contextRef="#ctx0" brushRef="#br0" timeOffset="311.33">80 804 6227,'0'0'6830,"10"0"-5422,96-6 1894,52-19-2794,-105 14-530,40-8-667,-34 2-2524,-35 6-893,-12-2-2073</inkml:trace>
  <inkml:trace contextRef="#ctx0" brushRef="#br0" timeOffset="651.2">394 487 5346,'0'0'11486,"-5"0"-11345,4-1-136,0 1 0,1 0 0,-1 0 0,0 0 0,0 0-1,0-1 1,0 2 0,0-1 0,0 0 0,0 0 0,0 0 0,0 0 0,0 0 0,0 1 0,0-1-1,1 0 1,-1 1 0,0-1 0,0 1 0,0-1 0,-1 2 0,1-1 2,1 0 1,0 1-1,-1-1 1,1 0-1,0 0 1,-1 0-1,1 1 1,0-1-1,0 0 1,0 0 0,0 1-1,0-1 1,0 0-1,0 0 1,1 1-1,-1-1 1,0 0-1,1 0 1,-1 0-1,1 1 1,-1-1-1,1 0 1,1 2-1,1 2 79,1 1 1,0 0-1,0-1 0,0 0 0,1 0 0,0 0 0,0-1 0,9 7 1,51 30 439,-49-31-286,5 3-152,102 64 295,-103-63-356,-1 0-1,-1 2 0,31 33 1,-47-48-51,-1 1 0,0-1 1,0 0-1,0 1 1,1-1-1,-1 0 0,0 1 1,-1 0-1,1-1 1,0 1-1,0-1 0,-1 1 1,1 0-1,-1-1 1,1 1-1,-1 0 1,0 0-1,0 0 0,0-1 1,0 1-1,0 0 1,0 0-1,0-1 0,-1 3 1,0-2 47,0 0 1,-1-1 0,1 1-1,-1-1 1,1 1-1,-1-1 1,1 1 0,-1-1-1,0 0 1,0 0-1,0 0 1,0 0 0,1 0-1,-1 0 1,0-1-1,-5 2 1,-45 6-1646,7-7-5086,41-1 5303</inkml:trace>
  <inkml:trace contextRef="#ctx0" brushRef="#br0" timeOffset="1305.25">1218 382 5186,'0'0'10667,"-18"0"-9694,2 0-521,-14 0 241,-54 6 1,76-5-679,0 1 0,0-1 0,1 1-1,-1 1 1,1 0 0,0 0 0,-1 0 0,2 1 0,-1 0 0,0 0 0,1 0 0,-8 8 0,11-9-33,1 0 0,-1 1 0,1 0 0,0 0 0,0-1 0,0 1 0,0 1-1,1-1 1,-1 0 0,1 0 0,0 0 0,1 1 0,-1-1 0,1 0 0,0 7 0,-1-8 15,1 1 1,1-1-1,-1 1 0,0-1 1,1 1-1,0-1 1,0 1-1,0-1 0,0 1 1,1-1-1,-1 0 1,1 0-1,0 0 0,-1 0 1,2 0-1,-1 0 1,0 0-1,5 4 0,5 0-6,1 0 0,1-1-1,-1 0 1,1-1 0,0-1-1,0 0 1,0 0 0,0-2-1,20 2 1,-33-4-11,-1 0-1,0 0 1,1 0-1,-1 1 0,0-1 1,1 0-1,-1 0 1,0 1-1,1-1 1,-1 0-1,0 0 1,0 1-1,1-1 1,-1 0-1,0 1 1,0-1-1,0 0 1,1 1-1,-1-1 0,0 0 1,0 1-1,0-1 1,0 0-1,0 1 1,0-1-1,0 1 1,0-1-1,0 0 1,0 1-1,0-1 1,0 0-1,0 1 1,0-1-1,0 1 1,0-1-1,0 0 0,0 1 1,-1-1-1,1 0 1,0 1-1,0-1 1,0 0-1,-1 1 1,1-1-1,0 0 1,0 0-1,-1 1 1,1-1-1,0 0 1,0 0-1,-1 1 1,-16 21-150,14-19 204,-2 4-10,-1 0 0,1 1 0,0 0 1,1 0-1,-1 0 0,2 1 0,-1-1 0,1 1 1,1 0-1,-1 0 0,1 0 0,1 0 0,0 0 1,0 17-1,1-24-20,0 0 0,0 0 0,1-1 0,-1 1 0,0 0 0,1 0 0,-1 0 0,1-1 0,0 1 1,-1 0-1,1-1 0,0 1 0,0-1 0,0 1 0,0-1 0,1 1 0,-1-1 0,0 0 0,3 2 0,0 0 21,-1-1-1,1 0 1,0 0-1,0 0 1,0 0-1,1-1 0,7 3 1,6-1 40,0-1 0,0-1 0,18 0 0,-32-1-69,12 0-51,-2 1-680,-1-2 0,1 1 0,-1-1 0,0-1-1,14-4 1,5-6-4611</inkml:trace>
  <inkml:trace contextRef="#ctx0" brushRef="#br0" timeOffset="1897.36">1440 576 7411,'0'0'13585,"-2"-6"-13022,2 3-527,-5-12-16,3 13-93,2 11-81,0 21 176,1-1 0,1 1 0,2-1 0,15 56 0,-19-86-19,0 1 1,0 0 0,0 0-1,0 0 1,0 0 0,0 0-1,0 0 1,0 0-1,0 0 1,0 0 0,0 0-1,0 0 1,0 0 0,0 0-1,0 0 1,0 0-1,1 0 1,-1 0 0,0 0-1,0 0 1,0 0 0,0 0-1,0 0 1,0 0-1,0 0 1,0 0 0,0 0-1,0 0 1,0-16 227,-5-24 105,0 20-325,-1 0 6,2-1-1,0 0 1,-1-33 0,5 53-276,2 2 224,0 0-1,0 0 1,0 0 0,0 0 0,0 0 0,0 0 0,0 1 0,0-1-1,0 0 1,-1 1 0,1 0 0,-1-1 0,1 1 0,1 2 0,2 2 15,35 37 132,-27-28-107,0 0 1,1-1 0,1 0 0,0-1-1,1-1 1,21 12 0,-36-22-5,1-1-1,0 0 1,0 0-1,0-1 1,0 1 0,0 0-1,0-1 1,0 1 0,0-1-1,0 0 1,0 0-1,1 1 1,-1-2 0,0 1-1,0 0 1,0 0 0,0 0-1,0-1 1,0 1 0,0-1-1,0 0 1,4-1-1,-4 0 14,1-1 0,-1 1 0,0 0-1,0-1 1,0 1 0,0-1-1,0 1 1,0-1 0,-1 0-1,1 0 1,-1 0 0,0 0 0,1-4-1,2-10-1,-1 1 0,0-1 1,-1 1-1,-1-26 0,-1 20 20,-2 0 0,0 1 1,-1-1-1,-1 1 1,0-1-1,-9-20 0,13 41-56,0 16-3012,0-11 2584,0-1-1,0 1 1,1 0-1,-1 0 1,1-1-1,0 1 0,0-1 1,1 1-1,-1-1 1,4 6-1,11 14-4472</inkml:trace>
  <inkml:trace contextRef="#ctx0" brushRef="#br0" timeOffset="2443.1">1914 484 5907,'0'0'15545,"0"0"-15532,-1 0-1,1 0 0,0 0 0,-1 0 0,1 0 0,0 0 0,-1 0 0,1 0 0,0 0 1,-1 1-1,1-1 0,0 0 0,0 0 0,-1 0 0,1 1 0,0-1 0,0 0 0,-1 0 1,1 1-1,0-1 0,0 0 0,-1 0 0,1 1 0,0-1 0,0 0 0,0 1 0,0-1 1,0 0-1,-1 1 0,1-1 0,0 0 0,0 1 0,0-1 0,0 0 0,0 1 0,0-1 1,0 0-1,0 1 0,-2 17 62,1 0-1,0 1 1,1-1 0,1 0 0,4 21 0,-1-16-57,2 0 0,0 0 1,17 39-1,-18-104 1405,-7 8-1380,-1 1 1,-13-54-1,9 54 7,1 0 1,-2-54-1,8 78-28,0 5-30,0 1 0,0 0 0,0 0 0,0 0 0,1 0 0,-1-1 0,1 1 0,1-3 0,-1 5-2,-1 0 0,1 0 1,0 0-1,0 0 0,0 0 1,0 0-1,0 0 0,0 1 0,0-1 1,0 0-1,0 1 0,0-1 0,0 1 1,0-1-1,0 1 0,1-1 0,-1 1 1,0 0-1,0-1 0,1 1 1,-1 0-1,0 0 0,0 0 0,2 0 1,4 0-11,0 1 0,0-1 1,0 1-1,-1 0 0,1 1 1,0 0-1,-1 0 0,1 0 1,-1 1-1,0 0 0,11 6 1,-7-2 14,0 1 0,0 0 0,-1 0 0,0 0 0,0 2 0,9 12 0,-8-9 5,-1 1 0,-1 0 0,0 1 0,0-1 0,-2 2 0,0-1 0,0 1-1,-2-1 1,0 1 0,3 24 0,-7-36-11,0 0 0,1 0 1,-1-1-1,-1 1 0,1 0 0,0 0 0,-1 0 1,0-1-1,0 1 0,0 0 0,0-1 0,-1 1 0,1-1 1,-1 1-1,0-1 0,0 0 0,-3 4 0,2-4-130,0-1 0,-1 1-1,1-1 1,-1 1 0,0-1 0,1 0-1,-1-1 1,0 1 0,0-1 0,0 0-1,0 0 1,-1 0 0,1 0-1,0-1 1,-5 1 0,-7-1-3291,11 0 172</inkml:trace>
  <inkml:trace contextRef="#ctx0" brushRef="#br0" timeOffset="2767.92">2450 119 11669,'0'0'11192,"-8"-3"-10514,7 2-664,-1 1-2,1-1 1,-1 0 0,1 0-1,0 1 1,-1-1 0,1 1-1,-1-1 1,1 1 0,-1 0-1,0-1 1,1 1 0,-1 0-1,1 0 1,-1 0 0,1 0-1,-1 1 1,0-1 0,1 0-1,-1 1 1,1-1 0,-1 1-1,1-1 1,-1 1 0,1 0-1,0-1 1,-1 1 0,1 0-1,0 0 1,0 0 0,-1 0-1,1 0 1,0 0-1,0 1 1,0-1 0,0 0-1,0 0 1,1 1 0,-1-1-1,0 1 1,1-1 0,-1 1-1,1-1 1,-1 3 0,-7 24 103,2-1 0,1 1 0,1 0 1,2 1-1,1-1 0,2 36 0,-1-55-94,1 8 34,1 0-1,0 0 1,1 0 0,1-1 0,0 1 0,1-1 0,1 0 0,15 28-1,-18-36-83,1-2 0,0 1-1,1 0 1,-1-1-1,1 0 1,1 0-1,-1 0 1,1-1 0,0 0-1,0 0 1,1 0-1,-1-1 1,1 0-1,0 0 1,0-1 0,0 1-1,1-2 1,-1 1-1,1-1 1,-1 0-1,12 1 1,-19-3 27,19 1-1061,1 0-1,27-3 1,-41 1 50,1-1 0,-1 1-1,1-1 1,-1 0 0,0 0-1,9-5 1,21-15-8414</inkml:trace>
  <inkml:trace contextRef="#ctx0" brushRef="#br0" timeOffset="3029">2791 0 10341,'0'0'13072,"2"15"-12634,3 10-115,0-1 0,2 0-1,16 39 1,33 54 616,61 146-400,-113-250-581,0-1 1,-1 1-1,0 0 0,-1 0 1,0 0-1,-1 0 0,-1 24 1,0-34-93,-1 0 1,0 0-1,0 0 1,0-1-1,0 1 1,0 0 0,0 0-1,-1-1 1,0 1-1,1 0 1,-1-1-1,0 0 1,0 1-1,0-1 1,0 0 0,-1 0-1,1 0 1,-1 0-1,1-1 1,-1 1-1,1-1 1,-1 1-1,0-1 1,-4 1-1,-6 3-1875,-1-2 0,0 1 0,-27 2-1,-16-1-8885</inkml:trace>
  <inkml:trace contextRef="#ctx0" brushRef="#br0" timeOffset="3546.24">866 851 6835,'0'0'10613,"-4"-4"-10533</inkml:trace>
</inkml:ink>
</file>

<file path=xl/ink/ink6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22.687"/>
    </inkml:context>
    <inkml:brush xml:id="br0">
      <inkml:brushProperty name="width" value="0.05" units="cm"/>
      <inkml:brushProperty name="height" value="0.05" units="cm"/>
      <inkml:brushProperty name="color" value="#F6630D"/>
    </inkml:brush>
  </inkml:definitions>
  <inkml:trace contextRef="#ctx0" brushRef="#br0">38 139 2481,'0'0'13022,"-8"-2"-11824,-1-1-1131,-12-5 933,23 6-523,17 0-338,63 3 210,123-3 625,-162-1-2196,0-1 1,70-18-1,-111 22 1062,25-9-1956,-26 8 1910,0 1 1,0 0-1,-1-1 1,1 1-1,0-1 0,0 1 1,-1-1-1,1 1 0,0-1 1,-1 0-1,1 1 0,-1-1 1,1 0-1,0 0 1,-1 1-1,0-1 0,1 0 1,-1 0-1,1 0 0,-1 0 1,0 0-1,0 1 1,1-1-1,-1-1 0,-3-5-3323,-11 0-543</inkml:trace>
  <inkml:trace contextRef="#ctx0" brushRef="#br0" timeOffset="230.73">448 25 1169,'0'0'12915,"-3"-5"-11408,-10-12-928,14 17-573,-1 0 0,0 0 0,0 0 0,0 0 0,0 0 0,0 0 0,0 1 0,0-1 0,1 0-1,-1 0 1,0 0 0,0 0 0,0 0 0,0 0 0,0 0 0,0 0 0,1 0 0,-1 0 0,0 0 0,0 0 0,0 0 0,0 0 0,0 0 0,1 0 0,-1 0-1,0 0 1,0 0 0,0 0 0,0 0 0,0 0 0,1 0 0,-1 0 0,0 0 0,0 0 0,0 0 0,0 0 0,0-1 0,0 1 0,0 0 0,1 0 0,-1 0-1,0 0 1,0 0 0,0 0 0,0 0 0,0-1 0,0 1 0,0 0 0,0 0 0,0 0 0,0 0 0,0 0 0,0 0 0,0-1 0,0 1 0,0 0 0,1 0-1,-1 0 1,-1 0 0,1 0 0,0-1 0,16 11 76,-1 1 0,0 0 0,-1 1 0,0 1 0,-1 0 0,18 23 0,-25-28-83,1 1 0,-2-1-1,1 1 1,-1 1 0,4 11 0,-7-17-8,-1 0-1,1 0 1,-1 0 0,0 1-1,0-1 1,-1 0 0,1 1-1,-1-1 1,0 1 0,0-1-1,0 1 1,-1-1 0,1 0-1,-4 9 1,3-10-11,-1 0 0,-1-1 0,1 1 0,0 0 0,0-1 0,-1 0 1,0 1-1,1-1 0,-1 0 0,0-1 0,0 1 0,0 0 0,0-1 0,-5 2 0,-1 1-889,1-1 0,-1-1 0,0 1-1,-10 0 1,4-2-4280</inkml:trace>
</inkml:ink>
</file>

<file path=xl/ink/ink6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24.122"/>
    </inkml:context>
    <inkml:brush xml:id="br0">
      <inkml:brushProperty name="width" value="0.05" units="cm"/>
      <inkml:brushProperty name="height" value="0.05" units="cm"/>
      <inkml:brushProperty name="color" value="#F6630D"/>
    </inkml:brush>
  </inkml:definitions>
  <inkml:trace contextRef="#ctx0" brushRef="#br0">17 399 5330,'0'0'12486,"-3"-10"-10906,-7-22-472,6 29-586,8 26-389,1-3 9,1-1 0,1-1 0,1 1 0,15 24 0,-11-20-52,-1 0-1,8 25 1,-11-18-124,-1-1 377,-7-51-44,-7-37-295,3 36 58,-1-36 0,5 43-34,-1 4-51,1 0-1,1 0 1,0 0 0,4-19 0,-4 29 7,-1-1 1,1 1-1,0 0 1,0-1 0,0 1-1,0 0 1,0 0-1,1 0 1,-1 0 0,0 0-1,1 0 1,0 0-1,-1 0 1,1 0-1,0 1 1,0-1 0,0 1-1,0-1 1,0 1-1,1 0 1,-1 0 0,0 0-1,1 0 1,-1 0-1,0 1 1,1-1 0,4 0-1,-3 1 17,1 0 0,-1 0 0,1 0-1,-1 1 1,0 0 0,1 0 0,-1 0 0,0 0-1,0 1 1,0-1 0,0 1 0,0 0 0,0 1-1,0-1 1,-1 0 0,1 1 0,-1 0 0,1 0-1,-1 0 1,0 0 0,0 1 0,-1-1 0,1 1-1,-1 0 1,0-1 0,3 6 0,5 12-134,-1 0 1,-1 1-1,10 42 1,-8-29-672,1-11-3182,-10-23 3511,0 0 0,0 0 0,0 0-1,0 0 1,0-1 0,0 1 0,0-1 0,0 1 0,1-1-1,-1 1 1,0-1 0,0 1 0,0-1 0,1 0-1,-1 0 1,0 0 0,1 0 0,1 0 0,16 0-6481</inkml:trace>
  <inkml:trace contextRef="#ctx0" brushRef="#br0" timeOffset="778.4">519 401 4178,'0'0'10258,"-16"-6"-9250,-52-18-146,65 23-826,1 0 1,-1 0-1,1 0 0,-1 1 1,1-1-1,-1 0 0,1 1 1,-1 0-1,0 0 0,1 0 1,-1 0-1,0 0 0,1 0 1,-1 1-1,1-1 0,-1 1 0,1 0 1,-1 0-1,1 0 0,-1 0 1,1 0-1,0 0 0,-1 1 1,1-1-1,0 1 0,0-1 1,0 1-1,0 0 0,1 0 1,-1 0-1,0 0 0,1 0 1,-1 0-1,1 0 0,0 1 0,0-1 1,0 1-1,0-1 0,0 1 1,-1 3-1,0 6-17,0 0 1,0 0-1,1 1 1,1-1-1,0 0 0,2 16 1,-1-23-17,0 0 0,1 0 0,-1-1 0,1 1 0,0-1 0,0 1 0,1-1 0,-1 0 0,1 0 0,0 0 0,0 0 0,0 0 0,0-1 0,1 1 0,0-1 0,-1 0 0,7 4 0,-7-5 22,1 1 0,0-1-1,-1 0 1,1 0 0,0-1-1,0 1 1,0-1 0,0 0 0,1 0-1,-1 0 1,0 0 0,0-1 0,1 1-1,-1-1 1,0 0 0,0-1 0,1 1-1,-1-1 1,0 0 0,7-2-1,-9 2-13,0 0-1,-1 0 0,1-1 0,-1 1 1,0-1-1,1 1 0,-1-1 0,0 1 1,0-1-1,0 1 0,0-1 0,0 0 1,0 0-1,0 0 0,-1 1 0,1-1 1,0 0-1,-1 0 0,0 0 0,1-4 1,0-47 80,-1 39-104,0-1 91,-2-37 162,2 49-109,-1 0-1,1-1 1,-1 1 0,0 0-1,0 0 1,0 0 0,-1 0 0,1 0-1,-1 0 1,1 0 0,-1 0-1,-4-4 1,4 43-249,2-28 120,0-1 0,1 1 0,0 0-1,0 0 1,1-1 0,0 1 0,0-1-1,1 0 1,0 0 0,0 0 0,0 0-1,1 0 1,0 0 0,1-1 0,-1 0-1,1 0 1,0 0 0,1-1 0,0 1-1,-1-1 1,2 0 0,-1-1 0,0 0-1,1 0 1,8 3 0,-12-5-20,1 0-1,-1-1 1,1 0 0,0 0 0,-1 0 0,1 0 0,0-1-1,0 1 1,0-1 0,-1 0 0,1 0 0,0 0-1,0-1 1,0 0 0,-1 1 0,1-1 0,5-2-1,-6 1 8,0 0 0,0 0 1,0 0-1,0-1 0,0 1 0,-1-1 0,1 1 0,-1-1 0,0 0 0,0 0 0,0 0 0,0 0 0,0 0 0,-1-1 0,1 1 0,-1 0 0,0-1 0,1-3 0,3-29 468,-1 0 1,-1-58 0,-3 92-9,-1 17-464,2 1 0,0-1 0,1 0 0,0 0 0,10 29 1,-11-39-19,1 1 1,1-1 0,-1 0-1,1 0 1,0-1 0,0 1-1,0-1 1,1 1 0,0-1-1,-1 0 1,1 0-1,1-1 1,-1 1 0,0-1-1,1 0 1,0 0 0,0-1-1,0 1 1,0-1 0,6 2-1,-7-3-72,0 1 0,0-1-1,1 0 1,-1-1 0,0 1-1,1-1 1,-1 0-1,0 0 1,1 0 0,-1-1-1,7-1 1,-9 1 95,1 1 0,-1-2 0,0 1 1,0 0-1,0 0 0,0-1 0,0 1 0,0-1 0,-1 1 1,1-1-1,0 0 0,-1 0 0,1 0 0,-1 0 1,0 0-1,1 0 0,-1 0 0,0 0 0,0 0 0,-1-1 1,2-2-1,2-11-26,-1 0 1,-1 0 0,-1 0-1,0 0 1,-1-1 0,0 1-1,-4-18 1,1 22 919,0 6-3464,-1 19-4750,4 8 2590</inkml:trace>
  <inkml:trace contextRef="#ctx0" brushRef="#br0" timeOffset="1061.61">1114 361 8404,'0'0'9599,"0"11"-9404,-1 15 66,1 62 831,0-81-1036,1-1-1,0 1 1,0-1-1,1 0 1,-1 1-1,1-1 1,1 0-1,-1 0 1,1 0-1,0 0 1,5 6-1,-7-11-243,0 0 0,0 0 0,0 0 1,0 0-1,0 0 0,0-1 0,0 1 0,0 0 0,0 0 0,0-1 0,1 1 0,-1-1 0,0 1 0,0-1 0,1 0 0,-1 0 0,0 1 0,1-1 0,-1 0 1,0 0-1,1 0 0,-1 0 0,0 0 0,1-1 0,-1 1 0,0 0 0,1-1 0,-1 1 0,0-1 0,0 1 0,0-1 0,1 1 0,-1-1 0,0 0 0,0 0 1,0 1-1,0-1 0,0 0 0,0 0 0,0 0 0,-1 0 0,1 0 0,0 0 0,1-3 0,3-19-7170</inkml:trace>
  <inkml:trace contextRef="#ctx0" brushRef="#br0" timeOffset="1197.04">1112 198 4402,'0'0'6387,"51"71"-11990</inkml:trace>
  <inkml:trace contextRef="#ctx0" brushRef="#br0" timeOffset="3904.94">1522 425 1553,'0'0'16242,"-13"-16"-14713,-42-49-273,53 63-1234,1 1 0,-1-1 0,1 1 0,-1-1 0,0 1 0,0 0 0,1-1 0,-1 1 0,0 0 0,0 1 0,0-1 0,0 0 0,0 0 0,-1 1 0,1-1 0,0 1 0,0 0 0,0-1 0,0 1 0,0 0 0,-1 1 0,1-1 0,-3 1 0,-6 0 32,7-1-39,0 0 0,0 1 0,-1 0 0,1 0-1,0 0 1,0 0 0,0 1 0,0 0 0,0 0 0,0 0 0,1 0 0,-1 0 0,0 1 0,1 0 0,0-1 0,0 1 0,0 1 0,0-1 0,0 0 0,1 1 0,-1-1 0,1 1 0,0 0 0,-3 7 0,1-1-39,0 1 1,0-1 0,1 1 0,0 0 0,1 0 0,0 0-1,1 1 1,0 16 0,2-25 9,-1 0 0,0 0 0,1 0 0,0 0 0,-1 0 0,1 0 0,0-1 0,0 1 0,1 0 0,-1-1 0,1 1 0,-1-1 0,1 1 0,0-1 0,0 1 0,0-1 0,0 0 0,0 0 0,0 0 0,1-1 0,-1 1 0,1 0 0,-1-1 0,1 1 0,0-1 0,-1 0 0,1 0 1,0 0-1,3 0 0,8 2-252,1 0 0,-1-1 1,1-1-1,21 0 0,-35-1 229,3 0-10,-1 0 0,0 0 0,1 0 0,-1-1 0,0 1 0,0-1-1,1 0 1,-1 0 0,0 0 0,0 0 0,0 0 0,0-1 0,0 1 0,0-1-1,-1 0 1,1 0 0,0 0 0,-1 0 0,1 0 0,-1-1 0,0 1 0,0-1 0,0 1-1,0-1 1,0 0 0,-1 0 0,2-4 0,0-2 119,0 0-1,-1 0 1,-1-1-1,1 1 1,-1-1 0,-1 1-1,0-1 1,-2-12-1,-10-18 1137,-1 23-290,12 16-890,1 1 1,-1 0 0,1 0-1,-1-1 1,1 1 0,-1 0-1,1 0 1,-1-1 0,1 1-1,-1 0 1,1 0 0,-1 0-1,0 0 1,1 0 0,-1 0-1,1 0 1,-1 0 0,1 0-1,-1 0 1,0 0 0,1 0-1,-1 1 1,1-1 0,-1 0-1,1 0 1,-1 1 0,1-1-1,-1 0 1,0 1 0,-1 2-21,1-1 1,-1 1 0,1 0-1,0 0 1,-1 0 0,1 0-1,1 0 1,-1 0-1,0 0 1,1 0 0,-1 1-1,1-1 1,0 0 0,0 0-1,0 0 1,1 4 0,0 2 44,-1 0-42,1 0 1,0 0 0,1 0 0,0 0-1,1 0 1,-1 0 0,2-1-1,-1 1 1,9 12 0,6 8 55,28 35 1,-13-19 96,-9-12-187,59 93 229,-74-111-229,-1 1-1,0 0 1,-2 1-1,0 0 1,0 0-1,3 22 1,-8-34-106,0 0 1,-1 0 0,1 0-1,-1 0 1,-1 8 0,1-12 87,-1 0 0,1 0 0,0 0 1,-1-1-1,1 1 0,0 0 0,-1 0 1,1 0-1,-1-1 0,1 1 0,-1 0 1,0-1-1,1 1 0,-1 0 0,0-1 1,1 1-1,-1-1 0,0 1 0,0-1 1,0 0-1,1 1 0,-1-1 0,0 0 1,0 1-1,0-1 0,0 0 0,0 0 1,0 0-1,1 0 0,-1 0 0,0 0 0,0 0 1,-1 0-1,-6 0 55,0 0 0,1-1 0,-1 1 0,0-2 0,1 1 0,-1-1 0,1 0 0,-13-6-1,16 6 1,-1-1-1,1 0 0,0 0 1,0 0-1,0-1 0,0 1 1,0-1-1,1 0 0,-1 0 1,1-1-1,0 1 0,1 0 1,-1-1-1,-2-7 0,1 0 31,0 0 0,1 0 0,0-1 0,1 0 0,0 1 0,1-1 0,1 0 0,0 0 0,2-17-1,1 6-4,1 1 0,1-1-1,1 1 1,11-26 0,130-284 83,-128 291-68,-19 42-54,1-1 0,-1 1 0,0-1 0,0 1 0,0-1 0,1 1 0,-1-1 0,0 1-1,0 0 1,1-1 0,-1 1 0,0-1 0,1 1 0,-1 0 0,1-1 0,-1 1 0,0 0 0,1-1 0,-1 1 0,1 0 0,-1 0 0,1-1 0,-1 1 0,1 0 0,-1 0 0,1 0 0,-1 0 0,1 0 0,-1 0 0,1 0 0,0 0 0,-1 0 0,1 0 0,-1 0 0,1 0-1,-1 0 1,1 0 0,-1 0 0,1 0 0,-1 1 0,1-1 0,-1 0 0,1 0 0,-1 1 0,1-1 0,-1 0 0,0 1 0,1-1 0,-1 0 0,0 1 0,1-1 0,-1 1 0,0-1 0,1 0 0,-1 1 0,0-1 0,0 1 0,1 0 0,21 37 82,-18-29-55,23 46-51,-16-30 132,22 36 0,-33-61-103,0 0 1,1 1 0,-1-1-1,0 1 1,0-1 0,0 0-1,0 1 1,0-1 0,1 0-1,-1 1 1,0-1 0,0 0-1,1 1 1,-1-1 0,0 0 0,1 1-1,-1-1 1,0 0 0,1 0-1,-1 0 1,0 1 0,1-1-1,-1 0 1,0 0 0,1 0-1,-1 0 1,1 0 0,-1 0-1,0 1 1,1-1 0,-1 0-1,1 0 1,-1 0 0,1-1-1,2-13 29,-10-25-237,2 32 220,1 0 0,-1 0 0,0 0 0,-1 1 0,0 0 0,-7-7 0,11 11 8,-1 0 0,1 0 1,0 0-1,-1 0 0,1 0 0,-1 1 1,0 0-1,1-1 0,-1 1 1,0 0-1,0 0 0,0 0 0,0 1 1,0-1-1,0 1 0,0-1 1,0 1-1,0 0 0,0 0 0,0 1 1,-3 0-1,4 0-30,0 0 1,1 0-1,-1 0 1,1 0-1,-1 1 1,1-1-1,-1 1 0,1-1 1,0 1-1,0-1 1,0 1-1,-1 0 1,2 0-1,-1-1 1,0 1-1,0 0 0,1 0 1,-1 0-1,1 0 1,-1 3-1,-4 43-91,5-39 105,0 0-1,1 0 1,0 0 0,0 0 0,1 0 0,0 0 0,1 0-1,5 12 1,-6-17-26,0 0 1,1-1-1,-1 1 0,1 0 0,0-1 1,0 1-1,0-1 0,1 0 0,-1 0 0,1 0 1,0-1-1,0 1 0,0-1 0,0 0 1,0 0-1,0 0 0,0-1 0,1 0 1,5 2-1,-8-2 5,1 0 1,0-1 0,-1 1-1,1-1 1,0 1-1,0-1 1,0 0-1,-1 0 1,1 0 0,0-1-1,0 1 1,-1 0-1,1-1 1,0 0 0,0 0-1,-1 0 1,1 0-1,-1 0 1,1 0 0,-1-1-1,0 1 1,1-1-1,-1 0 1,0 1 0,0-1-1,3-4 1,-2 0 32,1 0 1,-1 0-1,-1-1 1,1 1-1,-1-1 1,0 0-1,-1 0 0,1 0 1,-1-11-1,1-68 1441,-2 85-1438,0 14-61,0 10 13,-1-11 38,1 0 0,1 0 0,-1 0 0,2 0 0,3 16 0,-4-25-44,0 0 0,0-1-1,0 1 1,1 0 0,-1 0-1,1-1 1,-1 1 0,1 0 0,0-1-1,0 0 1,0 1 0,1-1-1,-1 0 1,0 0 0,1 0 0,-1-1-1,1 1 1,0-1 0,0 1-1,-1-1 1,1 0 0,0 0-1,0 0 1,0 0 0,0-1 0,4 1-1,-4 0-4,1-1-1,-1 1 0,1-1 1,-1 0-1,1 0 0,0 0 1,-1-1-1,1 1 1,-1-1-1,0 0 0,1 0 1,-1 0-1,1-1 0,-1 1 1,0-1-1,0 1 0,0-1 1,0 0-1,0-1 0,5-4 1,-2 0 25,0-2 0,0 1 0,-1-1-1,0 1 1,0-2 0,3-10 0,3-6 14,-2-1 1,0 0-1,-2-1 0,-2 1 0,0-1 0,-2 0 0,0-1 0,-2 1 0,-2 0 1,-4-37-1,4 59 94,0 1 0,-1 0 0,0 0 0,0 0 0,0 0 0,0 0 1,-5-6-1,7 10-82,0 0-1,-1 0 1,0 0 0,1 1 0,-1-1-1,1 0 1,-1 0 0,0 0 0,0 1-1,0-1 1,1 0 0,-1 1-1,0-1 1,0 0 0,0 1 0,0-1-1,0 1 1,0 0 0,0-1 0,0 1-1,0 0 1,0-1 0,0 1 0,0 0-1,0 0 1,0 0 0,0 0 0,0 0-1,-1 0 1,1 0 0,0 1 0,0-1-1,0 0 1,0 1 0,0-1 0,0 0-1,0 1 1,0-1 0,0 1 0,1 0-1,-1-1 1,0 1 0,-1 1 0,0 0-19,0 1 1,0-1-1,0 1 1,1 0 0,-1-1-1,1 1 1,0 0-1,0 0 1,0 0 0,0 0-1,0 0 1,1 0-1,0 0 1,-1 4-1,1 50-49,1-38 45,0-3 12,1-1 1,1 0 0,0 0-1,1 0 1,0-1 0,2 1-1,10 21 1,0-6 9,0-2 0,31 40 0,-45-64-12,1 0 0,0-1 0,1 1 0,-1-1 0,1 0 0,-1 1 0,1-2 0,0 1 0,0 0 0,0-1-1,1 0 1,6 3 0,-8-4-2,-1-1 0,0 1-1,1-1 1,-1 0 0,1 0-1,-1 0 1,0-1 0,1 1-1,-1 0 1,0-1 0,1 1-1,-1-1 1,0 0 0,0 0-1,0 0 1,0 0 0,0 0-1,0-1 1,0 1 0,0 0-1,0-1 1,0 0 0,-1 1-1,1-1 1,-1 0 0,3-3-1,3-5 4,0 0-1,0 0 0,-1-1 0,-1 0 0,0 0 0,-1-1 1,0 1-1,4-17 0,-4 3 217,0 0-1,-2 0 1,-1-26-1,-7 87-469,7-26 214,-1 1 0,1-1 0,1 0 0,0 0 0,0 0 0,1-1 0,0 1 0,1-1 0,0 1 0,0-1 0,1 0 0,0 0 0,1-1 0,0 0 0,0 0 0,1 0 0,0-1 1,0 0-1,1 0 0,11 8 0,-16-13 17,-1-1-1,1 1 1,-1-1 0,1 1 0,0-1 0,-1 0 0,1 0 0,0 0-1,0-1 1,0 1 0,0-1 0,0 1 0,0-1 0,0 0 0,0 0-1,0 0 1,-1-1 0,1 1 0,0-1 0,0 1 0,0-1 0,5-2-1,-5 1 4,1-1-1,-1 0 1,1 0-1,-1 0 1,0 0-1,0 0 1,0 0-1,0-1 1,-1 1-1,0-1 1,1 0-1,-1 0 0,-1 0 1,3-6-1,2-10 148,0-1-1,-2 1 1,4-41-1,-5 33 58,8-33-1,-11 60-183,0 0 0,0 1 0,0-1 0,0 0 0,0 1 1,1-1-1,-1 1 0,0-1 0,0 0 0,1 1 0,-1-1 0,0 1 1,1-1-1,-1 1 0,0-1 0,1 1 0,-1-1 0,1 1 0,-1-1 1,1 1-1,-1 0 0,1-1 0,-1 1 0,1 0 0,0-1 0,-1 1 1,1 0-1,0 0 0,-1-1 0,1 1 0,-1 0 0,1 0 0,0 0 1,-1 0-1,1 0 0,0 0 0,-1 0 0,1 0 0,0 0 0,-1 0 1,1 0-1,0 1 0,-1-1 0,1 0 0,-1 0 0,1 1 0,0-1 1,-1 0-1,1 1 0,-1-1 0,1 1 0,-1-1 0,1 0 0,-1 1 1,0-1-1,1 2 0,26 27 176,-17-14-195,21 27-122,-28-39 123,-1 0-1,0 0 1,1-1-1,0 0 1,0 1-1,0-1 1,0 0-1,0 0 1,0-1-1,0 1 1,5 1-1,-7-8-12,0 0 0,0 0-1,-1-1 1,0 1-1,0 0 1,-1-8-1,-1 9 38,1 0 0,-1 0 0,0 0-1,0 0 1,0 1 0,-1-1-1,1 0 1,-1 1 0,0 0 0,0 0-1,0 0 1,0 0 0,0 0 0,-1 0-1,1 1 1,-1 0 0,0 0-1,0 0 1,0 0 0,0 0 0,0 1-1,0 0 1,0 0 0,-1 0-1,1 0 1,0 1 0,0-1 0,-1 1-1,1 0 1,-7 1 0,9 0-12,-1-1-1,1 1 1,-1 0 0,1 0 0,-1 0 0,1 1 0,0-1-1,0 0 1,0 1 0,0 0 0,0-1 0,0 1 0,0 0-1,0 0 1,1 0 0,-1 0 0,1 0 0,-1 0-1,1 1 1,0-1 0,0 0 0,0 1 0,0-1 0,0 1-1,0 3 1,-2 5-22,0 1-1,1-1 1,0 1 0,0 14-1,1-13 31,1-1 1,1 0-1,0 1 0,0-1 0,1 0 1,1 0-1,5 16 0,-6-24-48,0 0-1,0 0 1,0-1-1,0 1 0,0 0 1,1-1-1,0 0 1,0 0-1,0 1 1,0-2-1,0 1 1,0 0-1,1-1 0,-1 1 1,1-1-1,0 0 1,0 0-1,0-1 1,0 1-1,0-1 1,0 0-1,0 0 0,0 0 1,8 0-1,-9 0 26,1-1-1,-1 0 0,1 0 0,-1 0 1,1 0-1,-1-1 0,0 1 0,1-1 1,-1 0-1,0 0 0,1 0 0,-1 0 1,0-1-1,0 1 0,0-1 0,0 0 1,4-3-1,-4 2 24,0-1 0,0 0-1,0 1 1,-1-1 0,1-1 0,-1 1 0,0 0 0,0 0 0,0-1 0,0 1 0,-1-1 0,1-5 0,1-7 79,0 1 0,-1-1 0,-1 0 0,-1-30 0,0 41-12,-1 1 1,1-1 0,-1 1-1,0-1 1,-1 1-1,1 0 1,-1 0-1,0-1 1,0 1-1,-1 0 1,1 1-1,-1-1 1,0 0-1,-1 1 1,1-1-1,-1 1 1,0 0-1,-5-4 1,7 7 0,2 19-282,0-9 142,1 1 0,1-1 0,0 0 0,0 0 0,0-1 0,1 1 0,1 0 0,-1-1-1,1 1 1,1-1 0,0 0 0,0-1 0,0 1 0,1-1 0,0 0 0,1-1 0,-1 1 0,1-1 0,0 0-1,1-1 1,13 8 0,-18-11 21,0-1 0,1 1 0,-1-1-1,1 0 1,0 0 0,-1 0-1,1-1 1,0 1 0,-1-1 0,1 0-1,0 0 1,0 0 0,-1 0 0,1-1-1,0 1 1,-1-1 0,1 0 0,0 0-1,-1 0 1,1-1 0,-1 1 0,0-1-1,1 0 1,4-4 0,-3 2 64,-1 0 0,0 0 0,0 0 1,0-1-1,-1 1 0,1-1 0,-1 0 0,0 0 1,-1 0-1,1 0 0,-1-1 0,0 1 0,0-1 1,-1 1-1,2-8 0,1-38 216,-3 33 386,1 0-1,4-21 1,-6 39-619,0 0 0,0 0 0,0 0 0,0 0 0,0 0 0,0 0 0,0-1 0,0 1-1,1 0 1,-1 0 0,0 0 0,0 0 0,0 0 0,0 0 0,0 0 0,0 0 0,0-1 0,0 1 0,0 0 0,1 0 0,-1 0 0,0 0 0,0 0 0,0 0 0,0 0 0,0 0 0,0 0 0,0 0 0,1 0-1,-1 0 1,0 0 0,0 0 0,0 0 0,0 0 0,0 0 0,1 0 0,-1 0 0,0 0 0,0 0 0,0 0 0,0 0 0,0 0 0,0 0 0,0 0 0,1 0 0,-1 0 0,0 0 0,0 0 0,0 1 0,0-1-1,0 0 1,0 0 0,0 0 0,0 0 0,0 0 0,1 0 0,-1 0 0,0 0 0,0 1 0,0-1 0,0 0 0,0 0 0,0 0 0,0 0 0,0 0 0,0 0 0,0 1 0,0-1 0,0 0 0,5 10-184,8 27 165,17 44 149,-28-75-241,2 1 0,-1-1-1,1 0 1,0 0 0,0 0 0,1 0 0,0-1-1,0 1 1,6 4 0,-10-9 98,0 0 0,0-1-1,1 1 1,-1 0 0,0 0 0,1-1-1,-1 1 1,0 0 0,1-1 0,-1 0-1,1 1 1,-1-1 0,1 0 0,-1 0-1,1 1 1,-1-1 0,1 0 0,-1-1 0,1 1-1,-1 0 1,0 0 0,1-1 0,-1 1-1,1-1 1,-1 1 0,1-1 0,-1 1-1,0-1 1,1 0 0,-1 0 0,0 0-1,0 0 1,0 0 0,0 0 0,0 0-1,0 0 1,0 0 0,0 0 0,1-3-1,4-5 54,0-1-1,-1 0 0,0 0 0,4-15 0,-3 9 40,34-113 1520,-36 157-1415,-2-16-169,10 57-315,22 79 1,-36-142-3092,-7-9-807,-13-11-2602</inkml:trace>
  <inkml:trace contextRef="#ctx0" brushRef="#br0" timeOffset="4106.5">2549 0 5715,'0'0'6210,"6"72"-13189</inkml:trace>
  <inkml:trace contextRef="#ctx0" brushRef="#br0" timeOffset="4294.64">1797 442 5491,'0'0'8724,"96"0"-8724,-21 0-801,19-26-6402</inkml:trace>
</inkml:ink>
</file>

<file path=xl/ink/ink6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44.054"/>
    </inkml:context>
    <inkml:brush xml:id="br0">
      <inkml:brushProperty name="width" value="0.05" units="cm"/>
      <inkml:brushProperty name="height" value="0.05" units="cm"/>
      <inkml:brushProperty name="color" value="#F6630D"/>
    </inkml:brush>
  </inkml:definitions>
  <inkml:trace contextRef="#ctx0" brushRef="#br0">218 615 5394,'0'0'10587,"-18"-6"-9590,-59-18-250,74 23-712,0 0 0,0 0 0,-1 1-1,1-1 1,0 1 0,-1 0 0,1 0-1,0 0 1,-1 0 0,1 0-1,0 1 1,-1 0 0,1-1 0,0 1-1,0 1 1,0-1 0,-1 0 0,1 1-1,0-1 1,1 1 0,-1 0-1,0 0 1,1 0 0,-1 0 0,1 1-1,-1-1 1,1 1 0,0-1 0,0 1-1,0 0 1,0 0 0,-1 4 0,-2 3-17,1 0 0,0 1 0,1 0 0,0 0 0,1-1 0,0 1 1,0 16-1,1-21-15,1 1 1,0 1 0,0-1 0,1 0 0,-1-1-1,1 1 1,3 10 0,-3-15 2,1 1 0,-1-1-1,0 0 1,0 0 0,1 0 0,-1 0 0,1 0 0,0 0-1,0-1 1,-1 1 0,1-1 0,0 1 0,0-1 0,1 1-1,-1-1 1,0 0 0,0 0 0,1 0 0,-1 0 0,0-1-1,1 1 1,-1-1 0,1 1 0,3-1 0,0 1 10,0 0 0,0-1 0,1 1 0,-1-2 0,0 1 0,0 0 0,1-1 0,-1-1 0,8-1 0,-10 1-8,0 0 1,-1 0-1,1 0 1,0-1 0,-1 1-1,0-1 1,1 1-1,-1-1 1,0 0-1,0-1 1,-1 1-1,1 0 1,-1-1-1,4-6 1,0-3 4,0-1 0,0 0 1,-1 0-1,-1 0 0,-1-1 0,0 1 1,1-18-1,-1-106 123,-4 119-130,1 8 156,0 1-1,-1 0 1,0-1-1,-1 1 1,0 0-1,-1-1 1,0 1-1,0 1 1,-1-1-1,-10-17 1,14 27-151,0-1 0,0 1 0,0 0 0,-1 0 0,1-1 0,0 1 0,0 0 0,0-1 0,-1 1 0,1 0 0,0 0 0,0 0 0,-1-1 0,1 1 0,0 0 0,0 0 0,-1 0 0,1-1 0,0 1 0,-1 0 0,1 0 0,0 0 0,-1 0 0,1 0 0,0 0 0,-1 0 0,1 0 0,0 0 0,-1 0 0,1 0 0,0 0 0,-1 0 0,1 0 0,0 0 0,-1 0 0,-6 12 41,0 17-103,5-9 59,1 0 0,1 1 0,0-1 0,2 0 0,0 0 0,2 0 0,9 33 0,-9-40-2,0-1 0,1 0 0,1 0 0,0 0 0,1 0 0,0-1 0,0 0 0,1 0 0,1-1 0,0 0 0,0-1 0,19 15 0,-26-22-17,0-1 1,0 1-1,1 0 1,-1-1-1,1 0 0,-1 0 1,1 1-1,-1-1 1,1-1-1,0 1 1,0 0-1,-1-1 1,1 1-1,0-1 1,0 0-1,0 0 0,-1 0 1,1 0-1,0-1 1,0 1-1,-1-1 1,1 1-1,4-3 1,-4 1-13,0 1 1,-1-2-1,1 1 1,0 0-1,-1 0 1,0-1-1,1 0 1,-1 1-1,0-1 1,0 0-1,-1 0 1,1 0-1,0 0 1,-1 0-1,0 0 1,0-1-1,0 1 1,1-4-1,2-23 39,-2-1 0,0 1-1,-4-43 1,0 33 893,2 51-939,0 19 20,1-1 0,1 1 0,6 29 0,-6-52-2,-1 0 0,1 0 0,0 0 0,1-1 0,-1 1 0,1 0 0,1-1 0,-1 0 0,1 1 1,0-1-1,0-1 0,1 1 0,0-1 0,0 0 0,0 0 0,1 0 0,-1-1 0,9 6 0,-11-9-17,0 1 0,-1-1-1,1 0 1,0 1 0,-1-1-1,1 0 1,0-1-1,0 1 1,0 0 0,0-1-1,0 0 1,0 0 0,0 0-1,0 0 1,0 0-1,0 0 1,0-1 0,0 1-1,5-3 1,-5 1 15,0 0 0,-1 1 0,1-2 0,-1 1 0,1 0 0,-1 0 0,0-1 1,0 1-1,0-1 0,0 0 0,-1 1 0,1-1 0,-1 0 0,1 0 0,0-4 0,3-9 27,-2-1 0,1 1 0,-2-1-1,0 1 1,-1-27 0,-1 37 24,0 0 1,0-1-1,0 1 1,-1 0-1,0 0 1,0-1-1,-1 1 1,0 0-1,0 0 1,0 0-1,0 0 1,-1 1-1,0-1 1,-1 1-1,1-1 1,-1 1-1,0 0 1,-8-7-1,12 12-38,0-1 0,0 1 0,-1 0 0,1-1-1,0 1 1,-1 0 0,1 0 0,0-1 0,-1 1 0,1 0 0,0 0-1,-1 0 1,1-1 0,0 1 0,-1 0 0,1 0 0,-1 0 0,1 0-1,-1 0 1,1 0 0,0 0 0,-1 0 0,1 0 0,-1 0 0,1 0-1,0 0 1,-1 0 0,1 0 0,-1 1 0,1-1 0,0 0 0,-1 0-1,1 0 1,0 0 0,-1 1 0,1-1 0,0 0 0,-1 0 0,1 1-1,0-1 1,-1 1 0,-3 22-27,4-18 20,0 0-1,0 1 1,1-1-1,0 0 1,0 0-1,1 0 1,-1 0-1,3 5 1,-1-6-9,1 0-1,-1 0 1,1-1-1,0 1 1,0-1-1,0 0 1,0 0-1,0 0 1,1-1-1,-1 0 1,1 0-1,0 0 1,7 2-1,0-1-282,0 0-1,0-1 1,0-1-1,20 0 1,-30-1 293,0-1 1,0 0 0,0 1 0,1-1 0,-1 0 0,0 0 0,0 0 0,0-1 0,0 1 0,-1 0 0,1-1 0,0 1 0,0-1 0,-1 0 0,1 1 0,-1-1 0,0 0-1,1 0 1,-1 0 0,0 0 0,0 0 0,0 0 0,0 0 0,-1-1 0,1 1 0,0-4 0,2-4 95,-1-1 1,0 1-1,0-1 0,0-16 0,-2-5 1539,0 31-1367,0 10-231,-1 31-104,-1-16 81,2 0 0,4 31 0,-3-49-6,0 1 1,0-1-1,1 0 0,0 0 0,0 0 1,0 0-1,1 0 0,0 0 1,0 0-1,1-1 0,-1 0 0,1 1 1,7 5-1,-9-9-18,1 0 0,-1 0 0,1 0 1,0 0-1,-1-1 0,1 1 0,0-1 0,0 0 1,0 0-1,0 0 0,0 0 0,0 0 1,0-1-1,0 1 0,1-1 0,-1 0 0,0 0 1,0 0-1,0 0 0,0-1 0,1 1 0,-1-1 1,0 0-1,0 0 0,0 0 0,0 0 0,0-1 1,-1 1-1,1-1 0,0 0 0,-1 1 0,1-1 1,-1 0-1,1-1 0,-1 1 0,0 0 0,0-1 1,0 1-1,0-1 0,-1 0 0,1 1 0,-1-1 1,2-4-1,2-7 12,-1-2 0,-1 1 0,0 0 0,-1-1 0,-1 1 0,0-1 0,-2-23 0,0 10 138,1 28-116,0 0-1,0 0 0,0 0 1,0 0-1,0 0 1,0 0-1,-1-1 0,1 1 1,0 0-1,-1 0 1,1 0-1,-1 0 1,1 0-1,-1 1 0,0-1 1,1 0-1,-1 0 1,0 0-1,1 0 0,-1 1 1,0-1-1,-1-1 1,1 2-16,1 0 1,0 0 0,-1 0 0,1 0 0,-1 0-1,1 0 1,-1 0 0,1 0 0,0 0-1,-1 0 1,1 0 0,-1 0 0,1 0 0,0 0-1,-1 0 1,1 1 0,-1-1 0,1 0 0,0 0-1,-1 0 1,1 1 0,-1-1 0,1 0 0,0 0-1,-1 1 1,1-1 0,0 0 0,0 1 0,-1-1-1,1 0 1,0 1 0,0-1 0,0 1-1,-1-1 1,1 0 0,0 1 0,0-1 0,0 1-1,0-1 1,0 0 0,0 1 0,0-1 0,0 1-1,0-1 1,0 1 0,0-1 0,0 0 0,0 1-1,0 0 1,0 3-43,-1-1 0,1 0 0,0 1 0,0-1 0,0 1 0,0-1 0,0 0 0,1 1 0,0-1 0,0 0 0,0 1 0,0-1 0,0 0 0,0 0 0,1 0 0,0 0 0,-1 0 0,1 0-1,0 0 1,1-1 0,-1 1 0,0-1 0,1 1 0,0-1 0,-1 0 0,1 0 0,0 0 0,0 0 0,0-1 0,0 1 0,0-1 0,0 0 0,1 0 0,-1 0 0,0 0 0,1 0 0,-1-1 0,0 0 0,1 1 0,-1-1 0,7-1 0,-8 1 32,0-1 1,-1 1-1,1 0 1,-1-1-1,1 1 1,-1-1-1,1 0 1,-1 0-1,1 1 1,-1-1-1,0 0 1,1 0-1,-1 0 1,0 0-1,0-1 1,0 1-1,0 0 1,0 0-1,0-1 1,0 1-1,0 0 1,0-1-1,-1 1 1,1-1-1,0 1 1,-1-1-1,0 0 1,1 1-1,-1-1 1,0 1-1,1-4 1,0-8 24,0 0 0,-1-26 0,0 25 0,0 11 18,0 0 1,0-1 0,0 1 0,0-1 0,-1 1 0,1 0 0,-1 0 0,0-1 0,0 1 0,0 0 0,0 0-1,-1 0 1,1 0 0,-1 0 0,0 0 0,0 0 0,0 1 0,0-1 0,0 1 0,-1-1 0,1 1-1,-1 0 1,1 0 0,-1 0 0,0 0 0,0 1 0,0-1 0,0 1 0,0 0 0,0-1 0,-1 1 0,1 1-1,0-1 1,0 0 0,-5 1 0,6 0-31,1 0-1,0 0 1,0 1-1,-1-1 1,1 0-1,0 1 1,0-1-1,0 1 1,-1 0-1,1-1 1,0 1-1,0 0 1,0 0-1,0 0 1,0 0-1,0-1 1,1 1-1,-1 1 1,0-1-1,0 0 1,1 0-1,-1 0 1,1 0-1,-1 0 1,1 1-1,-1-1 1,1 0-1,0 0 1,-1 1-1,1 1 1,-3 47-52,3-45 54,-1 14 5,2 1 1,1-1 0,0 0-1,1 0 1,1-1-1,6 19 1,-8-31-47,1 0-1,-1 0 1,1 0 0,0-1 0,0 1 0,1-1-1,0 0 1,0 0 0,0 0 0,0 0 0,1-1 0,-1 0-1,1 0 1,0 0 0,1-1 0,-1 1 0,1-1-1,-1 0 1,1-1 0,0 1 0,0-1 0,7 1 0,-7-1-70,-1-1 0,0 0 1,0-1-1,1 1 1,-1-1-1,1 0 1,-1-1-1,0 1 1,1-1-1,-1 0 1,6-2-1,-7 2 87,-1-1-1,0 0 0,0 0 0,0 0 0,0 0 0,0-1 1,0 1-1,0-1 0,-1 1 0,0-1 0,1 0 1,-1 0-1,0 0 0,0 0 0,0-1 0,1-5 0,2-5 64,0 0 0,-1 0 0,-1 0 0,2-24 0,-3 24 291,0-1 0,1 0 0,0 1 0,9-23 0,-7 27-214,4-7 576,-9 17-695,1 1 0,0-1 0,-1 0 0,1 0 0,0 0 0,-1 0 0,1 1 0,0-1 0,-1 0 0,1 1 0,-1-1 0,1 0 0,-1 1 0,1-1 0,-1 1 0,1-1 0,-1 1 0,1-1 0,-1 1 0,1-1 0,-1 1 0,0-1 0,1 1 0,-1-1 0,0 1 0,0 0 0,1-1 0,-1 1 0,0 1 0,1-1-9,-1 0 0,0 0 1,1 0-1,-1 0 0,1 0 0,0 0 0,-1 0 0,1 0 0,0 0 1,-1-1-1,1 1 0,0 0 0,0 0 0,0-1 0,0 1 0,0 0 1,0-1-1,0 1 0,0-1 0,0 1 0,0-1 0,0 0 0,1 1 1,-1-2 4,0 1 1,-1-1-1,1 0 0,0 1 1,-1-1-1,1 0 1,0 0-1,-1 1 1,1-1-1,-1 0 1,1 0-1,-1 0 0,0 0 1,1 0-1,-1 0 1,0 0-1,0 0 1,0 0-1,0 0 1,1 0-1,-1 0 1,0 0-1,-1 0 0,1 0 1,0-1-1,0-3 10,0 0-1,-1 1 0,1-1 0,-1 1 0,0-1 0,0 1 1,-3-6-1,4 9-11,0 0 0,-1 0 0,1 1 1,-1-1-1,1 0 0,-1 0 0,0 0 1,1 1-1,-1-1 0,0 0 0,1 1 1,-1-1-1,0 1 0,0-1 0,1 1 1,-1-1-1,0 1 0,0-1 0,0 1 1,0 0-1,0-1 0,0 1 0,0 0 1,0 0-1,0 0 0,1 0 0,-1 0 0,0 0 1,0 0-1,0 0 0,0 0 0,0 0 1,0 0-1,0 1 0,0-1 0,0 0 1,0 1-1,0-1 0,0 0 0,1 1 1,-1-1-1,0 1 0,-1 0 0,1 1 0,-1 0-1,0-1 0,0 1 1,0 0-1,1 0 0,-1 0 1,1 0-1,0 1 0,0-1 1,-1 0-1,1 1 0,1-1 1,-1 0-1,0 1 0,1-1 0,-1 1 1,0 3-1,-1 50-1,2-46-9,0 0 6,0 1 0,1-1 0,0 0 0,1 0 0,0 0 0,1 0 0,5 16 0,-5-21 0,-1-1-1,1 1 1,0-1-1,0 1 1,0-1-1,0 0 1,1 0-1,0 0 1,0-1-1,0 1 1,0-1-1,0 0 1,1 0-1,-1-1 1,1 1-1,9 3 1,-9-4-39,0 0 0,1-1 0,-1 1 0,0-1 0,1 0 0,-1-1 0,1 1 0,0-1 0,-1 0 0,1 0 0,-1-1 0,1 1 0,-1-1 0,1-1 1,-1 1-1,1-1 0,-1 0 0,0 0 0,0 0 0,0-1 0,0 0 0,-1 0 0,1 0 0,-1-1 0,1 1 0,-1-1 0,0 0 0,-1 0 0,5-6 0,0-4 51,0 0-1,0 0 0,-2-1 1,0-1-1,-1 1 0,0-1 1,-1 1-1,-1-1 1,2-19-1,-2-8 306,-2 1 0,-5-56 0,3 82-63,-1 0 0,-1 0 0,0 1 0,-1 0 0,0-1 0,-2 1 0,-9-20 1,15 35-242,0-1 0,-1 1 0,1 0 0,0 0 0,0 0 0,0 0 0,0 0 0,0 0 0,0 0 1,0 0-1,-1 0 0,1 0 0,0-1 0,0 1 0,0 0 0,0 0 0,0 0 0,0 0 0,-1 0 1,1 0-1,0 0 0,0 0 0,0 0 0,0 0 0,0 0 0,-1 0 0,1 0 0,0 0 0,0 0 1,0 0-1,0 0 0,0 1 0,0-1 0,-1 0 0,1 0 0,0 0 0,0 0 0,0 0 0,0 0 1,0 0-1,0 0 0,0 0 0,-1 0 0,1 1 0,0-1 0,0 0 0,0 0 0,0 0 0,0 0 1,0 0-1,0 0 0,0 1 0,0-1 0,0 0 0,0 0 0,0 0 0,0 0 0,0 0 0,0 1 1,0-1-1,0 0 0,0 0 0,0 0 0,0 0 0,0 0 0,0 1 0,0-1 0,0 0 0,-2 13-60,-1 31 44,2-1 1,2 1 0,7 48-1,-6-73 10,2 0-1,0-1 0,1 0 0,1 0 1,1 0-1,0-1 0,1 0 0,1 0 1,21 29-1,-26-41-33,0-1 1,0 1-1,1-1 0,-1 0 1,1 0-1,0 0 0,1-1 1,-1 0-1,0 0 0,1 0 0,0-1 1,9 4-1,-12-6 18,0 1 0,1 0-1,-1-1 1,0 0 0,0 0-1,0 0 1,0 0 0,0 0-1,0 0 1,1-1 0,-1 0 0,0 0-1,0 1 1,0-2 0,0 1-1,-1 0 1,1-1 0,0 1 0,-1-1-1,1 0 1,0 0 0,-1 0-1,0 0 1,0 0 0,1 0 0,1-4-1,1-2 16,0 0-1,0 0 1,-1 0 0,-1-1-1,1 0 1,-1 1 0,0-1-1,-1 0 1,2-18-1,-1-6 233,-3-48 0,-1 39 449,1 43-677,0-1 0,0 0-1,0 0 1,0 0-1,0 0 1,0 0 0,0 0-1,0 0 1,0 1-1,0-1 1,0 0 0,0 0-1,0 0 1,0 0-1,-1 0 1,1 0-1,0 0 1,0 0 0,0 0-1,0 0 1,0 0-1,0 0 1,0 1 0,0-1-1,-1 0 1,1 0-1,0 0 1,0 0 0,0 0-1,0 0 1,0 0-1,0 0 1,0 0 0,-1 0-1,1 0 1,0 0-1,0 0 1,0 0-1,0 0 1,0 0 0,0 0-1,0 0 1,-1-1-1,1 1 1,0 0 0,0 0-1,0 0 1,0 0-1,0 0 1,0 0 0,0 0-1,0 0 1,0 0-1,0 0 1,0 0 0,-1-1-1,1 1 1,0 0-1,0 0 1,0 0 0,0 0-1,0 0 1,0 0-1,0 0 1,0-1-1,-6 12-60,3 2 51,1 1 1,1-1 0,0 1-1,1-1 1,0 1 0,4 23-1,-3-29-25,1 0 0,0 0 0,0 0 0,1-1-1,0 1 1,0-1 0,1 1 0,0-1 0,0 0-1,1-1 1,0 1 0,9 9 0,-12-14 8,0 0 0,1 0 0,-1 0 0,1 0 1,-1-1-1,1 1 0,0-1 0,0 1 0,-1-1 0,1 0 0,0 0 1,0-1-1,0 1 0,0-1 0,0 1 0,0-1 0,0 0 0,0 0 1,1 0-1,-1 0 0,0-1 0,0 1 0,0-1 0,0 0 0,0 0 1,-1 0-1,1 0 0,0-1 0,0 1 0,-1-1 0,1 1 0,-1-1 0,1 0 1,-1 0-1,0 0 0,0 0 0,1-1 0,-2 1 0,1 0 0,0-1 1,0 0-1,-1 1 0,3-6 0,4-10 140,-1 0 0,-1-1 0,5-22 0,-7 24 18,1 0 0,0 0-1,1 1 1,14-26-1,-20 40-102,1 1 0,0-1 0,0 1 0,-1 0 0,1-1 0,0 1 0,0 0 0,0 0 0,1 0 0,-1-1 0,0 1 0,0 0-1,1 1 1,1-2 0,-2 2-32,0 0-1,0 0 1,0 0-1,0 1 1,0-1-1,0 0 1,0 1-1,0-1 1,-1 1-1,1-1 1,0 1 0,0-1-1,0 1 1,-1 0-1,1-1 1,0 1-1,-1 0 1,1 0-1,0-1 1,-1 1-1,1 0 1,-1 0-1,1 1 1,18 30-49,-16-25-13,0 0 1,1 0 0,0-1 0,1 1 0,-1-1 0,1 0-1,1 0 1,-1 0 0,10 6 0,-15-11 47,1-1 0,0 1 0,0-1 1,-1 1-1,1-1 0,0 1 0,0-1 1,-1 0-1,1 1 0,0-1 0,0 0 1,0 0-1,0 0 0,-1 0 0,1 0 1,0 0-1,0 0 0,0 0 0,0 0 1,0 0-1,-1 0 0,1 0 0,0-1 1,0 1-1,0 0 0,-1-1 0,1 1 1,1-1-1,-1 0 14,0 0-1,-1-1 1,1 1 0,0 0 0,-1 0 0,1 0-1,-1-1 1,0 1 0,1 0 0,-1-1-1,0 1 1,0 0 0,1-1 0,-1 1 0,-1-3-1,1 0 5,0 1 0,0-1 0,-1 1 0,0-1 0,1 1 0,-1-1 0,0 1 0,-1 0 0,1-1 1,-1 1-1,1 0 0,-1 0 0,-3-3 0,2 3-3,0 1 0,-1 0 0,1 1 0,-1-1 1,1 0-1,-1 1 0,0 0 0,1 0 0,-1 0 1,0 1-1,0-1 0,0 1 0,0 0 0,0 0 1,0 0-1,1 0 0,-1 1 0,0-1 0,0 1 1,0 0-1,1 0 0,-1 1 0,0-1 1,1 1-1,-1 0 0,1 0 0,0 0 0,-1 0 1,1 1-1,0-1 0,1 1 0,-1 0 0,0-1 1,1 1-1,-1 1 0,-1 3 0,-1 5 4,1 1 0,0 0-1,1 0 1,0 0-1,1 0 1,0 0 0,2 1-1,-1-1 1,4 25 0,-3-24 5,0-11-6,1 1 1,0 0 0,-1-1-1,1 1 1,1 0 0,-1-1-1,0 1 1,1-1-1,0 0 1,0 0 0,0 1-1,0-1 1,0 0-1,0 0 1,1-1 0,0 1-1,-1-1 1,1 1-1,0-1 1,0 0 0,1 0-1,-1 0 1,0 0-1,1-1 1,-1 1 0,1-1-1,-1 0 1,1 0-1,-1 0 1,1 0 0,0-1-1,0 0 1,-1 1-1,1-2 1,0 1 0,0 0-1,-1-1 1,1 1-1,0-1 1,-1 0 0,4-1-1,-4 0 0,0 0-1,0 0 0,0 0 1,0 0-1,0-1 1,-1 1-1,1-1 1,-1 0-1,0 1 0,0-1 1,0 0-1,0 0 1,0 0-1,-1-1 0,1 1 1,-1 0-1,2-7 1,0-4 2,1 0 0,-2 0 1,2-15-1,-3 21-4,1-15 12,-2-47-1,0 65 29,-1-1 0,0 1 1,0-1-1,0 1 0,-1-1 1,1 1-1,-1 0 0,0-1 0,-1 1 1,1 0-1,-1 0 0,0 1 1,-7-9-1,10 13-41,-1 0 1,1-1 0,0 1-1,0 0 1,0 0-1,0 0 1,-1-1 0,1 1-1,0 0 1,0 0-1,0 0 1,-1 0-1,1 0 1,0 0 0,0-1-1,-1 1 1,1 0-1,0 0 1,0 0 0,-1 0-1,1 0 1,0 0-1,0 0 1,-1 0 0,1 0-1,0 0 1,0 0-1,-1 0 1,1 0-1,0 1 1,0-1 0,-1 0-1,1 0 1,0 0-1,0 0 1,0 0 0,-1 0-1,1 1 1,0-1-1,0 0 1,0 0-1,-1 0 1,1 0 0,0 1-1,0-1 1,0 0-1,0 0 1,0 0 0,-1 1-1,1-1 1,0 0-1,0 0 1,0 1 0,0-1-1,0 0 1,0 0-1,0 1 1,0-1-1,0 0 1,0 0 0,0 1-1,0-1 1,0 0-1,0 0 1,0 1 0,-1 20-7,1-19 6,1 7-35,-1-1 1,1 0-1,0 0 0,1 0 0,0 0 0,0 0 0,1 0 1,0-1-1,0 1 0,1-1 0,0 0 0,0 0 0,1 0 1,0 0-1,0-1 0,0 0 0,1 0 0,0 0 1,0-1-1,11 8 0,-15-12 24,0 0 1,0 0-1,0 0 1,0 0-1,1 0 1,-1 0-1,0 0 1,0-1 0,1 1-1,-1-1 1,0 0-1,1 0 1,-1 1-1,0-1 1,1-1-1,-1 1 1,0 0-1,0-1 1,1 1-1,-1-1 1,0 0-1,0 1 1,1-1-1,-1 0 1,0 0-1,0-1 1,0 1-1,0 0 1,-1-1-1,1 1 1,0-1-1,1-2 1,5-5 115,-2 0 1,1-1-1,-1 0 0,-1-1 1,6-14-1,5-8 385,-6 10-36,-8 18-278,-1 1 0,1 0 0,0 0 0,0 0 0,1 0 0,4-7 0,-7 11-169,0 0 0,1 0 0,-1 0-1,0 0 1,0 0 0,1 0-1,-1 0 1,0 0 0,0 0 0,1 0-1,-1 0 1,0 0 0,0 0 0,1 0-1,-1 0 1,0 0 0,0 0 0,0 0-1,1 0 1,-1 0 0,0 0 0,0 0-1,1 0 1,-1 1 0,0-1 0,0 0-1,0 0 1,0 0 0,1 0 0,-1 0-1,0 1 1,0-1 0,0 0 0,0 0-1,0 0 1,1 1 0,-1-1-1,0 0 1,0 0 0,0 1 0,0-1-1,0 0 1,0 0 0,0 0 0,0 1-1,9 22-84,11 44 0,-15-48-50,0 0 1,2 0 0,0 0-1,13 23 1,-20-41 110,1 1-1,-1-1 1,1 0 0,-1 0-1,1 0 1,0 0 0,0 0-1,0 0 1,-1 0-1,1 0 1,0 0 0,0-1-1,0 1 1,0 0 0,1-1-1,-1 1 1,0 0 0,0-1-1,0 1 1,0-1 0,1 0-1,-1 1 1,0-1-1,0 0 1,3 0 0,-3 0 15,1-1 0,0 1 0,-1-1 0,1 0 1,0 0-1,-1 0 0,1 0 0,-1 0 0,0 0 0,1 0 1,-1 0-1,0-1 0,1 1 0,-1 0 0,1-3 0,4-6 25,0 1-1,-1-1 0,0 0 1,5-17-1,3-12 168,-2 5 465,13-58 0,-23 110-625,0 0 1,1 0 0,1 0 0,10 34 0,-6-24-14,6 17 2,4 16-3664,-17-58 1924</inkml:trace>
  <inkml:trace contextRef="#ctx0" brushRef="#br0" timeOffset="199.99">1990 156 6867,'0'0'6163,"32"111"-6163,-26-87-832,-6-3-3058</inkml:trace>
  <inkml:trace contextRef="#ctx0" brushRef="#br0" timeOffset="434.96">1403 399 6419,'0'0'10517,"111"-15"-10149,-49 7-336,4 0-64,-4 3-416,-5-3-2145,-14-3-3634</inkml:trace>
  <inkml:trace contextRef="#ctx0" brushRef="#br0" timeOffset="2446.77">3311 436 4802,'0'0'10800,"-6"-5"-9672,-19-15-306,25 20-802,0-1 0,0 1 0,-1 0 0,1-1 0,0 1 0,-1 0 0,1 0 1,-1-1-1,1 1 0,0 0 0,-1 0 0,1-1 0,-1 1 0,1 0 0,-1 0 0,1 0 0,0 0 0,-1 0 0,1 0 0,-1 0 0,1 0 0,-1 0 0,1 0 0,-1 0 0,1 0 1,-1 0-1,1 0 0,0 0 0,-1 0 0,1 0 0,-1 1 0,1-1 0,-1 0 0,1 0 0,0 1 0,-1-1 0,0 1 0,-4 14-28,4-10 94,-7 25-39,3 1-1,0 0 0,2 0 0,2 0 1,3 53-1,-2-78-39,1 1 1,-1-1 0,1 0-1,1 0 1,-1 0-1,1 0 1,0 0 0,0 0-1,1-1 1,0 1-1,5 8 1,-5-11 2,0 0 1,-1 0-1,1 0 0,0 0 1,0-1-1,1 1 0,-1-1 1,1 0-1,-1 0 1,1 0-1,0 0 0,-1-1 1,1 1-1,0-1 0,0 0 1,0 0-1,0 0 1,7 0-1,-7-1 2,1 1-1,-1-1 1,1 0 0,0 0-1,-1 0 1,1-1 0,-1 0-1,1 0 1,-1 0 0,1 0-1,-1-1 1,0 1 0,1-1-1,-1 0 1,0-1 0,0 1-1,0-1 1,-1 1 0,1-1-1,-1 0 1,1-1 0,-1 1-1,0 0 1,0-1 0,-1 0-1,1 0 1,-1 0 0,1 0-1,-1 0 1,-1 0 0,3-6 0,4-13 6,-1 1 0,-1-1 0,5-36 1,-1 1-2,-9 56-21,-1 0 0,0 0-1,1 0 1,-1 0 0,1 0 0,0 0-1,0 0 1,0 0 0,0 0 0,0 1-1,0-1 1,0 0 0,0 1-1,1-1 1,-1 1 0,0-1 0,1 1-1,0 0 1,-1-1 0,1 1 0,0 0-1,-1 0 1,1 0 0,0 1-1,0-1 1,0 0 0,0 1 0,0-1-1,0 1 1,0 0 0,0-1 0,0 1-1,0 0 1,0 0 0,0 0 0,0 1-1,0-1 1,0 0 0,0 1-1,0-1 1,0 1 0,0 0 0,0 0-1,-1-1 1,1 1 0,0 1 0,0-1-1,-1 0 1,3 2 0,3 4 3,0-1 1,-1 1-1,0 0 1,0 1-1,0-1 1,6 14-1,-6-11-330,1 1 0,0-1-1,12 13 1,-18-23 251,-1-23 419,0 19-327,0 1 0,0 0 0,-1-1 0,1 1 0,-1 0 0,0-1 0,0 1 0,0 0 0,-1 0 0,1 0 0,-1 0 0,0 0 0,1 0 0,-1 0 0,-1 1 1,1-1-1,0 1 0,-1-1 0,1 1 0,-1 0 0,-5-4 0,4 4 2,0 0 1,0 0-1,-1 0 0,1 1 1,0-1-1,-1 1 1,1 0-1,-1 1 0,1-1 1,-1 1-1,0 0 1,1 0-1,-1 0 0,0 0 1,1 1-1,-7 1 1,8 0-12,0-1 0,-1 1 1,1 0-1,0 0 0,0 0 1,0 1-1,0-1 0,1 1 1,-1-1-1,1 1 1,-1 0-1,1 0 0,0 0 1,0 0-1,0 0 0,1 1 1,-1-1-1,-1 6 1,-1 2 8,0 0 1,1 0 0,1 1 0,-3 19 0,4-21-10,0 0 1,1 1 0,0-1 0,0 1 0,2-1-1,2 14 1,-3-21-2,0 1 0,0-1-1,1 0 1,-1-1 0,1 1 0,0 0-1,-1 0 1,1-1 0,1 1-1,-1-1 1,0 0 0,1 1-1,-1-1 1,1 0 0,-1 0 0,1-1-1,0 1 1,0-1 0,0 1-1,0-1 1,0 0 0,0 0 0,0 0-1,4 0 1,-1 1 11,0-1 1,-1 0-1,1-1 0,0 1 1,-1-1-1,1 0 0,0-1 1,-1 1-1,1-1 0,0 0 1,5-2-1,-7 1-1,0 0 0,-1 1-1,0-1 1,1-1 0,-1 1 0,0 0-1,0-1 1,0 0 0,0 1 0,0-1 0,-1 0-1,1-1 1,-1 1 0,0 0 0,0-1-1,2-5 1,1-7 278,0 0-1,-2 0 1,0-1 0,0 0-1,-2 1 1,0-1-1,-1 0 1,-3-28 0,3 44-260,0 0 0,0 0 0,-1 0-1,1 0 1,0 0 0,0 0 0,-1 0 0,1 1 0,0-1 0,-1 0 0,1 0 0,-1 0 0,1 0 0,-1 1 0,1-1 0,-1 0 0,-1-1 0,2 2-30,0 0-1,-1 0 1,1 0 0,-1 0-1,1 0 1,0 0 0,-1 1 0,1-1-1,0 0 1,-1 0 0,1 0-1,0 0 1,-1 0 0,1 0 0,0 1-1,-1-1 1,1 0 0,0 0-1,0 1 1,-1-1 0,1 0 0,0 0-1,0 1 1,-1-1 0,1 0-1,0 1 1,0-1 0,0 0 0,-1 1-1,1-1 1,0 0 0,0 1 0,0-1-1,0 0 1,0 1 0,0-1-1,0 0 1,0 1 0,0-1 0,0 1-1,0-1 1,0 0 0,0 1-1,0-1 1,0 0 0,0 1 0,1 0-1,-2 9-17,0 0 1,1 1-1,0 0 0,0-1 0,2 1 0,-1-1 0,6 21 0,-5-28 18,-1 0 0,0 1 0,1-1-1,0 0 1,-1 0 0,1 0 0,1 0 0,-1 0-1,0 0 1,1 0 0,-1-1 0,1 1-1,0-1 1,0 0 0,0 0 0,0 0-1,0 0 1,0-1 0,1 1 0,-1-1-1,0 1 1,1-1 0,-1-1 0,1 1 0,0 0-1,-1-1 1,5 1 0,-4-1-5,0 0 1,0 0-1,0 0 1,0 0-1,-1 0 1,1-1-1,0 0 1,0 0-1,0 0 1,0 0-1,0-1 1,-1 1-1,6-4 1,-5 2 4,0-1 1,0 0 0,-1 1-1,0-1 1,0 0 0,0-1-1,0 1 1,-1 0 0,1-1-1,1-6 1,5-12 55,-2 1 1,-1-1-1,5-27 0,-8 33 87,-3 17-140,0 0-1,0 0 1,0 0 0,0 0-1,0-1 1,0 1 0,1 0-1,-1 0 1,0 0 0,0 0-1,0-1 1,0 1 0,0 0-1,0 0 1,1 0 0,-1 0-1,0 0 1,0 0 0,0 0 0,0-1-1,0 1 1,1 0 0,-1 0-1,0 0 1,0 0 0,0 0-1,1 0 1,-1 0 0,0 0-1,0 0 1,0 0 0,0 0-1,1 0 1,-1 0 0,0 0-1,0 0 1,0 0 0,1 0-1,-1 0 1,0 0 0,0 1-1,0-1 1,0 0 0,1 0-1,-1 0 1,0 0 0,0 0-1,0 0 1,0 0 0,0 1 0,0-1-1,1 0 1,-1 0 0,0 0-1,0 0 1,0 0 0,0 1-1,0-1 1,0 0 0,0 0-1,0 1 1,8 8-89,25 58 4,-26-50 92,1 0 0,1-1 0,0 0 0,1 0 1,22 25-1,-32-40-8,1-1 1,-1 1-1,1-1 1,-1 1 0,1-1-1,0 1 1,-1-1-1,1 1 1,-1-1-1,1 0 1,0 1 0,0-1-1,-1 0 1,1 0-1,0 1 1,-1-1-1,1 0 1,0 0 0,0 0-1,-1 0 1,1 0-1,0 0 1,0 0 0,-1 0-1,1 0 1,0 0-1,0-1 1,-1 1-1,1 0 1,0 0 0,-1-1-1,1 1 1,0 0-1,-1-1 1,1 1-1,0-1 1,-1 1 0,1-1-1,-1 1 1,1-1-1,-1 1 1,1-1 0,-1 0-1,0 1 1,1-1-1,-1 0 1,1 0-1,1-3 5,0-1 0,0 1 0,0 0-1,0-1 1,-1 1 0,1-5-1,0-5 2,-1 1 0,-1-1-1,-1-18 1,0 18-9,0 0 1,1 0 0,3-16 0,-3 30 0,0 0 0,0 0 0,0-1 0,0 1 0,0 0 0,0-1 1,0 1-1,1 0 0,-1 0 0,0-1 0,0 1 0,0 0 0,0 0 0,1-1 0,-1 1 1,0 0-1,0 0 0,0 0 0,1-1 0,-1 1 0,0 0 0,0 0 0,1 0 0,-1 0 1,0-1-1,0 1 0,1 0 0,-1 0 0,0 0 0,1 0 0,-1 0 0,0 0 0,0 0 1,1 0-1,-1 0 0,0 0 0,1 0 0,-1 0 0,0 0 0,0 0 0,1 0 0,-1 0 1,0 0-1,1 1 0,-1-1 0,0 0 0,0 0 0,1 0 0,-1 0 0,0 1 0,0-1 1,0 0-1,1 0 0,-1 0 0,0 1 0,0-1 0,1 0 0,13 14-97,-1 7-114,-1 0 0,-1 0 1,0 2-1,-2-1 0,12 43 0,-11-35-936,-10-30 1136,0 1-1,0-1 1,0 0 0,0 0-1,1 0 1,-1 1-1,0-1 1,0 0-1,0 0 1,0 0-1,0 1 1,0-1 0,0 0-1,0 0 1,0 0-1,1 1 1,-1-1-1,0 0 1,0 0 0,0 0-1,0 0 1,1 0-1,-1 0 1,0 1-1,0-1 1,0 0 0,0 0-1,1 0 1,-1 0-1,0 0 1,0 0-1,1 0 1,-1 0-1,0 0 1,0 0 0,0 0-1,1 0 1,-1 0-1,0 0 1,0 0-1,0 0 1,1 0 0,7-9-13,3-12 182,-4-2 174,-1-1 1,5-35 0,-9 38 162,2 1 1,0 0 0,1 0-1,9-22 1,-13 41-490,-1 0 0,1 0-1,-1 1 1,1-1 0,-1 0 0,1 0 0,0 1 0,-1-1-1,1 0 1,0 1 0,-1-1 0,1 1 0,0-1-1,0 1 1,0-1 0,0 1 0,-1 0 0,1-1-1,0 1 1,0 0 0,0 0 0,0 0 0,0-1-1,0 1 1,0 0 0,0 0 0,0 0 0,0 0 0,0 1-1,-1-1 1,1 0 0,0 0 0,0 1 0,0-1-1,0 0 1,0 1 0,0-1 0,-1 1 0,1-1-1,0 1 1,0-1 0,-1 1 0,1-1 0,0 2-1,5 2 22,0 1 0,-1-1 0,1 2-1,5 6 1,10 16-1406,32 57-1,-34-53 204,-17-29 186,1 2-1612</inkml:trace>
  <inkml:trace contextRef="#ctx0" brushRef="#br0" timeOffset="3102">4496 457 6451,'0'0'16285,"4"-10"-15557,16-30-509,-19 40-217,-1 0 1,0-1 0,1 1-1,-1 0 1,0 0 0,1-1-1,-1 1 1,1 0-1,-1 0 1,0 0 0,1 0-1,-1-1 1,1 1 0,-1 0-1,1 0 1,-1 0-1,1 0 1,-1 0 0,0 0-1,1 0 1,-1 0 0,1 0-1,-1 0 1,1 1-1,-1-1 1,1 0 0,-1 0-1,0 0 1,1 0 0,-1 1-1,1-1 1,-1 0-1,0 0 1,1 1 0,-1-1-1,0 0 1,1 1 0,-1-1-1,0 0 1,0 1-1,1-1 1,-1 1 0,15 20 8,-12-16-12,9 17 27,0 1 0,-1 0 0,-1 1 0,9 37 0,5 11-52,-24-72 19,0 0 0,0 0 0,0 1-1,0-1 1,0 0 0,0 0 0,0 1 0,0-1 0,0 0 0,0 0 0,0 1 0,0-1 0,0 0 0,0 0 0,0 0 0,1 1 0,-1-1 0,0 0 0,0 0 0,0 0 0,0 1 0,0-1 0,1 0 0,-1 0 0,0 0 0,0 0 0,0 1 0,0-1 0,1 0 0,-1 0 0,0 0 0,0 0 0,0 0 0,1 0-1,-1 0 1,0 0 0,0 0 0,1 1 0,-1-1 0,0 0 0,0 0 0,1 0 0,-1 0 0,0 0 0,0 0 0,0-1 0,1 1 0,-1 0 0,0 0 0,0 0 0,1 0 0,-1 0 0,0 0 0,0 0 0,0 0 0,1-1 0,-1 1 0,0 0 0,0 0 0,0 0 0,0 0 0,1 0 0,-1-1 0,0 1-1,0 0 1,6-16 45,-1-14-13,-2-1 1,-1 0-1,-4-57 1,0 18 680,3 74-718,1 1 1,-1 0-1,1-1 0,0 1 1,0-1-1,0 0 0,0 0 1,4 5-1,5 9 21,22 71 32,-23-61-839,16 37 0,-26-65 611,2-3 199,-1 1 0,0-1 0,0 0 0,0 0 0,-1 0 0,1 0 0,-1 0 0,0 0 0,1-5 0,-1 6-15,2-26 154,1 0 0,2 1 0,1-1-1,1 1 1,20-52 0,-26 78-138,-1 0 0,1 0 0,-1 0 0,1-1 0,0 1 0,-1 0 0,1 0 0,0 0 0,0 0 0,0 0 0,0 0 1,0 0-1,0 0 0,0 1 0,0-1 0,0 0 0,0 1 0,0-1 0,1 0 0,-1 1 0,0-1 0,2 1 0,-2 0-13,1 0 0,-1 0 0,1 1 0,-1-1 0,0 0 0,0 1 0,1-1 0,-1 1 0,0 0 0,0-1 0,1 1 0,-1 0 0,0 0 0,0 0 0,0-1 0,0 1 0,1 2 0,5 6-42,-1 0 0,0 0-1,0 0 1,4 12 0,-7-16 46,7 17-403,26 45-1723,-14-38-1659,6-9-3352,-8-13-743</inkml:trace>
  <inkml:trace contextRef="#ctx0" brushRef="#br0" timeOffset="4784.42">5149 429 7187,'0'0'12750,"-15"-17"-11950,-48-48-301,62 63-478,-1 1 0,1-1 0,-1 1-1,0-1 1,0 1 0,0 0 0,0-1 0,1 1-1,-2 0 1,1 0 0,0 1 0,0-1-1,0 0 1,0 1 0,0-1 0,-1 1-1,1 0 1,0-1 0,0 1 0,-1 0-1,1 0 1,-3 1 0,3 0-17,0 0-1,-1 0 1,1 0-1,0 0 1,-1 1-1,1-1 1,0 1-1,0-1 1,0 1 0,1 0-1,-3 2 1,-1 3 0,0 0 0,0 0 0,1 0 0,0 0 1,1 0-1,0 1 0,0 0 0,0 0 1,1 0-1,0 0 0,1 0 0,-1 0 0,2 0 1,-1 0-1,1 1 0,0-1 0,1 0 0,3 16 1,-3-21-24,0 0 0,-1 0 0,1-1 0,1 1 0,-1 0 0,0 0 0,1-1 0,0 1 0,-1-1 0,1 1 0,0-1 0,0 0 0,0 0 0,1 1 1,-1-2-1,0 1 0,1 0 0,-1 0 0,1-1 0,0 1 0,4 1 0,1-1-225,0 1-1,0-2 1,1 1 0,-1-1 0,1 0 0,12 0-1,-19-2 225,0 1 0,0-1-1,-1 1 1,1-1 0,0 1-1,-1-1 1,1 0 0,0 0-1,-1 0 1,1 0 0,-1 0-1,1 0 1,-1 0-1,1-1 1,-1 1 0,0 0-1,0-1 1,0 1 0,0-1-1,0 1 1,0-1 0,0 0-1,0 1 1,-1-1 0,1 0-1,-1 0 1,1 0 0,-1 1-1,1-1 1,-1-2 0,2-9 60,0 0 0,-1-1 0,-1-12 0,0 23-37,1-17 124,0 14 92,-1 0 1,1 0-1,-1 0 0,0 0 1,-1 0-1,1 0 0,-1 0 1,-1 1-1,1-1 0,-1 0 1,-3-8-1,2 24 190,2 5-498,2-5 64,0 0-1,1 0 0,0-1 0,0 1 1,1 0-1,1-1 0,-1 0 0,9 13 1,-5-9-491,0 0 0,1-1 0,1 0 0,0-1 0,13 13 0,-21-22 401,0-1-1,1 1 1,-1-1-1,0 0 0,1 1 1,-1-1-1,1 0 0,0 0 1,-1 0-1,1 0 1,0 0-1,0 0 0,-1-1 1,1 1-1,0-1 0,0 1 1,0-1-1,0 0 1,0 1-1,0-1 0,0 0 1,0 0-1,0 0 1,0-1-1,-1 1 0,1 0 1,2-2-1,-1 1 105,-1-1-1,0 0 1,0 0 0,0 0-1,0 0 1,0-1-1,0 1 1,0 0 0,-1-1-1,1 0 1,-1 1-1,0-1 1,0 0 0,0 1-1,0-1 1,1-5-1,4-20 1464,4-54-1,-5 29 1868,-4 74-3202,0-1 0,2 1-1,0-1 1,2 0 0,0 0 0,1-1 0,1 1-1,11 21 1,-18-40-123,1 0-1,-1 0 1,1 0 0,-1 0-1,1 0 1,0 0 0,-1 0-1,1 0 1,0 0 0,0 0-1,0 0 1,-1-1 0,1 1-1,0 0 1,0-1 0,0 1-1,0-1 1,1 1 0,-1-1-1,1 1 1,-1-1 0,0 0 1,0 0-1,-1 0 1,1 0-1,0-1 1,0 1-1,0 0 1,0-1-1,-1 1 1,1 0-1,0-1 0,0 1 1,-1-1-1,1 1 1,0-1-1,-1 1 1,1-1-1,-1 0 1,1 1-1,0-2 1,2-3-12,0 0 1,0 0 0,0 0 0,-1 0 0,0 0-1,2-8 1,6-29 141,-2 8 280,21-55-1,-29 89-400,0 0-1,0-1 1,0 1 0,0 0-1,0-1 1,0 1 0,1 0-1,-1-1 1,0 1 0,0 0-1,0 0 1,0-1 0,0 1-1,1 0 1,-1 0 0,0-1-1,0 1 1,1 0 0,-1 0-1,0-1 1,0 1-1,1 0 1,-1 0 0,0 0-1,0 0 1,1 0 0,-1-1-1,0 1 1,1 0 0,-1 0-1,0 0 1,1 0 0,-1 0-1,0 0 1,0 0 0,1 0-1,-1 0 1,0 0 0,1 0-1,-1 0 1,0 0 0,1 1-1,11 13 225,8 36 154,-17-40-354,6 17-459,-5-14-409,1 0 1,0-1 0,11 20 0,-15-29 683,1 0-1,0-1 1,0 1 0,0-1-1,0 0 1,0 1 0,0-1-1,0 0 1,1 0 0,-1-1-1,1 1 1,0 0 0,-1-1-1,1 0 1,0 1 0,0-1-1,0 0 1,0-1 0,0 1-1,0 0 1,3-1 0,-2 1-515,0-1 1,0 0 0,-1 0-1,1 0 1,0 0-1,0-1 1,-1 1 0,1-1-1,0 0 1,-1 0-1,1-1 1,-1 1 0,1-1-1,-1 0 1,0 1-1,0-2 1,1 1 0,-1 0-1,-1 0 1,1-1-1,4-5 1,5-18-1009,-8-9 4429,-3 11 526,0 9-1361,-1 1 0,-1-1-1,0 0 1,0 1 0,-6-19-1,6 30-1747,0 0 0,0 0-1,0 0 1,0 0 0,-1 0 0,1 0 0,-1 1-1,0-1 1,0 0 0,0 1 0,0 0-1,0-1 1,-1 1 0,1 0 0,-1 0-1,1 0 1,-1 1 0,0-1 0,0 1 0,0-1-1,0 1 1,0 0 0,0 0 0,0 0-1,0 0 1,0 1 0,0-1 0,-1 1-1,1 0 1,-4 0 0,5 0-161,0 0 1,0 0-1,-1 0 0,1 0 1,0 0-1,0 1 0,0-1 0,-1 0 1,1 1-1,0 0 0,0 0 1,0 0-1,0-1 0,0 2 1,0-1-1,0 0 0,0 0 0,1 1 1,-1-1-1,0 1 0,1-1 1,-1 1-1,1 0 0,-1 0 1,1-1-1,0 1 0,0 0 1,0 0-1,0 0 0,0 0 0,0 1 1,0 2-1,-3 9-2,0 0 0,1 0 0,0 0 1,1 0-1,1 1 0,1-1 0,0 1 0,0-1 0,2 1 0,4 21 0,-5-31-119,1 0-1,0 0 0,0 0 0,0 0 0,1-1 0,0 1 0,0-1 0,0 1 0,0-1 0,1 0 0,0 0 0,0-1 1,0 1-1,0-1 0,0 0 0,1 0 0,-1 0 0,1 0 0,0-1 0,0 0 0,0 0 0,0 0 0,0-1 0,0 0 1,0 0-1,1 0 0,-1 0 0,10-1 0,-12-1 101,0 0-1,-1 0 1,1 0 0,0-1 0,-1 1 0,1-1-1,-1 1 1,1-1 0,-1 0 0,0 0 0,0 0-1,0 0 1,0 0 0,0-1 0,-1 1-1,1-1 1,0 1 0,-1-1 0,0 1 0,0-1-1,0 0 1,0 0 0,1-4 0,2-6 50,0-2 0,-1 1 0,1-21 1,-2-9 340,-2 1 0,-2-1 0,-1 1 0,-3 0 1,-2 0-1,-1 1 0,-20-53 0,21 68-16,-14-36 1361,20 89-1355,3 21-350,3-1 1,2 0 0,2 0 0,1 0-1,3-1 1,33 81 0,-40-113-20,0-2 1,1 1-1,1 0 0,0-1 0,0 0 1,11 11-1,-15-19-16,0 0 0,-1 0 0,1-1 0,0 1 0,0-1 0,1 0-1,-1 0 1,0 0 0,1 0 0,-1-1 0,1 1 0,0-1 0,-1 0 0,1 0 0,0 0 0,0-1 0,-1 1 0,1-1 0,0 0 0,0 0-1,0 0 1,0-1 0,0 1 0,-1-1 0,7-2 0,-6 2 20,-1-1-1,1-1 1,-1 1 0,1 0 0,-1-1-1,0 0 1,0 0 0,0 0-1,0 0 1,0 0 0,-1 0 0,1-1-1,-1 0 1,0 1 0,0-1-1,0 0 1,-1 0 0,2-4-1,1-5 14,0-1 0,-1 1 0,0-1 0,0-18 0,-2 20 7,2-78 279,-3 81-199,-1 0 0,0 0 0,0 0 0,-1 0 0,0 1 0,-1-1-1,-4-12 1,3 26 475,3 16-481,4 28-88,3-34 12,0-1 0,1 0 0,1 0 0,0 0 1,1-1-1,16 20 0,-12-17-4,0 2 0,18 33 0,-29-47-24,-1 0 0,1 0 0,-1 0 0,0 0 1,0 0-1,-1 0 0,1 1 0,-1-1 0,0 4 1,-1-7 4,1 0 0,0-1 0,-1 1 0,1-1 0,-1 1 1,1-1-1,-1 1 0,1-1 0,-1 0 0,1 1 0,-1-1 0,1 0 1,-1 1-1,0-1 0,1 0 0,-1 0 0,1 1 0,-1-1 1,0 0-1,1 0 0,-1 0 0,0 0 0,1 0 0,-1 0 0,0 0 1,0 0-1,-23 0-75,20 0 38,-26 1-284,16 0-722,0-1 0,-26-2 0,40 2 901,0-1 0,-1 1 0,1 0 0,-1 0 1,1 0-1,0 0 0,-1-1 0,1 1 0,-1 0 0,1 0 0,0-1 0,-1 1 0,1 0 1,0-1-1,0 1 0,-1 0 0,1-1 0,0 1 0,0 0 0,0-1 0,-1 1 0,1-1 1,0 1-1,0 0 0,0-1 0,0 1 0,0-1 0,0 1 0,0-1 0,0 1 0,0 0 1,0-1-1,0 1 0,0-1 0,0 1 0,0-1 0,0 1 0,0-1 0,0 0-612,2-14-6934</inkml:trace>
  <inkml:trace contextRef="#ctx0" brushRef="#br0" timeOffset="4990.74">6520 327 12310,'0'0'14710,"12"-32"-14710,-10 42-208,-2 10-224,0 8-1713,0 1-1264,-14-9-5924</inkml:trace>
</inkml:ink>
</file>

<file path=xl/ink/ink6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37.818"/>
    </inkml:context>
    <inkml:brush xml:id="br0">
      <inkml:brushProperty name="width" value="0.05" units="cm"/>
      <inkml:brushProperty name="height" value="0.05" units="cm"/>
      <inkml:brushProperty name="color" value="#F6630D"/>
    </inkml:brush>
  </inkml:definitions>
  <inkml:trace contextRef="#ctx0" brushRef="#br0">36 299 6563,'0'0'9562,"-6"21"-9314,-15 68 104,18-76-248,1 0-1,0 0 1,1 0 0,1 0 0,0 0-1,0 0 1,4 17 0,-4-27-92,1 0 1,0 0 0,0 0-1,0 0 1,0 0 0,0 0-1,1 0 1,0 0-1,-1-1 1,1 1 0,0 0-1,0-1 1,0 1 0,1-1-1,-1 0 1,0 0 0,1 0-1,0 0 1,-1 0 0,1-1-1,0 1 1,0-1-1,0 0 1,0 1 0,0-1-1,0-1 1,0 1 0,0 0-1,1-1 1,-1 0 0,0 1-1,0-1 1,6-1-1,-4 1-31,1 0 0,-1-1-1,1 0 1,-1 0 0,1 0-1,-1 0 1,0-1 0,0 0-1,0 0 1,0-1 0,0 1-1,0-1 1,0 0 0,-1 0-1,1-1 1,-1 1-1,0-1 1,0 0 0,3-5-1,-2 1-11,-1 0-1,0-1 1,0 1-1,-1-1 1,0 0-1,-1 0 0,3-18 1,-2-3 896,-1-33 1,-2 62-848,0 0 574,-1 4-402,-4 18-175,1 0-1,1 1 1,1 0 0,1-1 0,1 1 0,5 39 0,-4-57-10,0-1 0,0 0 0,1 1 0,-1-1 0,1 0 0,0 0 0,0 0 0,0 0 0,0 0 0,1 0 0,-1-1 0,1 1 0,0-1 0,-1 1 1,1-1-1,0 0 0,0 0 0,1-1 0,-1 1 0,0-1 0,1 1 0,-1-1 0,1 0 0,-1 0 0,7 0 0,-6 0 3,0 0 0,1-1 0,-1 0-1,1 0 1,-1 0 0,0 0 0,1-1 0,-1 1 0,0-1 0,1 0-1,-1 0 1,0-1 0,0 0 0,0 1 0,0-1 0,0 0 0,0-1-1,-1 1 1,1-1 0,5-5 0,-3 1 2,-2 0 1,1 0-1,-1 0 1,0-1-1,0 1 1,-1-1-1,0 0 1,0 0-1,-1 0 1,3-15-1,-2-4 31,-1-54 1,-2 59-8,0 13-28,-1 0 1,0 1-1,0-1 0,-1 0 1,-3-8-1,5 14 21,-1 1-1,0-1 1,0 1-1,0-1 1,0 1 0,0-1-1,-1 1 1,1 0 0,-1 0-1,0 0 1,1 0 0,-1 0-1,0 0 1,0 0 0,0 0-1,0 1 1,-1-1 0,1 1-1,0 0 1,-5-2 0,6 3-21,1-1-1,0 1 1,-1 0 0,1 0 0,-1 1 0,1-1 0,0 0 0,-1 0 0,1 0 0,0 0 0,-1 0 0,1 0-1,0 0 1,-1 1 0,1-1 0,0 0 0,-1 0 0,1 0 0,0 1 0,-1-1 0,1 0 0,0 0-1,0 1 1,-1-1 0,1 0 0,0 1 0,0-1 0,0 0 0,-1 1 0,1-1 0,0 0 0,0 1-1,0-1 1,0 0 0,0 1 0,0-1 0,0 1 0,0-1 0,0 0 0,0 1 0,-1 20-53,2-16 68,-1 0-3,0 0 0,0-1 0,1 1 0,0 0 1,0 0-1,0 0 0,0-1 0,1 1 0,0 0 0,0-1 1,0 1-1,1-1 0,-1 0 0,4 4 0,2 1 37,1 0-1,0-1 0,1 0 1,15 11-1,26 13 58,-38-26-98,0 2 0,0 0 0,-1 0 0,0 1 0,-1 1 0,0 0 0,18 21 0,-28-31-33,-1 1 0,1 0-1,0 0 1,-1 0 0,1 0-1,0-1 1,-1 1 0,1 0-1,-1 0 1,1 0 0,-1 0 0,0 0-1,0 0 1,1 0 0,-1 0-1,0 1 1,0-1 0,0 0 0,0 0-1,0 0 1,0 0 0,0 0-1,0 0 1,-1 0 0,1 0-1,0 0 1,-1 0 0,1 0 0,0 0-1,-1 0 1,1 0 0,-1 0-1,0 0 1,1 0 0,-1-1 0,0 1-1,1 0 1,-1 0 0,0-1-1,0 1 1,0 0 0,0-1 0,0 1-1,0-1 1,0 1 0,0-1-1,0 0 1,0 1 0,0-1-1,0 0 1,0 0 0,0 1 0,-1-1-1,-9 2-129,0-1 0,0 0 0,-1 0 0,-10-2-1,13 1-1,0 1-433,-33-2-135,27-6-2154,15 6 2620,-1 1 0,1-1 0,0 1 0,0-1 0,0 1 0,0-1 0,-1 0 0,1 1 0,0-1 0,0 1 0,0-1 0,0 0 1,0 1-1,1-1 0,-1 1 0,0-1 0,0 1 0,0-1 0,0 0 0,1 1 0,-1-1 0,0 1 0,0-1 0,1 1 0,-1-1 0,1 0 1,10-10-7149</inkml:trace>
  <inkml:trace contextRef="#ctx0" brushRef="#br0" timeOffset="437.17">694 395 5731,'0'0'11221,"-3"0"-10736,2 1-471,0-1 0,-1 1-1,1-1 1,0 1 0,0-1-1,0 1 1,0 0 0,0-1 0,0 1-1,0 0 1,0 0 0,1 0-1,-1 0 1,0 0 0,0 0-1,1 0 1,-1 0 0,0 0 0,1 0-1,-1 0 1,1 0 0,0 0-1,-1 0 1,1 1 0,0-1-1,0 0 1,-1 0 0,1 0 0,1 3-1,0 45 390,-1-48-396,1-1-1,-1 1 1,1 0-1,-1 0 1,1 0-1,0-1 1,0 1-1,-1 0 1,1-1-1,0 1 1,0-1-1,0 1 0,-1-1 1,1 1-1,0-1 1,0 1-1,0-1 1,0 0-1,0 0 1,0 1-1,0-1 1,0 0-1,0 0 1,0 0-1,0 0 1,0 0-1,0 0 1,0 0-1,0-1 1,0 1-1,1-1 1,1 1 9,0 0 0,0-1 1,0 1-1,0-1 0,0 0 1,-1 0-1,1 0 0,0 0 0,-1 0 1,5-3-1,-4 0 1,0-1 0,0 1 0,0 0 1,-1-1-1,1 1 0,-1-1 0,0 0 0,-1 0 0,1 1 1,-1-1-1,0 0 0,0 0 0,0-7 0,0-2 72,-1-1 0,0 1-1,-4-22 1,4 33-1,-1-1-1,0 1 1,-1-1 0,1 1-1,-1 0 1,1 0 0,-1-1 0,0 1-1,0 0 1,-1 0 0,1 1-1,0-1 1,-5-3 0,6 5-71,0 0 1,0 0-1,-1 0 0,1 0 1,0 0-1,-1 1 1,1-1-1,0 0 0,-1 1 1,1-1-1,-1 1 1,1-1-1,-1 1 0,1 0 1,-1 0-1,1 0 1,-1-1-1,1 1 0,-1 1 1,0-1-1,1 0 0,-1 0 1,1 1-1,-1-1 1,1 1-1,0-1 0,-1 1 1,1-1-1,-1 1 1,1 0-1,0 0 0,-1 0 1,1 0-1,0 0 1,-1 1-1,-3 3 4,1 1 0,0 0 0,1-1-1,-1 1 1,1 0 0,0 1 0,1-1 0,-1 0 0,1 1-1,1 0 1,-3 12 0,1 8 59,1 45 1,1-66-68,1 0-1,1 0 1,0 1 0,-1-1-1,2 0 1,-1 0 0,1 0-1,0 0 1,0 0 0,1 0-1,-1 0 1,1-1 0,1 0 0,-1 1-1,1-1 1,0 0 0,0-1-1,0 1 1,1-1 0,-1 1-1,1-2 1,0 1 0,0 0 0,1-1-1,-1 0 1,1 0 0,0-1-1,10 4 1,-4-2-71,1-1 0,0-1 0,1 0 1,23 1-1,25-5-3111,-13-5-2145</inkml:trace>
  <inkml:trace contextRef="#ctx0" brushRef="#br0" timeOffset="1789.9">1509 404 10405,'0'0'10855,"-5"9"-10302,3 3-530,0 0 0,1 1 1,1 18-1,0-18 17,0-11-38,0-1 0,0 0 0,1 0-1,-1 0 1,0 0 0,0 0 0,1 0 0,-1 0 0,1 0 0,-1 0-1,1 0 1,-1 0 0,1 0 0,-1-1 0,1 1 0,0 0 0,0 0-1,-1 0 1,1-1 0,0 1 0,0 0 0,2 0 0,0 1 8,0-1 0,0 0 1,0 0-1,0 0 0,0 0 1,0 0-1,0-1 0,4 1 1,-2-1-2,0 0 1,0 0-1,0 0 1,0 0 0,0-1-1,0 0 1,-1 0-1,1 0 1,0-1 0,0 1-1,5-4 1,-6 2-3,0-1 1,0 0 0,-1 0-1,1 0 1,-1 0-1,0-1 1,0 1-1,0-1 1,0 0-1,-1 1 1,0-1 0,0-1-1,0 1 1,-1 0-1,0 0 1,1-10-1,1-10 45,-1-1 0,-3-34 0,0 26 53,-2 11 298,4 22-395,-1 1 0,0 0 1,0-1-1,0 1 1,0 0-1,0-1 0,0 1 1,0-1-1,0 1 1,0 0-1,0-1 1,-1 1-1,1 0 0,0-1 1,0 1-1,0 0 1,0-1-1,0 1 0,-1 0 1,1-1-1,0 1 1,0 0-1,-1 0 0,1-1 1,0 1-1,0 0 1,-1 0-1,1-1 0,0 1 1,-1 0-1,1 0 1,0 0-1,-1 0 0,1-1 1,0 1-1,-1 0 1,1 0-1,0 0 0,-1 0 1,1 0-1,0 0 1,-1 0-1,1 0 1,-1 0-1,1 0 0,0 0 1,-1 0-1,1 0 1,0 0-1,-1 1 0,1-1 1,0 0-1,-1 0 1,1 0-1,0 0 0,-1 1 1,1-1-1,0 0 1,0 0-1,-1 1 0,0 1-13,-1 0 0,1 0 0,0 0 0,0 1 0,0-1 0,0 0-1,0 0 1,1 1 0,-1-1 0,1 1 0,-1-1 0,1 1-1,0 2 1,1 41 15,0-25-14,-1-13 6,1-1-1,0 1 1,0-1 0,0 1 0,1-1 0,0 0-1,1 0 1,-1 0 0,1 0 0,1 0 0,-1 0 0,9 10-1,-8-12 1,-1-1 0,1 0-1,0 0 1,0-1-1,0 1 1,1-1-1,-1 1 1,1-1-1,0-1 1,0 1 0,0-1-1,0 0 1,0 0-1,0 0 1,0-1-1,1 0 1,-1 0 0,8 1-1,-9-2-33,0 0 0,-1 0 0,1 0 0,-1 0 0,1 0 0,0-1 0,-1 1 0,1-1 0,-1 0 0,1 0 0,-1 0 0,0-1 0,0 1 0,1-1 0,4-3 0,-5 1 26,-1 1 0,1 0 1,-1-1-1,1 1 0,-1-1 1,0 0-1,-1 0 0,1 0 0,-1 0 1,1 0-1,-1 0 0,0 0 1,0-6-1,3-33 292,-2-48 0,-2 90-106,-1 26-256,1-11 94,0 0-1,0 0 1,1-1-1,1 1 1,4 17 0,-5-27-54,0 0 0,1-1 1,-1 1-1,1-1 1,0 1-1,0-1 1,0 0-1,1 0 0,-1 0 1,1 0-1,-1 0 1,1 0-1,0-1 1,0 1-1,1-1 0,-1 0 1,0 0-1,1 0 1,-1 0-1,1-1 1,0 1-1,-1-1 0,8 1 1,-8-1 0,0 0 1,0 0-1,0-1 0,0 1 1,0-1-1,1 0 0,-1 0 1,0 0-1,0 0 1,0-1-1,0 1 0,1-1 1,-1 0-1,0 0 0,0 0 1,0 0-1,0 0 1,-1-1-1,1 1 0,0-1 1,4-4-1,-4 2 33,1 0-1,-2 0 0,1 0 1,0-1-1,-1 1 1,0-1-1,0 0 1,0 1-1,-1-1 0,1 0 1,-1 0-1,1-11 1,1-6 171,-1 0 0,-1 0 0,-1 0 0,-3-35 0,-1 48 469,2 18-575,1 16-166,1-13 98,0 0 1,1-1-1,0 1 1,1 0-1,1-1 0,0 0 1,7 20-1,-8-28-47,0 1 1,0 0-1,0-1 0,0 0 0,0 1 0,1-1 0,-1 0 1,1 0-1,0 0 0,0-1 0,0 1 0,0-1 0,1 1 1,-1-1-1,1 0 0,-1 0 0,1-1 0,0 1 0,0-1 0,0 0 1,0 0-1,0 0 0,0 0 0,0-1 0,7 0 0,-10 0 46,1 0-1,-1 0 1,1 0-1,-1 0 0,1-1 1,-1 1-1,1-1 0,-1 1 1,1-1-1,-1 1 0,0-1 1,1 0-1,-1 0 0,0 0 1,0 0-1,0 0 1,1 0-1,-1 0 0,2-2 1,-1 0 8,0-1-1,0 1 1,-1-1 0,1 1 0,-1-1 0,0 1 0,2-8 0,0-5 91,-2 0 1,1-31 0,-2 40-52,0-38 1020,0 33-351,0 33-697,-2 18 7,0 28 3,2-61-22,1 0 1,-1-1-1,1 1 1,0 0-1,1-1 1,-1 0-1,1 1 1,4 7-1,-5-11-17,0 0 0,0 1 0,1-1 0,-1-1-1,1 1 1,-1 0 0,1 0 0,0 0 0,0-1 0,0 1 0,0-1 0,0 0 0,0 0-1,0 1 1,1-1 0,-1 0 0,0-1 0,0 1 0,1 0 0,-1-1 0,1 1 0,-1-1-1,1 0 1,-1 0 0,1 0 0,-1 0 0,0 0 0,1 0 0,-1-1 0,1 1-1,3-2 1,-1 0-7,-1 0 0,1 0 0,0-1-1,-1 1 1,1-1 0,-1 0 0,0 0-1,0 0 1,0-1 0,0 1 0,-1-1 0,0 0-1,6-7 1,-3 0 8,-1-1 1,0 1-1,0-1 0,-1 0 0,-1 0 1,0 0-1,3-24 0,-3-4 100,-3-45 0,-1 37 111,2 38-92,-1 1-1,-1-1 1,0 0 0,0 1 0,-1-1-1,0 0 1,0 1 0,-1 0 0,-1 0 0,-8-17-1,12 26-101,0-1 0,0 1-1,0 0 1,0 0-1,0 0 1,0 0-1,0 0 1,0-1 0,0 1-1,0 0 1,0 0-1,-1 0 1,1 0 0,0 0-1,0-1 1,0 1-1,0 0 1,0 0 0,0 0-1,0 0 1,-1 0-1,1 0 1,0 0 0,0-1-1,0 1 1,0 0-1,0 0 1,-1 0-1,1 0 1,0 0 0,0 0-1,0 0 1,0 0-1,-1 0 1,1 0 0,0 0-1,0 0 1,0 0-1,0 0 1,-1 0 0,1 0-1,0 0 1,0 0-1,0 0 1,0 0 0,0 0-1,-1 0 1,1 1-1,0-1 1,0 0 0,0 0-1,-3 12 129,2 23 34,1-30-158,1 26-105,2 0 0,2 0 0,0 0 1,2 0-1,2-1 0,0 0 0,2-1 0,1 0 0,2-1 1,1 0-1,19 28 0,-65-86-13695,12 8 7641</inkml:trace>
  <inkml:trace contextRef="#ctx0" brushRef="#br0" timeOffset="2352.87">2340 290 416,'0'0'14404,"-6"-10"-13577,-17-29-592,24 35-125,8 5-49,14 7-16,-17-6-32,4 1-3,-1-1 0,1 0-1,0 0 1,0-1 0,-1 0 0,1-1-1,14-1 1,-20 0-1,0 1 1,0-1-1,-1 0 1,1 0-1,0-1 1,-1 1-1,1-1 1,-1 0-1,1 0 0,-1 0 1,0 0-1,1-1 1,-1 1-1,-1-1 1,1 0-1,0 1 1,-1-1-1,1-1 0,-1 1 1,0 0-1,2-4 1,1-4 10,0 0 0,-1 0 0,-1-1 1,0 1-1,0-1 0,1-16 0,-1-71 3110,-8 87-1570,5 12-1544,0 0 1,-1 0 0,1-1-1,0 1 1,-1 0-1,1 0 1,0 0-1,0 0 1,-1 0-1,1 0 1,0 0-1,-1 0 1,1 0 0,0 0-1,0 0 1,-1 0-1,1 0 1,0 1-1,-1-1 1,1 0-1,0 0 1,0 0-1,-1 0 1,1 0-1,0 1 1,0-1 0,-1 0-1,1 0 1,0 0-1,0 1 1,0-1-1,0 0 1,-1 0-1,1 1 1,0-1-1,0 0 1,0 0-1,0 1 1,0-1 0,0 0-1,-1 0 1,1 1-1,0-1 1,0 0-1,0 1 1,-3 10 45,1-1 0,-1 1 0,2-1 0,0 1 0,0 0 0,1 20 0,1-12 38,1-1 1,1 1-1,5 22 0,7 7-3,1-1 0,37 72 0,-53-118-95,1 0 0,-1 1 0,1-1 0,-1 0 0,1 0 0,0 0 0,0 0 0,0 0 0,0 0 0,0 0 0,0 0 0,0 0 0,0 0 0,2 1 0,-3-2 0,0 0 0,1 0 0,-1 0 0,0-1 1,1 1-1,-1 0 0,0 0 0,1 0 0,-1 0 0,0 0 0,1-1 0,-1 1 1,0 0-1,1 0 0,-1-1 0,0 1 0,0 0 0,1 0 0,-1-1 0,0 1 1,0 0-1,0-1 0,0 1 0,1 0 0,-1-1 0,0 1 0,0 0 0,0-1 0,0 1 1,0 0-1,0-1 0,0 0 0,5-44 130,-5 37-124,3-68 26,6-71 860,-9 146-858,0-1 1,0 1-1,0 0 1,0 0-1,0 0 0,0-1 1,0 1-1,1 0 0,-1 0 1,0 0-1,1 0 1,-1-1-1,1 1 0,-1 0 1,1 0-1,0 0 0,-1 0 1,1 0-1,0 0 1,0 1-1,0-1 0,1-1 1,-1 2-28,0 0 0,0 0 0,-1 1 0,1-1 0,0 0 0,0 1 0,0-1 0,0 1 0,-1-1 0,1 1 0,0-1 0,0 1 1,-1-1-1,1 1 0,0 0 0,-1-1 0,1 1 0,-1 0 0,1 0 0,-1-1 0,1 2 0,26 52-156,-8-2-252,-2 0 1,18 98-1,-34-145-114,2 19-296,-5-11-4717</inkml:trace>
  <inkml:trace contextRef="#ctx0" brushRef="#br0" timeOffset="2526.8">1981 32 5218,'0'0'5907</inkml:trace>
</inkml:ink>
</file>

<file path=xl/ink/ink6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6:56.894"/>
    </inkml:context>
    <inkml:brush xml:id="br0">
      <inkml:brushProperty name="width" value="0.05" units="cm"/>
      <inkml:brushProperty name="height" value="0.05" units="cm"/>
      <inkml:brushProperty name="color" value="#F6630D"/>
    </inkml:brush>
  </inkml:definitions>
  <inkml:trace contextRef="#ctx0" brushRef="#br0">381 475 2305,'0'0'11939,"-2"-6"-10530,-10-20 7420,11 26-8723,-3 11 999,-1 13-1933,0 19 857,1 0 0,5 77 0,1-39 113,-2 210 1016,2-367-602,0 42-556,-2-1 0,0 1-1,-3 0 1,-11-60 0,2 49 18,2 0 0,2 0 0,2-1 1,0-61-1,6 104-42,0 1 1,0-1 0,0 1 0,0-1 0,1 1 0,-1 0-1,1-1 1,-1 1 0,1 0 0,0-1 0,0 1-1,0 0 1,2-3 0,-2 3 0,1 1-1,-1 0 1,1 0 0,-1 0-1,1 0 1,0 0 0,-1 0-1,1 1 1,0-1 0,0 0-1,0 1 1,-1 0-1,1-1 1,0 1 0,0 0-1,0 0 1,0 0 0,2 0-1,1 0 17,-1 0 0,1 0 0,-1 1-1,1-1 1,-1 1 0,0 0 0,1 0-1,-1 1 1,0-1 0,0 1 0,0 0 0,0 0-1,0 0 1,0 1 0,-1-1 0,1 1-1,-1 0 1,0 0 0,1 0 0,-1 1 0,-1-1-1,1 1 1,3 6 0,8 10 20,-1 1 0,-1 1 0,-2 0-1,0 1 1,-1 0 0,-1 1 0,7 33 0,-7-11-77,-1 1 1,1 91-1,-8-135 45,0 0-1,0 0 1,0 0 0,-1 0 0,1 0 0,-1 0-1,0 0 1,1 1 0,-1-2 0,-1 1 0,1 0-1,-2 4 1,1-6-13,1 1-1,-1-1 0,1 0 0,-1 1 1,0-1-1,1 0 0,-1 0 0,0 0 1,0 0-1,0 0 0,0-1 0,0 1 1,0 0-1,0-1 0,0 0 0,0 1 1,0-1-1,0 0 0,-3 0 0,-102-4-1307,66 2-2379,-1 1-6562</inkml:trace>
  <inkml:trace contextRef="#ctx0" brushRef="#br0" timeOffset="358.1">746 739 9188,'0'0'12091,"2"17"-10469,-2-6-1506,0 1-1,0-1 1,1 0 0,1 0-1,0 0 1,0 0 0,1 0-1,0 0 1,1 0 0,1-1-1,-1 0 1,2 0 0,-1 0-1,1-1 1,1 1 0,10 11-1,-15-19-479,0 1 1108,-13-26-18372</inkml:trace>
  <inkml:trace contextRef="#ctx0" brushRef="#br0" timeOffset="513.51">682 564 7860,'0'0'6691</inkml:trace>
  <inkml:trace contextRef="#ctx0" brushRef="#br0" timeOffset="3488.09">825 893 7075,'0'0'10845,"-6"9"-10821,5-7-22,1-1-1,0 1 1,0 0 0,-1 0-1,1 0 1,0 0 0,1 0-1,-1 0 1,0-1-1,0 1 1,1 0 0,-1 0-1,1 0 1,0-1 0,-1 1-1,1 0 1,0 0-1,0-1 1,0 1 0,0-1-1,1 1 1,-1-1 0,0 0-1,0 1 1,1-1-1,-1 0 1,1 0 0,-1 0-1,1 0 1,0 0 0,-1 0-1,1 0 1,0 0-1,0-1 1,0 1 0,2 0-1,1 1 7,1-1 0,1 1-1,-1-1 1,0 0-1,0 0 1,0 0 0,1-1-1,-1 0 1,0 0 0,7-2-1,-10 1 3,-1 0 0,0-1 0,1 1 0,-1-1 0,0 1 0,0-1 0,0 0 0,0 0 0,0 0 0,0 0-1,-1 0 1,1 0 0,-1 0 0,1-1 0,-1 1 0,0 0 0,0-1 0,0 1 0,0-1 0,0 0 0,0-3 0,3-11 35,-1 1 1,1-20 0,-3 30-26,2-16 236,-1 1 0,-1-1-1,-1 0 1,-1 0 0,-4-23-1,5 44-225,-1 0-1,1-1 1,0 1-1,0 0 1,0 0-1,-1 0 0,1 0 1,-1 0-1,1 0 1,0 0-1,-1 1 0,0-1 1,1 0-1,-1 0 1,1 0-1,-1 0 1,0 1-1,0-1 0,0 0 1,1 0-1,-1 1 1,0-1-1,0 1 0,0-1 1,0 1-1,0-1 1,0 1-1,0 0 1,0-1-1,0 1 0,-2 0 1,2 0-32,0 1 0,0-1 0,0 1 0,0-1 0,0 1 0,0-1 0,0 1 0,0 0 0,0-1 0,0 1 0,0 0 0,0 0 0,1 0 0,-1 0 0,0 0 0,1 0 0,-1 0 1,1 0-1,-1 0 0,1 0 0,-1 0 0,1 0 0,0 0 0,-1 1 0,1-1 0,0 2 0,-1 2-27,0 1 1,0-1-1,1 1 0,0-1 1,0 1-1,1-1 0,-1 1 1,1-1-1,0 1 0,0-1 1,1 0-1,0 1 0,0-1 1,0 0-1,1 0 0,-1 0 1,1-1-1,4 6 0,-2-5-142,0 0 0,1 0 0,-1 0 0,1-1 0,0 0 0,0 0 0,0-1 0,1 1-1,-1-1 1,1-1 0,0 1 0,0-1 0,13 2 0,-15-3 74,-1 0 0,1 0 0,0 0 0,0-1 0,0 0 0,0 0 0,0 0 0,0-1 0,0 0 0,0 0 0,6-2 0,-9 2 116,0 0-1,0 0 1,0-1-1,0 1 0,0-1 1,0 0-1,0 1 0,-1-1 1,1 0-1,-1 0 0,1 0 1,-1 0-1,0 0 1,0 0-1,0-1 0,0 1 1,0 0-1,0-1 0,-1 1 1,1 0-1,-1-1 0,1 1 1,-1-1-1,0-2 1,0-2 252,2-4 428,-1 0 0,-1 0 0,0 0 0,0 0 0,-3-14 1,0 52-362,2-5-345,2 0-1,1 0 1,0 0-1,10 34 0,-11-50-96,1-1-1,-1 0 1,1 1-1,1-1 1,-1 0 0,1 0-1,0 0 1,0-1-1,0 1 1,0-1-1,1 1 1,0-1-1,0 0 1,0-1-1,1 1 1,-1-1-1,1 1 1,0-1 0,-1-1-1,1 1 1,1-1-1,-1 0 1,11 3-1,-12-4 23,0 0 0,0 0 0,0-1 0,1 0 0,-1 0 0,0 0 0,0 0 0,1-1-1,6-1 1,-9 1 87,0 0 0,0 1-1,0-2 1,0 1 0,0 0-1,-1 0 1,1-1 0,0 1-1,-1-1 1,1 1 0,-1-1-1,1 1 1,-1-1 0,0 0-1,0 0 1,0 0 0,0 0-1,0 0 1,0 0 0,0-3-1,3-11 199,-1 0 0,0 0 0,-2 0-1,0 0 1,-1-1 0,-3-29 0,3 45-173,0-1 56,0 0 0,0-1-1,0 1 1,-1 0-1,1-1 1,-1 1 0,0 0-1,1 0 1,-1 0 0,0 0-1,0 0 1,0 0-1,-1 0 1,1 0 0,-3-3-1,3 5-94,1 0-1,-1 0 0,1 0 1,0 1-1,-1-1 1,1 0-1,-1 0 0,1 1 1,0-1-1,-1 0 1,1 0-1,0 1 0,-1-1 1,1 0-1,0 1 1,0-1-1,-1 1 1,1-1-1,0 0 0,0 1 1,0-1-1,-1 1 1,1-1-1,0 1 0,0-1 1,0 0-1,0 1 1,0-1-1,0 1 0,0-1 1,0 1-1,0-1 1,0 1-1,0-1 0,0 0 1,1 2-1,-2 23-56,1-22 15,0-1-30,0 0-1,0 0 1,0 0-1,0 0 1,1 0-1,-1 0 1,0 0-1,1 0 1,-1 0-1,1 0 1,0 0-1,0 0 1,0-1-1,0 1 1,0 0-1,0 0 1,0-1 0,1 1-1,-1-1 1,0 1-1,1-1 1,-1 0-1,1 0 1,0 0-1,-1 1 1,4 0-1,1 0-228,0 0-1,0-1 0,0 0 1,1 0-1,-1 0 0,0-1 1,9 0-1,-14 0 310,0 0 0,1-1 0,-1 1 1,0-1-1,1 1 0,-1-1 0,0 1 0,1-1 0,-1 0 0,0 0 0,0 0 0,0 0 0,0 0 0,0 0 0,0 0 0,0 0 1,0 0-1,0 0 0,-1 0 0,1-1 0,0 1 0,-1 0 0,1 0 0,-1-1 0,1 1 0,-1-1 0,1 1 0,-1 0 0,0-1 1,0 1-1,0-3 0,2-56 357,-3 45 19,1 13-277,0-1-1,-1 1 1,1-1 0,-1 1-1,1-1 1,-1 1 0,0-1-1,0 1 1,0 0 0,0-1-1,0 1 1,-1 0-1,1 0 1,-1 0 0,1 0-1,-1 0 1,0 0 0,0 1-1,0-1 1,0 0 0,0 1-1,0 0 1,0-1 0,0 1-1,-3-1 1,3 1-78,0 0 1,0 1-1,0-1 0,0 1 0,0-1 0,0 1 1,-1 0-1,1 0 0,0 0 0,0 0 0,0 0 1,0 0-1,0 1 0,0-1 0,0 0 0,0 1 1,0 0-1,0 0 0,0-1 0,0 1 0,0 0 1,0 1-1,0-1 0,1 0 0,-1 0 0,0 1 1,1-1-1,-1 1 0,-1 3 0,-1 0-28,0 1-1,1 0 0,0-1 1,0 1-1,1 1 0,-1-1 1,1 0-1,1 1 1,-1-1-1,1 1 0,0-1 1,1 1-1,-1-1 0,1 1 1,1 0-1,-1-1 0,1 1 1,0-1-1,1 1 1,-1-1-1,1 1 0,1-1 1,-1 0-1,1 0 0,0 0 1,0 0-1,1-1 1,0 1-1,0-1 0,0 0 1,1 0-1,-1 0 0,1-1 1,0 0-1,1 0 0,-1 0 1,7 3-1,-5-3-22,0-1-1,0 0 1,1-1 0,-1 0-1,1 0 1,-1-1 0,1 1-1,0-2 1,-1 1 0,1-1-1,9-1 1,-12 0 10,0 1 0,0-1 0,0-1 0,-1 1 0,1-1 1,0 0-1,-1 0 0,1 0 0,-1 0 0,0-1 0,1 0 0,-1 0 0,-1 0 0,1 0 0,0-1 1,-1 1-1,6-8 0,0-3 234,-1 1 1,0-1-1,-1 0 1,-1-1-1,0 0 0,-1 0 1,0 0-1,-1 0 1,-1-1-1,-1 0 1,1-27-1,-3 43 48,12 15-965,-11-13 606,0 0-1,1 0 1,-1 0 0,0 0-1,1 0 1,-1-1-1,1 1 1,0 0 0,0-1-1,0 1 1,-1-1 0,1 0-1,0 1 1,1-1-1,-1 0 1,0 0 0,0-1-1,0 1 1,1 0 0,-1-1-1,0 1 1,1-1-1,2 0 1,-4-4 124,0 0-1,0 0 1,-1-1-1,0 1 1,0 0 0,0-6-1,-1 6 7,1 2-16,0 0 1,0 0 0,-1 0-1,1 1 1,-1-1 0,1 0 0,-1 1-1,0-1 1,0 0 0,0 1-1,0-1 1,0 1 0,0-1-1,0 1 1,0-1 0,-1 1-1,1 0 1,0 0 0,-1-1-1,1 1 1,-1 0 0,0 0-1,1 1 1,-1-1 0,0 0-1,1 1 1,-1-1 0,0 1-1,0-1 1,-2 0 0,1 1-12,1 0 1,0-1 0,-1 1-1,1 0 1,0 0-1,-1 0 1,1 0-1,0 0 1,-1 1 0,1-1-1,0 1 1,-1 0-1,1-1 1,0 1-1,0 0 1,0 0 0,0 0-1,0 1 1,0-1-1,0 0 1,0 1-1,0 0 1,1-1 0,-3 3-1,1 2-16,0 0 0,0 1 1,0-1-1,1 1 0,0 0 0,0 0 0,0-1 1,1 1-1,0 0 0,1 1 0,0-1 1,0 0-1,1 9 0,-1-10-4,1-1-1,0 0 1,0 0 0,0 0 0,1 0 0,-1 0-1,1 0 1,1 0 0,-1-1 0,1 1 0,-1-1-1,1 1 1,0-1 0,1 0 0,-1 0 0,1 0-1,0-1 1,6 5 0,-4-4-25,0-1 1,1 0 0,0-1-1,-1 1 1,1-1-1,0-1 1,0 1 0,9 0-1,-13-2 33,1 1-1,-1-1 0,1 0 1,-1 0-1,0-1 0,1 1 1,-1-1-1,0 1 1,0-1-1,1 0 0,-1 0 1,0-1-1,0 1 1,0 0-1,0-1 0,0 0 1,0 0-1,-1 0 1,4-3-1,1-4 25,0-1 0,-1 0 1,0 0-1,0 0 0,-1-1 0,6-19 0,16-75 178,-19 73-115,-3 4-18,0-1-1,-1 1 1,-2-1 0,-1 0 0,-5-44 0,4 67-1,-1-1 0,-1 1 0,1 0 0,-1 0 0,0 0 0,0 0 0,-6-10-1,6 14-22,1 0 0,0 0 0,-1 0-1,1 0 1,-1 0 0,0 0-1,0 0 1,1 1 0,-1-1 0,0 1-1,0-1 1,-1 1 0,1 0 0,0 0-1,0 0 1,-1 0 0,1 0-1,0 0 1,-1 1 0,1-1 0,-1 1-1,-2-1 1,4 1-35,0 1 1,0-1-1,0 0 1,0 0-1,0 1 1,0-1-1,0 0 1,1 1-1,-1-1 1,0 1-1,0-1 1,0 1-1,1 0 0,-1-1 1,0 1-1,1 0 1,-1-1-1,0 1 1,1 0-1,-1 0 1,1 0-1,0-1 1,-1 1-1,1 0 1,-1 0-1,1 0 1,0 0-1,0 0 0,0 0 1,-1 1-1,-2 34-45,3-31 41,-1 12 3,1-1 1,0 1-1,2-1 0,0 0 1,0 0-1,2 0 0,8 27 1,8 6 166,29 51 1,-42-87-258,1 0-1,0 0 1,1-1-1,0 0 1,1 0 0,1-1-1,0-1 1,20 16-1,-28-24-40,-1 0 0,0 0-1,1-1 1,-1 0 0,1 1-1,0-1 1,-1 0 0,1 0-1,0 0 1,0-1 0,-1 1-1,1-1 1,0 1 0,0-1-1,0 0 1,0 0-1,0 0 1,0-1 0,-1 1-1,1-1 1,3 0 0,-3-1 103,0 0 1,-1 1 0,1-2 0,0 1-1,-1 0 1,0 0 0,1-1 0,-1 1-1,0-1 1,0 0 0,-1 0 0,1 1 0,0-1-1,-1 0 1,0-1 0,0 1 0,1-4-1,5-19 470,-2 0-1,-1 0 1,-1 0-1,-1-1 1,-3-36-1,1 35 511,-5 12-1,0 13-580,0 12-439,2 6 52,0 0 1,2-1 0,0 1 0,0 0 0,1 0-1,1 0 1,1 0 0,0-1 0,0 1 0,2-1 0,0 1-1,0-1 1,2 0 0,0-1 0,0 1 0,15 21-1,-19-31-82,1-1-1,0 0 1,0 1-1,0-1 1,0-1-1,1 1 1,-1 0-1,1-1 1,0 0-1,0 0 1,-1 0-1,1 0 1,1 0-1,-1-1 1,0 0-1,7 1 1,-8-1 90,-1-1 0,1 0 0,-1 0 0,1 0 0,-1 0 0,1 0 1,-1-1-1,1 1 0,-1-1 0,1 0 0,-1 1 0,0-1 0,1 0 0,-1 0 0,0-1 1,0 1-1,0 0 0,0-1 0,0 0 0,0 1 0,0-1 0,0 0 0,-1 0 0,1 0 0,0 0 1,-1 0-1,0 0 0,3-5 0,6-20 129,-2-1 0,0 1 0,-2-2 0,5-43 0,9-42 1466,-20 113-1561,0 0 0,0 0 0,0 0 1,0 0-1,0 0 0,1 1 1,-1-1-1,0 0 0,1 0 1,-1 0-1,1 0 0,-1 0 0,1 1 1,-1-1-1,1 0 0,0 0 1,-1 1-1,1-1 0,0 0 0,0 1 1,-1-1-1,1 1 0,2-2 1,-2 2-28,-1 1-1,1-1 1,0 0 0,0 0 0,0 1 0,0-1 0,0 0 0,0 1 0,-1-1-1,1 1 1,0-1 0,0 1 0,-1-1 0,1 1 0,0-1 0,0 1 0,-1 0 0,1 0-1,0 1 1,6 7-64,-1 0 0,-1 1-1,5 10 1,-7-15 172,-2-3-140,2 7-138,1-1-1,1 0 1,-1 0-1,1-1 0,0 0 1,1 1-1,0-2 1,0 1-1,9 7 1,-15-14 149,1 1 0,-1-1 0,0 0-1,1 1 1,-1-1 0,0 0 0,1 0 0,-1 1 0,1-1 0,-1 0 0,1 0 0,-1 0 0,0 0 0,1 0 0,-1 1 0,1-1 0,-1 0 0,1 0 0,-1 0 0,1 0-1,-1 0 1,0-1 0,1 1 0,-1 0 0,1 0 0,-1 0 0,1 0 0,-1 0 0,1-1 0,-1 1 0,0 0 0,1 0 0,-1-1 0,0 1 0,1 0 0,-1 0-1,1-1 1,5-21-122,-8-27 212,1 46-43,1 0 1,-1-1-1,0 1 1,0 0-1,0 0 1,0 0-1,-1 0 1,1 0-1,-1 0 1,0 0 0,0 0-1,0 0 1,0 1-1,0-1 1,-1 1-1,1 0 1,-1-1-1,-5-2 1,3 2 17,1 1 0,-1 0 0,0 0 0,0 0 0,0 1 0,0 0 1,0 0-1,0 0 0,0 0 0,0 1 0,-8 0 0,11 0-44,0 1 1,0-1-1,0 0 0,0 1 0,0-1 1,0 1-1,1 0 0,-1-1 0,0 1 0,0 0 1,1 0-1,-1 0 0,1 0 0,-1 0 1,1 1-1,-1-1 0,1 0 0,-3 4 1,2-1-4,-1 0-1,1 0 1,0 0 0,0 0 0,1 1 0,-1-1 0,-1 8 0,0 7-14,1-1 1,0 38-1,2-50 16,0 1-9,0-1-1,0 1 0,1-1 1,0 1-1,0-1 1,0 1-1,1-1 0,0 0 1,0 0-1,6 12 1,-5-15-1,-1 0 1,0-1 0,1 1 0,0 0 0,0-1-1,0 1 1,0-1 0,0 0 0,0 0 0,0 0-1,1-1 1,-1 1 0,1-1 0,-1 1 0,1-1-1,-1 0 1,1-1 0,0 1 0,0-1 0,4 1-1,-3-1 11,0 1-1,0-1 0,-1 0 1,1 0-1,0-1 0,0 1 1,0-1-1,-1 0 0,1 0 1,-1-1-1,1 0 1,-1 1-1,8-5 0,-9 3 12,0 0 1,0 0-1,0 0 0,0-1 0,0 1 0,-1-1 1,0 1-1,1-1 0,-1 0 0,-1 0 0,1 0 1,0 0-1,-1 0 0,0 0 0,1-8 0,2-12 145,0-1 0,-2-1 0,-1 1 0,-3-35 0,-5 30 46,7 29-192,0-1 0,-1 1 0,1 0 1,-1 0-1,1 0 0,0 0 0,-1 0 0,0 0 0,1 0 0,-1 0 0,0 0 0,1 0 0,-1 1 0,0-1 1,0 0-1,0 0 0,0 1 0,0-1 0,0 0 0,0 1 0,0-1 0,0 1 0,-2-1 0,2 28-165,1-15 58,1 0 1,0 0-1,1 0 1,1-1 0,0 1-1,0-1 1,1 1-1,1-1 1,0-1-1,0 1 1,1 0 0,0-1-1,1 0 1,0-1-1,1 0 1,12 12 0,-19-20 71,0 0 1,0 0 0,0 0 0,0 0 0,1 0 0,-1 0-1,0 0 1,1-1 0,-1 1 0,1 0 0,-1-1 0,0 1 0,1-1-1,-1 0 1,1 1 0,-1-1 0,1 0 0,-1 0 0,1 0 0,0 0-1,-1 0 1,1 0 0,-1-1 0,1 1 0,-1 0 0,1-1 0,-1 1-1,0-1 1,1 0 0,-1 1 0,0-1 0,1 0 0,-1 0 0,0 0-1,0 0 1,1 0 0,-1 0 0,0 0 0,1-3 0,5-4 92,-1-1 0,0 0 1,0-1-1,6-15 0,-6 12-151,3-8 573,0 1 0,-1-1 0,6-28-1,-14 49-436,0-1 0,0 0 0,0 1-1,0-1 1,0 1 0,0-1-1,1 0 1,-1 1 0,0-1 0,0 1-1,1-1 1,-1 1 0,0-1 0,1 1-1,-1-1 1,0 1 0,1-1-1,-1 1 1,1-1 0,-1 1 0,1 0-1,-1-1 1,1 0 0,8 10 185,5 31-713,-11-31 655,9 24-215,-7-14-99,1-1 0,1 0 0,1-1 0,1 1-1,0-1 1,20 27 0,-29-43 109,1 0 1,0 0-1,0 0 0,0 0 1,-1-1-1,1 1 0,0 0 1,0 0-1,0 0 0,1-1 1,-1 1-1,0-1 0,0 1 1,0-1-1,0 1 0,1-1 1,-1 1-1,0-1 0,0 0 1,0 0-1,1 0 1,-1 0-1,0 0 0,1 0 1,-1 0-1,0 0 0,0 0 1,1 0-1,-1-1 0,0 1 1,0-1-1,0 1 0,0-1 1,1 1-1,-1-1 0,0 0 1,0 1-1,0-1 0,0 0 1,0 0-1,0 0 0,-1 0 1,1 0-1,0 0 0,0 0 1,-1 0-1,1 0 1,0-2-1,5-6 84,-1 0 1,-1-1 0,0 1-1,4-15 1,-7 22-77,8-26 207,8-25 1177,34-74-1,-47 149-1431,28 137 116,-10-67-3295,-21-80-236</inkml:trace>
  <inkml:trace contextRef="#ctx0" brushRef="#br0" timeOffset="3690.1">2424 234 3986,'0'0'3265</inkml:trace>
  <inkml:trace contextRef="#ctx0" brushRef="#br0" timeOffset="3923.67">1427 654 6163,'0'0'7907,"100"-17"-7698,-40 2-209,13-6-1265,14-5-3009,13-2-3410</inkml:trace>
  <inkml:trace contextRef="#ctx0" brushRef="#br0" timeOffset="5806.04">3758 424 64,'0'0'14305,"-17"-14"-13038,-3-6-833,9 9-71,-1 0 0,0 1 0,0 0 0,-24-13 1,31 20-162,-1 0 1,1 0-1,-1 0 1,0 1-1,-7-3 1,11 5-178,1-1 0,-1 1 1,1 0-1,0 0 0,-1-1 1,1 1-1,-1 0 0,1 0 0,-1 1 1,1-1-1,-1 0 0,1 0 1,0 1-1,-1-1 0,1 0 1,0 1-1,-1 0 0,1-1 0,0 1 1,-1 0-1,1 0 0,0-1 1,0 1-1,0 0 0,0 0 1,0 0-1,0 0 0,0 1 0,-1 0 1,-1 6-34,-1-1 1,1 0-1,1 1 1,-1 0-1,2 0 1,-1 0-1,-1 13 1,1 62-77,2-61 76,0-8-11,1 0 1,1 0 0,0 1-1,0-1 1,1-1 0,1 1-1,1 0 1,0-1 0,0 0-1,1 0 1,1 0 0,13 18-1,-14-23 18,1 0-1,-1-1 1,1 0-1,1 0 1,-1-1-1,1 1 1,1-2-1,-1 1 1,1-1-1,-1-1 1,1 0-1,1 0 1,-1 0-1,1-1 1,-1-1-1,1 1 1,0-2-1,17 2 1,-19-3 59,1 1-1,-1-2 1,1 1 0,-1-1-1,0 0 1,1-1 0,-1 0-1,0 0 1,12-6 0,-14 5-23,0-1 1,0 1 0,-1-2-1,1 1 1,-1 0 0,0-1-1,-1 0 1,1 0 0,-1-1-1,0 1 1,0-1 0,4-8-1,2-8 119,-1 0-1,0 0 0,-2-1 0,7-35 0,-6 25 39,-8 32-199,0 0 1,0 1-1,0-1 0,0 0 1,0 1-1,0-1 1,1 0-1,-1 1 0,0-1 1,0 0-1,0 1 0,1-1 1,-1 1-1,0-1 0,1 0 1,-1 1-1,0-1 0,1 1 1,-1-1-1,1 1 0,-1-1 1,1 1-1,-1 0 0,1-1 1,-1 1-1,1 0 0,-1-1 1,1 1-1,0 0 0,-1-1 1,1 1-1,-1 0 0,1 0 1,0 0-1,-1 0 0,1 0 1,0 0-1,-1 0 0,1 0 1,0 0-1,-1 0 0,1 0 1,0 0-1,-1 0 0,1 0 1,-1 0-1,1 1 0,0-1 1,-1 0-1,1 1 0,-1-1 1,1 0-1,-1 1 0,1-1 1,-1 0-1,1 1 0,-1-1 1,1 2-1,31 35-446,-25-27 440,3 3-203,-8-8-32,1-1 1,-1-1 0,1 1-1,0 0 1,0-1 0,1 1 0,-1-1-1,1 0 1,4 3 0,-6-5-111,-2-3 390,0 0-1,0 0 0,0 0 1,0 0-1,0 1 0,0-1 0,-1 0 1,1 0-1,-1 0 0,0 1 1,1-1-1,-1 0 0,0 1 1,-1-3-1,0 1-4,-1 0 0,0 0 0,0 0 1,0 0-1,0 0 0,0 0 0,-1 1 0,1 0 0,-1 0 0,1 0 1,-1 0-1,0 0 0,-6-1 0,1 0 18,0 1-1,-1 1 1,1-1-1,-19 1 1,26 1-40,0 0-1,0 1 1,0-1 0,0 0-1,0 1 1,0-1 0,1 1 0,-1-1-1,0 1 1,0 0 0,0 0-1,1 0 1,-1 0 0,1 0 0,-1 0-1,1 1 1,-1-1 0,-1 3 0,0-1-5,1 1 0,-1 0 0,1 0 0,0 0 0,0 0 0,0 0 0,-1 8 0,-1 3-25,2 0 1,0 1-1,0 27 1,2-37 7,0 1 1,1-1-1,-1 1 1,1-1 0,1 0-1,-1 1 1,1-1-1,0 0 1,0 0-1,1 0 1,4 6-1,-4-7-17,0-2-1,0 1 0,0 0 1,1-1-1,0 1 0,0-1 1,0 0-1,0 0 0,0 0 1,0-1-1,1 0 0,-1 0 1,1 0-1,0 0 0,5 1 1,-5-1-22,1-1 1,-1 0-1,0 0 1,0 0 0,0-1-1,1 0 1,-1 0-1,0 0 1,1-1 0,-1 1-1,0-1 1,8-3 0,-10 3 62,0-1 1,0 1 0,-1-1 0,1 0-1,-1 0 1,1 0 0,-1 0 0,0 0-1,0 0 1,0-1 0,0 1-1,0-1 1,0 1 0,-1-1 0,1 0-1,-1 0 1,0 0 0,0 0 0,0 0-1,0 0 1,1-6 0,1-15 174,-1-1 0,-1-37 0,-1 37 216,-4 11-99,-3 14-310,6 1 6,-1 1-1,1-1 1,0 0 0,0 1 0,0-1 0,0 0 0,0 1 0,0-1 0,0 1 0,0 0 0,1-1 0,-2 3 0,1 2-59,0 1 0,0-1 0,0 0 0,0 1 0,1-1 0,0 0 0,1 1 0,-1-1 0,1 1 1,1-1-1,-1 0 0,1 0 0,3 9 0,-3-12-18,0 0 0,-1 0 0,2 0 0,-1 0 1,0 0-1,0-1 0,1 1 0,0-1 0,-1 1 0,1-1 1,0 0-1,0 0 0,0 0 0,1-1 0,-1 1 0,0-1 1,1 0-1,-1 1 0,0-1 0,1-1 0,0 1 0,-1-1 1,1 1-1,-1-1 0,5 0 0,-4 0 113,0 0 1,0 0-1,0-1 0,0 1 1,0-1-1,0 0 0,0 0 1,0 0-1,-1-1 1,1 1-1,0-1 0,-1 0 1,6-3-1,-5 1 66,0 0 1,0 0-1,0 0 1,-1-1-1,0 1 1,0-1 0,0 0-1,-1 0 1,4-8-1,1-6 476,-2 1-1,0 0 1,-2-1-1,3-30 1,-3 25 521,-3 23-1076,0 1 0,0 0 1,0 0-1,0-1 0,0 1 1,0 0-1,0 0 1,0-1-1,0 1 0,0 0 1,0 0-1,0-1 0,1 1 1,-1 0-1,0-1 1,0 1-1,0 0 0,0 0 1,0 0-1,1-1 0,-1 1 1,0 0-1,0 0 1,0 0-1,1-1 0,-1 1 1,0 0-1,0 0 1,0 0-1,1 0 0,-1 0 1,0 0-1,0-1 0,1 1 1,-1 0-1,0 0 1,1 0-1,-1 0 0,0 0 1,0 0-1,1 0 0,-1 0 1,0 0-1,0 0 1,1 0-1,-1 0 0,0 0 1,1 1-1,-1-1 0,0 0 1,0 0-1,1 0 1,-1 0-1,0 0 0,0 0 1,0 1-1,1-1 0,-1 0 1,0 0-1,0 0 1,0 1-1,1-1 0,-1 0 1,0 0-1,0 1 1,0-1-1,0 1 0,13 15-291,108 186-637,-121-202 901,0 0-1,0 0 0,0 0 1,0 1-1,1-1 0,-1 0 1,0 0-1,0 0 1,0 0-1,0 1 0,0-1 1,0 0-1,0 0 0,1 0 1,-1 0-1,0 1 1,0-1-1,0 0 0,0 0 1,0 0-1,1 0 0,-1 0 1,0 0-1,0 0 1,0 1-1,1-1 0,-1 0 1,0 0-1,0 0 0,0 0 1,1 0-1,-1 0 0,0 0 1,0 0-1,0 0 1,1 0-1,-1 0 0,0 0 1,0 0-1,0 0 0,1 0 1,-1-1-1,0 1 1,0 0-1,0 0 0,1 0 1,-1 0-1,6-13 80,-1-19 148,-5 32-247,1-56 188,-2 47 6,1 1 1,-1-1-1,2 0 0,-1 0 1,1 1-1,0-1 0,1 1 0,0-1 1,1 1-1,0-1 0,4-8 1,-7 16-162,1 1-1,-1-1 1,0 0 0,1 1 0,-1-1 0,1 1-1,-1-1 1,1 1 0,-1-1 0,1 1 0,-1-1-1,1 1 1,0 0 0,-1-1 0,1 1-1,0 0 1,-1-1 0,1 1 0,0 0 0,-1 0-1,1 0 1,0 0 0,0-1 0,-1 1 0,1 0-1,0 0 1,0 1 0,19 10 68,11 27-16,-30-37-55,11 17-228,-2 1 1,0 1 0,9 28 0,10 19-393,-26-68 719,1-9 9,2-11-11,2-30 158,6-22 490,-13 68-660,1 0 0,-1 0 0,1 0 1,0 0-1,1 0 0,-1 1 0,1-1 1,0 1-1,0 0 0,7-7 0,-8 10-82,-1 0-1,1 0 1,-1 0 0,1 0-1,0 0 1,-1 1 0,1-1-1,0 1 1,-1-1-1,1 1 1,0 0 0,0 0-1,-1 0 1,1 0 0,0 0-1,0 0 1,-1 0-1,1 0 1,3 2 0,-2-1-7,1-1 0,-1 2 0,0-1 0,0 0 0,-1 1 0,1-1 0,0 1 0,0 0 0,3 3 0,1 2-50,-1 1 0,0-1 0,0 1-1,-1 1 1,0-1 0,0 1 0,-1 0 0,0 0 0,-1 0 0,4 16 0,-1 27-9184</inkml:trace>
  <inkml:trace contextRef="#ctx0" brushRef="#br0" timeOffset="6539.8">4945 541 9204,'0'0'13518,"1"-8"-13323,-1 7-185,3-24-99,-1 50-141,-1-6 257,1-1 1,0 1-1,8 26 1,-7-35-59,0-1-1,0 0 0,1 0 1,0 0-1,1-1 1,0 1-1,0-1 1,10 11-1,-14-18-26,-1 0 1,1 0-1,0 0 0,0-1 0,0 1 0,0 0 0,0 0 0,0 0 0,0-1 0,0 1 1,0 0-1,0-1 0,0 1 0,0-1 0,0 1 0,0-1 0,1 0 0,-1 0 1,0 1-1,0-1 0,0 0 0,1 0 0,1 0 0,-2-1 54,0 1-1,0-1 1,0 0-1,1 0 1,-1 1 0,0-1-1,0 0 1,0 0-1,0 0 1,-1 0 0,1 0-1,0 0 1,0 0-1,-1 0 1,1-1 0,0 1-1,0-2 1,2-5 51,-1 1 0,0-1-1,0 0 1,-1 0 0,1-13 0,-3-32 257,-1 38 98,2 0 1,0 0 0,1 1 0,3-25 0,-4 39-381,0-1 0,0 1 0,0 0 0,0-1 0,0 1 0,1 0 0,-1-1 0,0 1 0,0 0 0,0-1 0,0 1 0,0 0 0,0 0 0,1-1 0,-1 1 0,0 0 0,0 0 0,0-1 0,1 1 0,-1 0 0,0 0 0,0-1 0,1 1 0,-1 0 0,0 0-1,0 0 1,1 0 0,-1-1 0,0 1 0,1 0 0,-1 0 0,0 0 0,0 0 0,1 0 0,-1 0 0,0 0 0,1 0 0,11 10 50,7 20-303,-18-28 294,7 16-41,0 2 0,-1-1 0,5 22 0,-7-22-468,0 0 1,2-1 0,12 26-1,-19-44 408,0 1 0,1-1 0,-1 1-1,0-1 1,0 1 0,0-1-1,1 0 1,-1 1 0,0-1 0,1 1-1,-1-1 1,0 0 0,1 1 0,-1-1-1,0 0 1,1 1 0,-1-1 0,1 0-1,-1 0 1,1 1 0,-1-1 0,1 0-1,-1 0 1,1 0 0,-1 0-1,1 1 1,-1-1 0,1 0 0,-1 0-1,1 0 1,0 0 0,10-13 52,1-23 455,-5-2-105,-3 19-92,0 0 0,0 0 0,2 0 0,1 1-1,11-25 1,-11 31-100,15-22 838,-22 34-1009,1 0 0,0 0 0,-1-1 0,1 1 0,0 0 0,-1 0 0,1 0 1,0 0-1,-1 0 0,1 0 0,0 0 0,-1 0 0,1 0 0,0 0 0,0 0 0,-1 0 0,1 0 0,-1 1 0,1-1 0,0 0 0,-1 0 0,1 1 0,0-1 0,-1 1 0,1-1 0,-1 0 0,1 1 0,-1-1 1,1 1-1,-1-1 0,1 1 0,-1-1 0,1 2 0,15 17-94,-15-18 91,11 18-384,-1-1-1,-1 2 0,0 0 0,-2 0 0,0 1 0,-1-1 1,-1 2-1,3 22 0,-9-44 174,0 1 1,0-1-1,0 0 1,0 1-1,0-1 1,1 1-1,-1-1 1,0 1-1,0-1 1,0 0 0,1 1-1,-1-1 1,0 1-1,1-1 1,-1 0-1,0 1 1,1-1-1,-1 0 1,0 0-1,1 1 1,-1-1-1,1 0 1,-1 0-1,0 1 1,1-1-1,-1 0 1,1 0-1,-1 0 1,1 0-1,0 0 1,11 1-6511</inkml:trace>
  <inkml:trace contextRef="#ctx0" brushRef="#br0" timeOffset="7454.3">5739 524 9973,'0'0'12451,"-8"-10"-11910,-29-28-237,35 36-275,0 1 0,0-1 0,0 1-1,0 0 1,0 0 0,-1 0-1,1 0 1,0 0 0,-1 1 0,1-1-1,-1 1 1,1-1 0,-1 1 0,1 0-1,0 0 1,-1 0 0,1 0-1,-1 1 1,-3 0 0,-4 0 45,8 0-71,-1-1 0,1 1 0,0 0 1,0 0-1,-1 0 0,1 0 1,0 0-1,0 0 0,0 1 0,0-1 1,0 1-1,0-1 0,0 1 0,1 0 1,-1 0-1,1 0 0,-1 0 1,1 0-1,-1 0 0,1 0 0,0 0 1,0 0-1,0 1 0,-1 4 1,-1 3-31,0 0 0,1 0 1,0 0-1,-1 17 1,2-16-61,1-1 0,0 1 0,0 0 0,1-1 0,0 1-1,1-1 1,4 14 0,-4-21 12,-1 0 0,0 0 0,1 0 0,0 0 0,0 0 0,0 0 1,0-1-1,0 1 0,1-1 0,-1 1 0,1-1 0,-1 0 0,1 0 0,0 0 0,0-1 0,0 1 0,0-1 0,0 1 0,0-1 0,0 0 0,0 0 0,1 0 0,-1-1 0,0 1 0,1-1 0,-1 0 0,4 0 0,-3 1 69,-1-1 0,1 0 0,-1 0 0,1 0-1,-1 0 1,1-1 0,-1 1 0,0-1 0,1 0 0,-1 0 0,0 0 0,1-1-1,-1 1 1,0-1 0,0 1 0,0-1 0,0 0 0,0 0 0,-1-1 0,1 1-1,-1-1 1,1 1 0,-1-1 0,0 0 0,0 1 0,0-1 0,0 0 0,-1-1-1,1 1 1,-1 0 0,1 0 0,-1-1 0,1-5 0,2-8 249,-1 0 1,0 0-1,-1 0 1,-1 0-1,-2-30 1,1 17 869,0 29-1051,-1 3-85,0 0 1,1 0-1,-1 0 1,1 0 0,0 0-1,-1 0 1,1 1-1,0-1 1,0 0-1,1 0 1,-1 3 0,1 1-8,-1 9-40,0 1 0,1-1 0,1-1 0,0 1 0,6 20 0,-6-29-124,0-1 1,1 1-1,-1-1 1,1 0-1,0 1 0,1-1 1,-1-1-1,1 1 1,0 0-1,0-1 0,0 0 1,1 0-1,0 0 1,-1-1-1,1 1 1,9 4-1,-11-7 157,-1 0-1,0 0 1,0 0-1,1 0 1,-1 0 0,0-1-1,1 1 1,-1-1-1,1 1 1,-1-1-1,0 0 1,1 0 0,-1 0-1,1 0 1,-1-1-1,1 1 1,-1-1 0,1 1-1,-1-1 1,0 0-1,1 0 1,-1 0 0,0 0-1,0 0 1,0 0-1,0-1 1,0 1 0,0-1-1,0 1 1,0-1-1,-1 0 1,1 0 0,-1 0-1,1 0 1,-1 0-1,0 0 1,2-4 0,4-8 580,-1 0 0,0-1 0,-2 1 0,6-28 0,-8 35-362,3-20 673,-4 18-464,0 0-1,1 0 1,0 0-1,1 0 1,0 0-1,6-13 1,-8 22-387,-1 0 0,0 0 0,0 0 0,0 0 1,0 0-1,0 0 0,0 0 0,0 0 0,1 0 0,-1-1 1,0 1-1,0 0 0,0 0 0,0 0 0,0 0 1,1 0-1,-1 0 0,0 0 0,0 0 0,0 0 1,0 0-1,0 0 0,1 0 0,-1 0 0,0 0 1,0 0-1,0 0 0,0 0 0,0 0 0,1 0 1,-1 0-1,0 1 0,0-1 0,0 0 0,0 0 0,0 0 1,0 0-1,1 0 0,-1 0 0,0 0 0,0 0 1,0 1-1,0-1 0,0 0 0,0 0 0,0 0 1,0 0-1,0 0 0,0 0 0,0 1 0,0-1 1,1 0-1,-1 0 0,0 0 0,3 9-212,-3-9 213,20 68 16,-16-49-307,1 0 1,0 0-1,2-1 1,0 0-1,14 25 1,-20-42 258,-1-1 0,1 1 0,-1 0 0,1-1 1,0 1-1,-1-1 0,1 1 0,-1-1 0,1 1 0,0-1 1,0 1-1,-1-1 0,1 0 0,0 1 0,0-1 0,-1 0 1,1 0-1,0 1 0,0-1 0,0 0 0,-1 0 0,1 0 1,0 0-1,0 0 0,0 0 0,-1 0 0,1-1 0,0 1 1,0 0-1,0 0 0,-1 0 0,1-1 0,0 1 0,0-1 0,0 0 1,2 0 45,-1 0 0,0-1 0,0 0 0,1 0 0,-1 1 0,0-1 0,-1 0 0,1-1 0,2-1 0,6-15 45,-1 0 0,-1-1-1,8-25 1,-11 29 137,1-1-1,0 1 1,1 0 0,1 1-1,14-22 1,-22 37-189,0-1 1,1 0 0,-1 1-1,1-1 1,-1 1-1,1-1 1,-1 0 0,1 1-1,-1-1 1,1 1 0,-1 0-1,1-1 1,0 1-1,-1-1 1,1 1 0,0 0-1,0-1 1,-1 1 0,1 0-1,0 0 1,-1 0-1,2 0 1,-1 0-13,0 0 0,-1 0 0,1 1 0,-1-1 0,1 1 0,-1-1 0,1 0 0,-1 1 0,1-1 0,-1 1 0,1 0 0,-1-1 0,0 1 0,1-1 0,-1 1 0,0-1 0,1 1 0,-1 0 0,0-1 0,0 2 0,8 44-245,-7-34 296,2 15-250,-2-14 10,1 1 0,0-1 0,1 0 1,4 13-1,-6-23-172,0 0 1,0 0-1,1 0 1,-1 0-1,1 0 0,0-1 1,-1 1-1,1-1 1,0 1-1,1-1 1,-1 0-1,0 0 0,1 0 1,-1 0-1,1 0 1,0 0-1,-1-1 1,1 1-1,0-1 0,0 0 1,0 0-1,5 1 1,53 1-8377,-26-3 3832</inkml:trace>
  <inkml:trace contextRef="#ctx0" brushRef="#br0" timeOffset="7907.03">6545 534 3426,'0'0'9116,"0"-19"-5899,-2-58-421,2 74-2598,-1 0 0,1 0 1,0 0-1,-1 0 0,0 0 0,1 0 0,-1 0 0,0 0 0,-1 0 0,1 0 1,0 1-1,-1-1 0,0 1 0,1-1 0,-1 1 0,0-1 0,0 1 0,-1 0 1,1 0-1,0 0 0,-1 0 0,1 0 0,-6-2 0,5 3-171,-1 0-1,1 0 1,-1 0-1,1 1 1,-1-1-1,1 1 1,-1 0 0,1 0-1,-1 0 1,1 0-1,-1 1 1,1-1-1,-1 1 1,1 0-1,0 0 1,-1 0-1,1 1 1,0-1 0,0 1-1,0 0 1,0 0-1,0 0 1,0 0-1,0 0 1,-3 5-1,1-1-40,1 0 0,0 0 0,0 0 0,1 1 0,0 0 1,0 0-1,0 0 0,1 0 0,-2 10 0,1 1-24,2 1 0,-1 28 0,3-44-14,-1 1 1,1-1 0,-1 1-1,1-1 1,0 1 0,0-1-1,1 0 1,-1 1 0,1-1-1,-1 0 1,1 0-1,0 0 1,0 0 0,1 0-1,-1-1 1,1 1 0,-1 0-1,1-1 1,0 0-1,0 0 1,0 0 0,0 0-1,3 2 1,-1-2-42,-1 0 0,1 0 0,-1-1 0,1 1 0,0-1 0,-1 0 0,1 0 0,0 0-1,0-1 1,0 0 0,-1 0 0,1 0 0,0 0 0,0-1 0,0 0 0,0 0 0,5-2 0,-7 1 88,0 0 0,0 0 0,0 0-1,0 0 1,0-1 0,0 0 0,-1 1 0,1-1 0,-1 0 0,0 0 0,0 0-1,0-1 1,0 1 0,0 0 0,-1-1 0,3-6 0,1-8 38,0 0-1,2-19 1,-7 36-31,6-41 356,-3-1 0,-3-58 0,-1 45 124,-1 10 351,-2 1 1,-2 0 0,-23-82-1,30 131-788,0 0-1,-1 0 1,0 0-1,1 0 1,-2 0-1,0 8 1,0 10-159,2 30 155,3 0-1,2 0 1,15 58 0,2-22 93,34 84 1,-55-168-161,2 7-174,0 0 0,0 1 0,-1-1-1,0 1 1,-1 0 0,1 19 0,-3-30 47,0 1 1,0 0 0,0 0-1,-1-1 1,1 1-1,0 0 1,-1-1-1,1 1 1,-1-1 0,0 1-1,0-1 1,1 1-1,-1-1 1,0 1 0,0-1-1,-1 0 1,1 1-1,0-1 1,0 0-1,-1 0 1,1 0 0,0 0-1,-1 0 1,1 0-1,-1 0 1,1-1 0,-1 1-1,1 0 1,-1-1-1,-3 1 1,-41 13-5181</inkml:trace>
  <inkml:trace contextRef="#ctx0" brushRef="#br0" timeOffset="9774.54">1 1391 4914,'0'0'11942,"0"-4"-10891,0 3-981,0-1 0,-1 1 0,1 0-1,1 0 1,-1-1 0,0 1 0,0 0 0,0-1 0,1 1 0,-1 0 0,1 0-1,-1 0 1,1-1 0,-1 1 0,1 0 0,0 0 0,0 0 0,-1 0 0,1 0 0,1-1-1,1 0 26,0 0 0,0 0 0,0 1 0,0-1 0,0 1-1,0 0 1,0-1 0,6 0 0,45-8 134,0 2 1,0 2-1,94 3 1,-74 2-8,86-11 1,-65 3 81,160 5 0,-160 5-9,157-16 0,426-27 674,-515 38-764,63-17 100,-47 1 222,12 15-418,-107 5 13,156-21 0,146-27 43,-253 42 130,263-46 0,-337 43-267,2 2 1,-1 3-1,93 6 1,-47-1 51,2 0-33,359-11 154,-73 5 71,-52 2-205,154 0 5,-273 5-29,-162-6 115,1-2 0,-1-3 0,84-23 0,-93 16-30,-51 13-939,-8 3-621,-68 0-6161,9 2 275</inkml:trace>
</inkml:ink>
</file>

<file path=xl/ink/ink6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7:37.480"/>
    </inkml:context>
    <inkml:brush xml:id="br0">
      <inkml:brushProperty name="width" value="0.05" units="cm"/>
      <inkml:brushProperty name="height" value="0.05" units="cm"/>
      <inkml:brushProperty name="color" value="#F6630D"/>
    </inkml:brush>
  </inkml:definitions>
  <inkml:trace contextRef="#ctx0" brushRef="#br0">0 54 2273,'0'0'11221,"0"-5"-10247,0-20 3132,3 33-3733,64 156 590,-59-141-919,-1 1 0,-2 1 0,0-1 0,-2 1 0,1 30 1,-4-54 27,0 0 1,1 0 0,-1 0 0,0 1-1,1-1 1,-1 0 0,1 0 0,-1 0-1,1 0 1,0 0 0,-1 0 0,1 0 0,0-1-1,0 1 1,0 0 0,0 0 0,0 0-1,0-1 1,0 1 0,0-1 0,0 1-1,0-1 1,0 1 0,0-1 0,0 1-1,0-1 1,0 0 0,1 0 0,-1 0 0,0 1-1,0-1 1,3-1 0,52 1 267,-35-1-288,-4 0-20,0 0 1,0-1-1,-1-1 1,1 0 0,-1-1-1,17-7 1,90-45 59,-70 30 23,-26 14-105,2 2 0,-1 2 0,39-8 1,32-8 46,-30 5 56,1 3 0,1 4 0,141-7-1,273 10 200,-387 17-386,-79-5 185,-1 0 0,1-1 0,-1-2 0,1 1 1,-1-2-1,1-1 0,-1 0 0,23-6 0,-41 8-105,1-1-1,0 1 1,0-1-1,0 1 1,-1-1-1,1 1 1,0-1-1,0 1 0,-1-1 1,1 0-1,0 1 1,-1-1-1,1 0 1,-1 1-1,1-1 1,-1 0-1,1 0 1,-1 0-1,0 0 1,1 1-1,-1-1 1,0 0-1,1 0 1,-1-2-1,-3-29 279,-22-30 148,24 60-431,0 0-130,0-1 0,0 1 0,0 0-1,-1 0 1,1 0 0,-1 0 0,1 0 0,-1 0 0,0 0 0,0 0-1,0 1 1,-2-3 0,3 4 46,0 0 0,0-1-1,0 1 1,-1 0 0,1 0 0,0-1-1,0 1 1,0 0 0,0 0 0,0 0-1,0 1 1,-1-1 0,1 0 0,0 0-1,0 1 1,0-1 0,0 0 0,0 1-1,0-1 1,0 1 0,0-1 0,0 1-1,0 0 1,0-1 0,0 1 0,1 0-1,-1 0 1,0 0 0,0 0 0,1-1-1,-1 1 1,0 1 0,-8 11-1695,0 1 0,0 0 1,2 0-1,0 0 0,-8 24 1,6-3-7206</inkml:trace>
</inkml:ink>
</file>

<file path=xl/ink/ink6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7:52.835"/>
    </inkml:context>
    <inkml:brush xml:id="br0">
      <inkml:brushProperty name="width" value="0.05" units="cm"/>
      <inkml:brushProperty name="height" value="0.05" units="cm"/>
      <inkml:brushProperty name="color" value="#F6630D"/>
    </inkml:brush>
  </inkml:definitions>
  <inkml:trace contextRef="#ctx0" brushRef="#br0">37 106 3618,'0'0'12229,"5"-96"-11909,-3 90-272,-2 2 273,-19 10-2466,-5 11-3202</inkml:trace>
</inkml:ink>
</file>

<file path=xl/ink/ink7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8:09.611"/>
    </inkml:context>
    <inkml:brush xml:id="br0">
      <inkml:brushProperty name="width" value="0.05" units="cm"/>
      <inkml:brushProperty name="height" value="0.05" units="cm"/>
      <inkml:brushProperty name="color" value="#F6630D"/>
    </inkml:brush>
  </inkml:definitions>
  <inkml:trace contextRef="#ctx0" brushRef="#br0">128 461 11077,'0'0'13078,"-4"1"-12312,3-1-749,0 0 1,0 1 0,0-1-1,0 1 1,0-1 0,0 1-1,0-1 1,0 1 0,0 0-1,0-1 1,0 1 0,1 0-1,-1 0 1,0-1 0,0 1-1,1 0 1,-1 0 0,1 0-1,-1 0 1,1 0 0,-1 0 0,1 0-1,-1 0 1,1 0 0,0 0-1,0 0 1,-1 0 0,1 1-1,0-1 1,0 0 0,0 0-1,0 0 1,1 0 0,-1 0-1,0 0 1,1 2 0,14 57 431,-6-29-245,8 45 12,7 87 0,-24-149-6,-1-4-2468</inkml:trace>
  <inkml:trace contextRef="#ctx0" brushRef="#br0" timeOffset="171.73">0 694 6675,'0'0'10181,"57"-13"-10149,-19 13-32,10 0-1313,1 2-1056,2-2-1121,-4 0-1664</inkml:trace>
  <inkml:trace contextRef="#ctx0" brushRef="#br0" timeOffset="1044.7">414 572 6707,'0'0'13494,"-15"-7"-12712,-51-19-441,64 26-330,1-1-1,0 1 0,-1 0 0,1 0 0,-1 0 0,1 0 0,-1 0 0,1 0 1,-1 0-1,1 0 0,-1 1 0,1-1 0,0 1 0,-1-1 0,1 1 1,0-1-1,-1 1 0,1 0 0,0 0 0,0-1 0,0 1 0,-1 0 0,1 0 1,0 0-1,0 0 0,0 1 0,1-1 0,-1 0 0,0 0 0,-1 2 1,0 3-2,0-1 1,-1 1 0,2-1-1,-1 1 1,-1 8 0,3-11 2,-3 10 3,1 0-1,1 0 1,0 0 0,1 0 0,0 0 0,1 1 0,4 21 0,-4-31-30,0-1 1,0 1-1,0-1 0,0 1 1,1-1-1,-1 1 0,1-1 1,0 0-1,0 0 1,0 0-1,0 0 0,1 0 1,-1 0-1,1-1 0,0 1 1,0-1-1,0 0 0,0 0 1,0 0-1,0 0 0,1 0 1,-1-1-1,0 1 0,1-1 1,-1 0-1,1 0 0,0 0 1,-1-1-1,1 1 0,0-1 1,4 0-1,-5 0 10,0 0 1,-1 0-1,1 0 0,0 0 0,-1-1 1,1 1-1,0-1 0,0 0 0,-1 0 1,1 0-1,-1 0 0,1 0 0,-1 0 1,0-1-1,4-2 0,-2 0 21,-1 1-1,-1-1 1,1 0-1,-1 0 1,1 0-1,-1 0 1,0-1 0,2-6-1,1-8 168,0 0-1,-2 0 0,0-1 1,-1 1-1,-1-1 1,-1-25-1,0 27 419,-2 14-50,-2 10-457,-3 12-144,5-4 53,1-1 0,0 1 0,1 0-1,1 0 1,3 23 0,-3-33-16,0 0 0,0 0 0,1 0 0,-1 0 1,1 0-1,-1 0 0,1 0 0,0-1 0,1 1 0,-1-1 0,1 1 0,-1-1 0,1 0 0,0 0 0,0 0 1,1 0-1,-1-1 0,1 1 0,-1-1 0,1 0 0,0 0 0,6 2 0,-7-3-57,0 1 0,-1-2-1,1 1 1,0 0 0,0 0-1,0-1 1,0 0 0,0 0-1,0 1 1,0-2 0,0 1 0,0 0-1,0-1 1,0 1 0,0-1-1,0 0 1,-1 0 0,1 0 0,0 0-1,0 0 1,-1-1 0,1 1-1,-1-1 1,1 0 0,-1 0-1,0 0 1,0 0 0,0 0 0,0 0-1,0-1 1,0 1 0,0-1-1,-1 1 1,1-1 0,-1 1-1,0-1 1,0 0 0,0 0 0,1-3-1,2-11-159,0 0 0,-1 0-1,-1 0 1,0-1 0,-2-23-1,1-2 290,0 15-75,-3-36-1,1 56 112,0 0 1,0 0-1,-1 0 0,0 0 1,-1 1-1,1-1 0,-2 1 1,1 0-1,-5-8 0,8 16-83,0-1 0,0 0 0,0 1 0,0-1 0,0 1 0,0-1 0,0 0-1,-1 1 1,1-1 0,0 1 0,0-1 0,0 0 0,0 1 0,-1-1 0,1 0-1,0 1 1,0-1 0,-1 0 0,1 1 0,0-1 0,0 0 0,-1 0 0,1 1 0,0-1-1,-1 0 1,1 0 0,0 0 0,-1 1 0,1-1 0,-1 0 0,1 0 0,0 0-1,-1 0 1,1 0 0,-1 0 0,1 0 0,0 0 0,-1 0 0,1 0 0,-1 0 0,1 0-1,0 0 1,-1 0 0,1 0 0,-1 0 0,1 0 0,0-1 0,-1 1 0,1 0-1,0 0 1,-1 0 0,1-1 0,0 1 0,-1 0 0,1 0 0,0-1 0,-1 1 0,1 0-1,0-1 1,0 1 0,0 0 0,-1-1 0,1 1 0,0 0 0,0-1 0,0 0-1,-5 37 607,5-33-610,-2 47 242,8 89 1,-4-115-181,2-1 0,1 0 1,1 0-1,0 0 0,2-1 0,11 22 1,-9-31 131,-5-21-10,-5-30 45,0 31-231,0-22 133,2-59 382,-2 80-439,1 0 0,1 0 0,-1 1 0,1-1 0,0 1 0,1-1 0,0 1 0,6-11 0,-8 17-75,-1 0 0,1 0-1,0 0 1,-1 0 0,1 0-1,0 0 1,0 0 0,0 0-1,0 0 1,0 0 0,0 1-1,0-1 1,0 0 0,0 1-1,0-1 1,0 1 0,0-1 0,1 1-1,-1-1 1,0 1 0,0 0-1,1 0 1,-1 0 0,0 0-1,0 0 1,1 0 0,-1 0-1,0 0 1,0 0 0,1 0-1,-1 1 1,0-1 0,0 0-1,0 1 1,1-1 0,-1 1-1,0 0 1,0-1 0,0 1-1,0 0 1,1 1 0,3 2-23,0 0 0,-1 0 0,0 1 0,0-1 0,0 1 0,0 0-1,2 6 1,5 8 25,-2 1 0,0 0 0,-1 0 0,6 25-1,-11-32-34,0 0 1,-1 0-1,-1 1 0,0-1 0,0 0 0,-2 1 0,1-1 0,-4 14 0,4-25 0,-1 1 0,1-1 0,-1 0 1,0 0-1,0 0 0,0 0 0,0-1 0,0 1 0,0 0 1,-1 0-1,1-1 0,-1 1 0,1 0 0,-1-1 0,1 0 1,-1 1-1,0-1 0,0 0 0,0 0 0,1 0 0,-1 0 0,0 0 1,0 0-1,-5 0 0,-2 1-426,0 0 0,0-1 1,-1 0-1,-12-1 0,14 0-255,7 0 575,1 0 0,-1 0 0,1 0 0,-1 0 0,1 0 1,-1 0-1,1 0 0,-1 0 0,1 0 0,-1-1 0,1 1 1,-1 0-1,1 0 0,0 0 0,-1 0 0,1-1 0,-1 1 1,1 0-1,-1 0 0,1-1 0,0 1 0,-1 0 0,1-1 0,0 1 1,-1 0-1,1-1 0,0 1 0,0-1 0,-1 1 0,1-1 1,0 1-1,0 0 0,0-1 0,-1 1 0,1-1 0,0 1 0,0-1 1,0 1-1,0-1 0,0 1 0,0-1 0,0 0 0,0-17-5796</inkml:trace>
  <inkml:trace contextRef="#ctx0" brushRef="#br0" timeOffset="1730.26">813 367 5138,'0'0'18259,"-4"0"-17506,4-1-747,-1 1 1,1 0 0,-1 0-1,1 0 1,-1 0 0,1 0-1,-1 0 1,0 0 0,1 0-1,-1 0 1,1 1 0,-1-1-1,1 0 1,-1 0 0,1 0-1,-1 1 1,1-1 0,-1 0-1,1 1 1,-1-1 0,1 0-1,-1 1 1,1-1 0,0 1-1,-1-1 1,1 0 0,-1 2-1,-4 18 135,10 35 64,-3-46-164,5 48 131,3-1 0,2 0 1,30 82-1,-39-131-172,-1-2 1,1 1-1,1 0 0,-1 0 1,1-1-1,0 0 1,0 0-1,10 9 1,-13-13-7,1 0 0,0 1 0,-1-1 1,1 0-1,0 0 0,0 0 1,0 0-1,0 0 0,0-1 1,0 1-1,0-1 0,0 1 0,1-1 1,-1 0-1,0 1 0,0-1 1,0-1-1,0 1 0,0 0 0,1 0 1,-1-1-1,0 1 0,0-1 1,0 1-1,0-1 0,0 0 0,0 0 1,0 0-1,-1 0 0,1 0 1,3-3-1,-1 0-5,1-1 0,-1 1 1,1-1-1,-2 0 0,1 0 0,0 0 1,-1-1-1,0 1 0,0-1 0,-1 0 0,1 0 1,-1 0-1,-1 0 0,1 0 0,0-6 1,1-14-6,0 1 1,-2-36-1,-2 43 16,-6 23-269,5-1 256,0 0 1,1-1 0,-1 1 0,1 0-1,0 0 1,0 0 0,0 0 0,0 0 0,1 0-1,-1 0 1,1 0 0,0 0 0,1 0-1,-1 0 1,1 0 0,0 0 0,-1 0-1,3 5 1,-1-7-4,-1 1-1,0-1 1,1 0 0,-1 0-1,1 0 1,-1 0 0,1 0-1,0 0 1,0-1 0,0 1-1,0-1 1,0 1 0,0-1-1,1 0 1,-1 1 0,0-1-1,1-1 1,-1 1 0,0 0-1,1 0 1,-1-1 0,1 1-1,0-1 1,-1 0 0,1 0-1,-1 0 1,1 0 0,-1 0-1,1-1 1,2 0 0,-2 0 10,0 0 1,0 0 0,0 0 0,0-1-1,0 1 1,-1-1 0,1 0 0,-1 1 0,1-1-1,-1-1 1,0 1 0,0 0 0,0 0-1,0-1 1,0 1 0,0-1 0,0 0-1,-1 1 1,0-1 0,1 0 0,-1 0 0,1-5-1,1-2 8,0 0-1,-1 0 0,0-1 1,-1 1-1,1-16 1,-2 16-28,0 0 1,0 0 0,-1 0 0,-1 0 0,-3-15 0,4 22 26,0 0 0,0 1 1,-1-1-1,1 1 0,0 0 0,-1-1 0,0 1 1,1 0-1,-1 0 0,0 0 0,0 0 1,0 1-1,-1-1 0,1 0 0,0 1 0,-1-1 1,1 1-1,-1 0 0,1 0 0,-1 0 1,1 0-1,-1 0 0,0 1 0,-5-1 1,6 0 0,0 1 1,0 0-1,-1 0 1,1 0-1,0 0 1,-1 0 0,1 1-1,0-1 1,0 1-1,0-1 1,-1 1-1,1 0 1,0 0-1,0 0 1,0 0 0,0 0-1,0 0 1,1 1-1,-1-1 1,0 1-1,0-1 1,1 1 0,-1-1-1,1 1 1,0 0-1,-1 0 1,1 0-1,0 0 1,0 0-1,0 0 1,0 0 0,1 0-1,-1 0 1,0 1-1,1 2 1,-3 10 18,0 0 0,2 0 0,0 0 0,1 19 1,0-18 17,0-11-32,1 1 0,-1 0 0,1 0 0,0-1 0,0 1 0,1-1-1,-1 1 1,1-1 0,0 1 0,1-1 0,0 0 0,-1 0 0,2 0 0,-1 0 0,0-1 0,1 1 0,0-1 0,0 0 0,0 0 0,1 0-1,-1-1 1,1 0 0,0 1 0,9 3 0,-8-4-339,1-1-1,-1 0 1,1 0-1,0 0 1,0-1-1,-1 0 1,15 0 0,-5-3-5570,-2-9-4999</inkml:trace>
  <inkml:trace contextRef="#ctx0" brushRef="#br0" timeOffset="2024.77">1425 126 14215,'0'0'9905,"-1"19"-8960,-2 37-350,2 0 0,4 0 0,8 56 0,-5-85-569,35 146 815,-32-143-2002,25 50 1,-34-104-16043</inkml:trace>
  <inkml:trace contextRef="#ctx0" brushRef="#br0" timeOffset="2772.95">1775 337 3298,'0'0'10532,"-7"2"-9513,-9 2-768,13-2 2828,64-16-2400,0-3 1,101-42-1,-155 56-728,26-13-530,-32 16 547,1-1 1,-1 1-1,0-1 0,0 0 1,0 0-1,1 1 0,-1-1 1,0 0-1,0 0 0,0 0 1,0 0-1,-1 0 0,1 0 0,0-1 1,0 1-1,-1 0 0,1 0 1,-1-1-1,2-1 0,-5 2-123,1 0 0,0 1 0,0-1-1,0 0 1,-1 1 0,1-1-1,0 1 1,-1 0 0,1 0 0,0 0-1,-1 0 1,1 0 0,-4 1 0,2-1 10,1 0 172,0-1 1,0 1-1,0 0 1,0 1-1,0-1 1,0 0-1,0 1 0,0 0 1,0 0-1,0-1 1,0 2-1,1-1 1,-1 0-1,0 1 1,-3 2-1,3-1 118,1 0 0,0 1-1,0-1 1,0 1 0,1-1 0,-1 1-1,1 0 1,0-1 0,0 1 0,0 0-1,0 0 1,0 5 0,-3 31 1179,2 81 0,3-69-1115,-1-39-134,1 0-1,1 0 1,0 0-1,1-1 1,0 1-1,1-1 1,1 0-1,7 15 1,-8-19-247,0-1 0,1 0 0,-1 0 0,2 0 0,-1-1 0,7 7-1,-8-10-380,-1 0-1,1 0 0,1 0 0,-1 0 0,0-1 0,1 1 0,-1-1 0,1 0 0,0-1 0,8 3 0,13-1-4421</inkml:trace>
  <inkml:trace contextRef="#ctx0" brushRef="#br0" timeOffset="3671.86">2283 469 4946,'0'0'15607,"-17"-9"-14894,-50-22-409,66 31-299,0 0 0,0-1-1,0 1 1,0 0 0,0 0 0,-1 0 0,1 0 0,0 0 0,0 0-1,0 0 1,0 0 0,0 0 0,0 1 0,0-1 0,-1 0-1,1 1 1,0-1 0,0 1 0,0-1 0,0 1 0,0-1 0,1 1-1,-1 0 1,0-1 0,0 1 0,0 0 0,0 0 0,1 0-1,-1 0 1,0 0 0,1 0 0,-1 0 0,1 0 0,-1 0 0,1 0-1,0 0 1,-1 0 0,1 0 0,0 0 0,0 0 0,-1 2-1,-1 4 38,-2 6-19,0 1 0,1-1-1,1 1 1,0 0 0,0 0-1,2 0 1,0 16 0,0-26-21,0-3 0,0 0 0,0 0-1,0 0 1,0 0 0,1 0-1,-1 1 1,0-1-1,1 0 1,-1 0 0,0 0-1,1 0 1,-1 0 0,1 0-1,0 0 1,-1 0 0,1 0-1,0-1 1,-1 1-1,1 0 1,0 0 0,0 0-1,0-1 1,0 1 0,1 1-1,1-1 26,-1-1-1,1 1 1,-1 0-1,1-1 1,-1 1-1,1-1 0,0 0 1,-1 1-1,1-1 1,4-1-1,-2 0 11,-1 1-1,1-1 1,0 0-1,-1 0 1,1-1-1,-1 0 0,1 1 1,-1-1-1,0-1 1,0 1-1,0-1 1,5-3-1,-4 0-5,-1-1 0,0 1-1,0-1 1,0 0 0,-1 0 0,0 0-1,0-1 1,-1 1 0,0-1 0,0 1-1,-1-1 1,1-10 0,7-28 908,-10 51-933,0 1-1,0-1 0,0 1 0,1-1 0,0 1 1,1 0-1,-1-1 0,1 1 0,0-1 1,0 1-1,1-1 0,-1 0 0,1 0 0,0 1 1,1-1-1,-1-1 0,1 1 0,0 0 1,0-1-1,1 1 0,-1-1 0,8 7 0,-5-6-112,-1-1 0,1 0-1,-1 0 1,1 0-1,0 0 1,1-1-1,-1 0 1,1-1 0,-1 1-1,1-1 1,0 0-1,0-1 1,0 0 0,0 0-1,0 0 1,0-1-1,0 0 1,8-1 0,-12 0 59,0-1 1,0 1-1,0 0 1,0-1-1,-1 1 1,1-1-1,0 0 1,-1 0-1,1 0 1,-1 0-1,0-1 1,0 1-1,0-1 1,0 1-1,0-1 1,0 1 0,-1-1-1,1 0 1,-1 0-1,0 0 1,0 0-1,0 0 1,0 0-1,0-4 1,3-10-14,-1 0 1,3-34-1,-3-4 72,-5-56 0,1 94 52,-1 0 0,-1 0 1,0 1-1,-1-1 0,-1 1 0,0 0 1,-14-26-1,19 41-21,0 0-1,-1 0 1,1 0-1,-1 0 1,1 0-1,-1 0 1,1 0-1,-1 0 1,0 0-1,0 0 1,0 0-1,1 0 0,-1 0 1,0 0-1,0 1 1,0-1-1,0 0 1,0 1-1,0-1 1,0 1-1,-2-1 1,2 1-36,0 1 0,1-1 0,-1 1 0,0-1 0,1 1 0,-1 0-1,0-1 1,1 1 0,-1 0 0,1-1 0,0 1 0,-1 0 0,1 0 0,-1-1 0,1 1 0,0 0 0,0 0 0,-1 0 0,1-1 0,0 1 0,0 2-1,-4 58-187,4-58 236,9 175 323,-6-154-351,1-1 1,2 1-1,0-1 1,2 0 0,14 31-1,-19-46-22,10 17-20,-13-24 19,1-1 0,-1 1 0,1 0 0,-1 0 0,1 0 0,0 0 0,-1 0 0,1-1 0,0 1 0,-1 0 0,1-1 0,0 1 0,0-1 0,0 1 0,0-1 0,0 1 0,0-1 0,0 1 0,1-1 0,-2 0 166,0-37 748,-13-108-436,13 142-455,0 0 1,0-1 0,0 1-1,0 0 1,1 0 0,-1-1-1,1 1 1,0 0 0,0 0-1,0 0 1,0 0 0,1 0-1,-1 0 1,3-3 0,-2 4-29,0 1 0,0-1 0,1 0 0,-1 1 0,0 0 0,1 0 0,-1-1 0,1 1 0,-1 1 0,1-1 1,-1 0-1,1 1 0,0-1 0,-1 1 0,1 0 0,0 0 0,5 0 0,-4 0-1,0 1 1,0 0-1,1 0 0,-1 0 0,0 0 1,0 1-1,0-1 0,0 1 1,-1 0-1,1 0 0,0 0 0,-1 1 1,1 0-1,-1-1 0,0 1 0,0 0 1,0 0-1,0 1 0,-1-1 1,1 1-1,-1-1 0,0 1 0,0 0 1,0 0-1,1 4 0,2 5-12,0-1 1,-2 0-1,1 1 0,-2 0 0,0-1 0,0 1 0,-1 16 1,-1-26-31,-1 0 1,1 1 0,-1-1-1,0 0 1,0 0 0,0 0-1,-1 0 1,1 0 0,-1 0-1,0 0 1,0 0 0,0 0-1,0-1 1,0 1 0,0-1-1,-1 1 1,1-1 0,-1 0-1,0 0 1,0 0 0,1 0-1,-7 2 1,6-3-353,0 0 0,0 0-1,1 0 1,-1 0 0,0 0 0,0 0 0,0-1 0,0 0-1,0 0 1,0 1 0,0-2 0,0 1 0,0 0 0,0-1-1,0 1 1,-5-2 0,5-3-2668,3-9-2527</inkml:trace>
  <inkml:trace contextRef="#ctx0" brushRef="#br0" timeOffset="4498.28">2952 324 7123,'0'0'15357,"-5"-6"-14850,4 4-499,0 0 1,0 1-1,-1-1 1,1 1-1,0-1 1,-1 1 0,1 0-1,-1-1 1,0 1-1,1 0 1,-1 0 0,-3-1-1,5 2-6,-1 0-1,1 0 1,0 0-1,-1 0 1,1 0-1,-1 0 1,1 0-1,0 0 0,-1 1 1,1-1-1,0 0 1,-1 0-1,1 0 1,-1 0-1,1 1 1,0-1-1,0 0 1,-1 0-1,1 1 1,0-1-1,-1 0 1,1 1-1,0-1 1,0 0-1,0 1 1,-1-1-1,1 1 1,-6 24 42,4-9-7,2-1-1,0 1 1,0 0 0,1 0 0,6 25-1,-5-34-28,0 1-1,0-1 0,1 1 1,0-1-1,0 0 0,1 0 1,0-1-1,0 1 0,1-1 1,0 0-1,0 0 0,0 0 0,9 6 1,-12-10-12,1 0 0,-1 0 0,1 0 0,0-1 0,0 1 0,-1-1 0,1 0 0,0 0 1,0 0-1,0 0 0,0 0 0,1-1 0,-1 1 0,0-1 0,0 0 0,0 0 0,0 0 0,0 0 1,1-1-1,-1 1 0,0-1 0,0 0 0,0 0 0,0 0 0,0 0 0,-1 0 0,1-1 0,0 0 0,0 1 1,-1-1-1,1 0 0,-1 0 0,0 0 0,1 0 0,-1-1 0,0 1 0,0-1 0,0 1 0,-1-1 0,1 0 1,-1 1-1,3-7 0,1-8 139,0 0 1,-1 0 0,-1-1 0,0 1-1,-1-1 1,-1 1 0,-3-30 0,2 18 696,0 29-704,0 20-462,0-5 293,0 5 61,0 0-1,1 0 1,5 20-1,-5-35-67,-1-1 0,2 1 0,-1 0 0,1-1 0,-1 0-1,1 1 1,0-1 0,1 0 0,-1 0 0,1 0 0,0 0 0,0 0 0,0-1-1,0 1 1,1-1 0,-1 0 0,1 0 0,6 4 0,-8-6 32,1 0 1,0 0 0,-1 1 0,1-1-1,0-1 1,0 1 0,-1 0 0,1-1-1,0 1 1,0-1 0,0 0 0,0 0-1,0 0 1,0 0 0,-1-1 0,1 1-1,0-1 1,0 0 0,0 0 0,-1 0-1,1 0 1,0 0 0,-1 0 0,1-1-1,-1 1 1,1-1 0,-1 0 0,0 0-1,0 0 1,0 0 0,0 0 0,0 0-1,0-1 1,-1 1 0,1 0 0,-1-1-1,1 1 1,1-6 0,7-18 98,-1-1 1,-1 1-1,-1-1 1,-2-1-1,0 1 0,-2-1 1,-1 0-1,-2 0 1,0 1-1,-8-47 1,6 66-46,0 0 1,-1 0-1,0 0 1,-1 0 0,1 1-1,-2 0 1,1 0 0,-1 0-1,-9-11 1,7 10 27,1 0 0,0 0 1,1-1-1,0 1 1,-7-18-1,8 55-237,5 4 196,0 0-1,3 1 1,0-2-1,2 1 1,2-1-1,1 0 1,1 0-1,2-1 1,1 0-1,25 42 1,-38-72-82,30 40 533,-9-24-2529,-20-16 1140,1 0 0,0-1 0,0 1 0,0 0 0,0 0 1,0-1-1,0 0 0,0 1 0,4-1 0,6 0-8213</inkml:trace>
  <inkml:trace contextRef="#ctx0" brushRef="#br0" timeOffset="5355.95">3601 260 6035,'0'0'15353,"-10"-10"-14707,-32-30-315,42 39-326,-1 1-1,1-1 1,-1 1 0,1 0 0,-1-1-1,1 1 1,-1 0 0,1-1 0,-1 1 0,0 0-1,1 0 1,-1 0 0,1-1 0,-1 1-1,0 0 1,1 0 0,-1 0 0,0 0-1,1 0 1,-1 0 0,0 0 0,1 0-1,-1 1 1,0-1 0,1 0 0,-1 0-1,1 0 1,-1 1 0,0-1 0,1 0 0,-1 1-1,1-1 1,-1 0 0,1 1 0,-1 0-1,-10 18 44,9-15-24,-4 13 1,0 0 1,0 1 0,2-1 0,0 1-1,2 0 1,0 0 0,0 1-1,2-1 1,0 0 0,6 33-1,-6-47-31,1-1 0,0 0 0,0 0 0,0 1 0,0-1 0,0 0 0,1 0-1,-1 0 1,1-1 0,0 1 0,0 0 0,0-1 0,0 1 0,1-1 0,-1 1 0,1-1-1,-1 0 1,1 0 0,0-1 0,0 1 0,4 2 0,-1-2-7,1 0 0,-1 0 1,1 0-1,0-1 0,-1 0 1,1 0-1,0-1 0,0 0 1,10-1-1,-13 0 23,-1 0 1,1 0-1,0-1 0,-1 1 1,1-1-1,-1 0 1,0 0-1,1 0 0,-1-1 1,0 1-1,0-1 0,0 0 1,-1 1-1,1-1 0,-1 0 1,1-1-1,-1 1 0,0 0 1,0-1-1,-1 1 1,1-1-1,-1 1 0,1-5 1,3-4 69,-1 0 0,-1 0 0,0 0-1,-1-1 1,0 1 0,-1-15 0,-1-49 1913,-4 79-1811,-1 8-249,3 3 48,0 1 0,1-1-1,0 1 1,1-1 0,1 1 0,0 0-1,1-1 1,1 0 0,6 22 0,-7-31-47,0 0 0,0 0 0,0 0 0,0 0 0,1 0 0,0 0 0,0 0 0,0-1 0,1 0 0,-1 0 0,1 0 0,0 0 0,0 0 0,0-1 0,1 1 0,-1-1 0,1 0 1,0-1-1,0 1 0,0-1 0,0 0 0,0 0 0,1-1 0,-1 1 0,0-1 0,1 0 0,-1-1 0,8 1 0,-10-1 51,0 0 1,1 0-1,-1 0 0,1-1 0,-1 1 0,0-1 1,1 0-1,-1 0 0,0 0 0,0 0 1,0-1-1,0 1 0,0-1 0,0 0 1,3-2-1,-3 1 16,0-1-1,0 1 1,0-1 0,-1 0 0,0 0 0,0 0-1,0 0 1,0 0 0,0 0 0,-1 0-1,2-7 1,1-7 102,-1 0-1,-1 1 0,0-1 0,-1 0 1,-1 0-1,-1 0 0,-1 0 0,-4-20 1,6 35-34,-1 1-1,0-1 1,0 1 0,0 0 0,0-1-1,-1 1 1,1 0 0,-1 0 0,1 0 0,-1 0-1,0 0 1,1 0 0,-5-2 0,6 3-59,-1 1 1,1 0 0,-1 0 0,1-1-1,0 1 1,-1 0 0,1 0-1,-1 0 1,1 0 0,-1 0 0,1 0-1,-1 0 1,1 0 0,0 0-1,-1 0 1,1 0 0,-1 0 0,1 0-1,-1 0 1,1 0 0,-1 0-1,1 0 1,0 0 0,-1 0 0,1 1-1,-1-1 1,0 0 0,1 1-20,-1 0 1,0 0 0,1 0 0,-1 0 0,0 1-1,1-1 1,-1 0 0,1 0 0,0 0-1,-1 0 1,1 0 0,0 1 0,0-1-1,-1 0 1,1 2 0,-1 10-5,0-1 0,1 1 1,0-1-1,1 1 0,1 0 1,4 17-1,-5-26-28,0-1-1,0 0 1,0 0-1,1 0 1,-1 1 0,1-1-1,0-1 1,0 1 0,0 0-1,0 0 1,1-1 0,-1 1-1,1-1 1,-1 0-1,1 0 1,0 0 0,0 0-1,0 0 1,0-1 0,0 1-1,0-1 1,1 0 0,-1 0-1,0 0 1,1 0-1,-1 0 1,0-1 0,6 1-1,-6-1 31,-1 0 0,1 0 0,-1 0 0,1 0 0,-1-1 0,1 1-1,-1 0 1,1-1 0,-1 0 0,0 1 0,1-1 0,-1 0 0,0-1 0,0 1-1,1 0 1,-1 0 0,0-1 0,3-3 0,-2 1 15,0 0 0,0-1 0,0 1 0,-1-1 0,1 0-1,-1 0 1,-1 0 0,3-5 0,4-25 486,-2-1 1,-1 1-1,0-46 0,-5 115-843,5 126 1106,-3-137-1726,2 1 1,0-1-1,2 0 0,15 41 1,-10-40-4719</inkml:trace>
  <inkml:trace contextRef="#ctx0" brushRef="#br0" timeOffset="6010.27">2922 1368 5042,'0'0'9234,"-8"-16"-6009,-29-53-701,34 63-2262,0 1 0,-1-1 0,1 1-1,-1 0 1,-1 0 0,1 1 0,-1-1 0,1 1-1,-1 0 1,0 0 0,-6-3 0,7 5-174,-1 0 0,1 0 1,0 1-1,-1 0 0,1-1 1,-1 2-1,1-1 0,-1 1 1,0-1-1,1 1 0,-1 0 1,-7 2-1,9-1-86,0 0 1,-1 0-1,1 0 0,0 1 0,1-1 1,-1 1-1,0 0 0,0 0 0,1 0 1,-1 0-1,1 0 0,0 1 0,-1-1 0,1 1 1,0-1-1,0 1 0,1 0 0,-3 3 1,-2 7-4,0-1 0,-9 27 0,11-25-5,1 1 1,0 0-1,0 0 0,2 0 0,0 20 0,1-33 3,0 1 0,0-1 0,0 0 0,1 0 0,-1 0-1,1 1 1,-1-1 0,1 0 0,0 0 0,0 0 0,0 0-1,0 0 1,0-1 0,0 1 0,0 0 0,1 0 0,-1-1-1,1 1 1,2 1 0,0 0 6,-1-1-1,1 1 1,0-1-1,1 0 1,-1 0 0,0-1-1,0 1 1,10 1-1,1-1 21,0-1 0,0 0 0,1-1 0,26-3 0,-37 2-7,0 0-1,-1 0 1,1 0 0,-1 0-1,1-1 1,-1 0-1,1 0 1,-1 0-1,0 0 1,0-1 0,0 1-1,-1-1 1,1 0-1,0 0 1,3-6 0,-2 4-3,-1-1 1,0 0 0,0-1 0,-1 1-1,0-1 1,0 0 0,0 0 0,-1 0 0,2-8-1,-2-1-1,0 0-1,0 0 1,-2 0-1,0 0 1,-1-1-1,0 1 1,-1 0 0,-7-23-1,0 8 130,-2 1 0,-2 1-1,-21-39 1,34 68-138,0 0 0,0 1-1,0-1 1,0 0 0,0 0 0,0 0-1,0 0 1,0 0 0,0 0 0,0 0-1,0 0 1,0 0 0,0 1 0,0-1-1,0 0 1,0 0 0,0 0 0,0 0-1,0 0 1,0 0 0,0 0 0,0 0-1,0 1 1,0-1 0,0 0 0,-1 0-1,1 0 1,0 0 0,0 0 0,0 0 0,0 0-1,0 0 1,0 0 0,0 0 0,0 0-1,0 0 1,0 0 0,0 0 0,-1 0-1,1 1 1,0-1 0,0 0 0,0 0-1,0 0 1,0 0 0,0 0 0,0 0-1,0 0 1,-1 0 0,1 0 0,0 0-1,0 0 1,0 0 0,0-1 0,0 1 0,0 0-1,0 0 1,0 0 0,0 0 0,-1 0-1,1 0 1,0 0 0,-1 12-30,2 9 1,1 0 1,1-1-1,1 1 1,0-1-1,2 0 1,10 28-1,-1-14 20,2 1 0,35 54-1,-49-84-238,0 1-1,1-2 0,0 1 1,0 0-1,0-1 0,0 0 1,1 0-1,-1 0 1,1 0-1,0-1 0,1 0 1,7 4-1,-7-5-1352,1 0 1,-1 0-1,1-1 0,0 1 0,0-2 1,12 1-1,9-1-8575</inkml:trace>
  <inkml:trace contextRef="#ctx0" brushRef="#br0" timeOffset="6693.75">3229 1221 7940,'0'0'13947,"-12"-12"-13338,-37-37-335,49 49-269,-1-1 0,1 0 0,-1 0 0,1 1 0,-1-1 0,0 1 0,1-1 0,-1 0 0,0 1 0,0-1 0,0 1 0,1 0 0,-1-1 0,0 1 0,0-1 0,0 1-1,0 0 1,0 0 0,1 0 0,-1 0 0,0-1 0,0 1 0,0 0 0,0 0 0,0 1 0,0-1 0,0 0 0,0 0 0,0 0 0,1 1 0,-1-1 0,0 0 0,0 1 0,0-1 0,0 1-1,1-1 1,-1 1 0,0-1 0,1 1 0,-1-1 0,0 1 0,1 0 0,-1-1 0,0 1 0,1 0 0,-1 0 0,1-1 0,0 1 0,-1 0 0,0 1 0,-1 2 23,-2 3-28,0 0 1,0 1-1,1-1 1,0 1-1,1 0 1,-1 0-1,1 0 1,1 0 0,0 0-1,0 1 1,1-1-1,-1 0 1,3 14-1,-2-8 9,0-10-6,0 0 1,0 0 0,1 0 0,-1 0 0,1-1 0,0 1-1,0 0 1,0-1 0,1 1 0,-1-1 0,1 1 0,0-1-1,0 0 1,0 1 0,0-1 0,1 0 0,-1-1 0,1 1-1,0 0 1,0-1 0,0 1 0,0-1 0,5 3 0,-1-1-21,1-1 1,0 0-1,0 0 1,0-1 0,0 0-1,0 0 1,1-1-1,-1 0 1,14-1 0,-19 0 29,-1-1 0,0 1 1,1-1-1,-1 0 1,1 0-1,-1 0 1,0 0-1,0 0 1,0-1-1,0 1 1,0-1-1,0 1 1,0-1-1,0 0 0,0 1 1,-1-1-1,1 0 1,-1 0-1,1-1 1,-1 1-1,0 0 1,0 0-1,0 0 1,0-1-1,0 1 1,-1-1-1,1-3 1,3-8 176,-1 0 1,-1-1-1,2-18 1,-4-12 419,1 8 155,0 28-264,0 11 93,3 10-601,1 1-1,0-1 1,0 0-1,2-1 1,-1 1-1,1-1 1,10 11-1,-12-15 12,1 0-1,0 0 1,1 0 0,0-1-1,0 0 1,0-1 0,0 0-1,1 0 1,0 0 0,0-1-1,12 4 1,-18-7-7,1 0-1,0 0 0,-1 0 0,1-1 1,0 0-1,0 1 0,0-1 1,-1 0-1,1 0 0,0 0 1,0-1-1,0 1 0,-1-1 1,1 0-1,0 1 0,0-1 1,-1-1-1,1 1 0,-1 0 1,4-2-1,-3 0-9,0 0-1,0 0 0,0 0 1,-1-1-1,1 1 0,-1-1 1,0 1-1,0-1 1,0 0-1,0 0 0,-1 0 1,2-4-1,2-12-52,-2 0 0,0 0 0,-1 0 0,-1-31 0,-1 21 58,0-1 0,-3 1 0,0-1 0,-2 1 0,-1 0 0,-16-46 0,16 107 643,6 252 531,1-271-1067,0 0-1,1 0 1,0 0 0,8 21 0,-9-29-182,1 0 0,0 0 0,0 0 1,0 0-1,0-1 0,1 1 0,4 4 0,-6-6-155,1-1 0,-1 0 0,1 1 1,0-1-1,-1 0 0,1 0 0,0 0 0,0 0 0,0 0 0,0-1 0,-1 1 1,1-1-1,0 1 0,0-1 0,0 1 0,4-1 0</inkml:trace>
  <inkml:trace contextRef="#ctx0" brushRef="#br0" timeOffset="6862.28">3442 1108 5218,'0'0'6820,"127"47"-6820,-91-35-545,2-5-1984,1-5-1137</inkml:trace>
  <inkml:trace contextRef="#ctx0" brushRef="#br0" timeOffset="7282.78">3863 1065 6787,'0'0'14295,"-11"-11"-13775,3 4-443,-1-1-1,0 1 1,-14-10 0,21 17-65,1-1 1,0 1-1,-1 0 1,1 0 0,-1 0-1,1-1 1,-1 1-1,1 1 1,0-1 0,-1 0-1,1 0 1,-1 0-1,1 1 1,0-1-1,-1 1 1,1-1 0,0 1-1,-1-1 1,1 1-1,0 0 1,0 0 0,0 0-1,-1-1 1,1 1-1,0 0 1,0 0 0,0 1-1,1-1 1,-1 0-1,0 0 1,0 0-1,1 1 1,-2 1 0,-1 3 38,-1 1 0,1-1 0,0 1 0,-3 12 0,3-10-34,1 0 1,1 0 0,0 0-1,0-1 1,0 1 0,1 0 0,1 0-1,-1 0 1,2 0 0,-1 0-1,1 0 1,4 9 0,-4-12-8,0-1 0,1-1-1,-1 1 1,1 0 0,0-1 0,1 1 0,-1-1 0,1 0 0,0 0 0,0-1-1,0 1 1,1-1 0,-1 0 0,1 0 0,0 0 0,-1-1 0,1 1 0,0-1-1,1 0 1,8 1 0,-9-1 7,0-1-1,0 0 0,0 0 1,0-1-1,0 1 1,0-1-1,1 0 1,-1-1-1,0 1 0,0-1 1,6-1-1,-9 1-10,1-1 0,-1 1 0,0 0 0,1-1 0,-1 1 0,0-1 1,0 1-1,0-1 0,0 0 0,0 0 0,-1 0 0,1 0 0,0 0 0,-1-1 0,0 1 0,1 0 0,-1-1 0,0 1 0,0-1 0,-1 1 0,1-1 0,0-5 0,3-21 331,-1-1 0,-1 0 0,-4-31-1,2 15 1452,-1 70-1771,2 1-1,1-1 1,1 0-1,1 1 1,1-1-1,13 35 1,-15-51-38,0-1 0,1 0 0,0 0 0,0 0 0,1 0 0,0-1 0,0 0 0,0 0 0,1 0 0,8 7 0,-8-10-93,-1 1 0,1-1 0,0 0 1,0 0-1,0-1 0,0 0 0,0 0 0,0 0 1,1-1-1,-1 0 0,0 0 0,1-1 1,-1 0-1,11 0 0,-15 0-145,0-1-1,0 1 1,0 0 0,0 0 0,0-1 0,0 0-1,0 1 1,0-1 0,0 0 0,0 0-1,1-1 1,19-22-6277</inkml:trace>
</inkml:ink>
</file>

<file path=xl/ink/ink7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8:07.259"/>
    </inkml:context>
    <inkml:brush xml:id="br0">
      <inkml:brushProperty name="width" value="0.05" units="cm"/>
      <inkml:brushProperty name="height" value="0.05" units="cm"/>
      <inkml:brushProperty name="color" value="#F6630D"/>
    </inkml:brush>
  </inkml:definitions>
  <inkml:trace contextRef="#ctx0" brushRef="#br0">53 136 1953,'0'0'9060,"-1"-17"-6691,-2-52-576,3 65-1582,-1 1 0,0-1 1,0 1-1,0 0 0,0-1 0,0 1 0,-1 0 1,0 0-1,-2-4 0,4 6-67,0 1-1,-1-1 1,1 0-1,-1 0 0,1 1 1,-1-1-1,1 0 1,-1 1-1,0-1 1,1 0-1,-1 1 1,0-1-1,0 1 1,1-1-1,-1 1 0,0 0 1,0-1-1,0 1 1,0 0-1,1-1 1,-1 1-1,0 0 1,0 0-1,-1 0 1,1 1-136,0 0 0,0 0 0,0 0 0,0 0 0,0 0 0,1 1 0,-1-1 0,0 0 0,1 1 0,-1-1 0,1 0 0,-1 1 0,1-1 0,0 0 1,0 1-1,-1-1 0,1 1 0,0-1 0,1 3 0,-2 3 12,-2 23 46,1 0 0,1 1 0,2-1 0,1 0 0,2 0 0,1 0 0,1-1 0,1 1 0,2-1 0,1-1 0,1 0 0,1 0 0,2-1 0,25 39 0,-30-54-54,0 0 1,1 0 0,0-1-1,0 0 1,2-1 0,20 16-1,-28-23-32,1 0-1,0 0 1,1 0-1,-1 0 1,0-1 0,1 0-1,-1 0 1,1 0-1,0-1 1,0 0-1,0 0 1,-1 0 0,1-1-1,0 1 1,0-2-1,0 1 1,0-1-1,0 0 1,10-2 0,-13 1 17,0 0-1,-1 1 1,1-1 0,0 0 0,-1 0 0,1 0 0,-1-1 0,0 1 0,0 0-1,0-1 1,0 0 0,0 1 0,-1-1 0,1 0 0,-1 0 0,0 0 0,2-4 0,13-58 23,-14 56-19,7-50 13,5-30 25,-12 81-38,0 1 1,0 0-1,1-1 1,0 1-1,1 1 0,-1-1 1,1 0-1,1 1 0,4-6 1,-6 9-14,0 0 0,1 0 1,-1 0-1,1 1 1,0 0-1,-1 0 1,1 0-1,0 0 0,0 0 1,0 1-1,1 0 1,-1 0-1,0 0 0,0 0 1,1 1-1,-1-1 1,0 1-1,1 0 0,-1 1 1,0-1-1,1 1 1,-1 0-1,0 0 1,0 0-1,0 0 0,1 1 1,-2 0-1,1 0 1,0 0-1,0 0 0,0 0 1,-1 1-1,0 0 1,5 3-1,-5-2-44,1-1-12,0 1 0,0 0 0,-1 0 0,1 0 0,-1 0-1,0 1 1,0-1 0,0 1 0,-1 0 0,0 0 0,0-1 0,0 2 0,0-1-1,1 8 1,-6-14-489,-54-28 645,40 20 5,0 0 0,-26-10 1,38 17-67,0 1 0,0-1 0,0 1 1,0 1-1,0-1 0,-1 0 0,1 1 1,0 0-1,0 0 0,0 1 1,-1 0-1,1 0 0,-8 2 0,10-1-25,1-1-1,-1 1 0,1 0 1,-1 0-1,1 0 0,0 0 1,0 0-1,0 1 0,0-1 1,0 0-1,1 1 0,-1 0 1,1-1-1,0 1 0,0 0 0,-1 0 1,2 0-1,-1-1 0,-1 6 1,-1 6-18,1 1 0,-1 22 0,2-27 20,1 1 0,1-1-1,0 1 1,0-1 0,1 1 0,0-1-1,1 0 1,5 13 0,-6-19 3,0 0-1,0 0 1,0 0-1,0 0 1,1 0-1,0 0 1,0-1 0,0 1-1,0-1 1,1 0-1,-1 0 1,1 0 0,0 0-1,0-1 1,0 1-1,0-1 1,0 0-1,0-1 1,1 1 0,-1-1-1,7 2 1,-8-2 10,0-1 0,0 1 0,0-1 0,0 1 1,0-1-1,0 0 0,0 0 0,0-1 0,0 1 0,0-1 1,0 1-1,-1-1 0,1 0 0,0 0 0,0 0 0,0 0 1,-1-1-1,1 1 0,3-4 0,-3 2 1,0 0-1,0-1 0,-1 0 1,0 1-1,1-1 1,-1 0-1,-1 0 0,1 0 1,-1 0-1,1 0 1,-1-1-1,0 1 0,0-5 1,2-21 54,-1-1 1,-2-40 0,-1 26 104,-2 17 423,3 82-379,1-45-227,1 1 1,0-1-1,0 0 0,1 0 0,0 0 0,0 0 0,1-1 1,0 1-1,1-1 0,-1 0 0,2 0 0,-1-1 0,1 1 0,0-1 1,1 0-1,0-1 0,0 0 0,0 0 0,1 0 0,11 6 1,-18-12-4,0 1 0,1 0 0,-1-1 0,1 1 0,-1 0 1,1-1-1,-1 0 0,1 1 0,-1-1 0,1 0 1,-1 0-1,1 0 0,-1 0 0,1 0 0,0 0 0,-1 0 1,1-1-1,-1 1 0,1-1 0,-1 1 0,1-1 0,-1 1 1,0-1-1,1 0 0,-1 0 0,0 1 0,1-1 1,-1 0-1,0 0 0,0 0 0,0-1 0,0 1 0,0 0 1,0 0-1,0-1 0,0 1 0,0 0 0,-1-1 0,1 1 1,0-1-1,-1 1 0,0-1 0,1 1 0,-1-3 1,3-8 49,-1-1 1,0 1 0,-1-1 0,-1-18-1,0 23-50,0-48 104,0 16 262,0 34 58,0 17 228,0-6-639,0 0-1,1 0 1,0 0-1,0 0 1,0 0-1,0 0 0,1 0 1,0 0-1,0-1 1,0 1-1,1-1 1,3 6-1,4 3 29,1-1 0,19 18-1,-19-19-23,1 1-1,15 20 1,-24-27-22,0-1 1,0 1-1,-1-1 1,0 1-1,0 0 0,0 0 1,0 0-1,-1 0 1,0 0-1,0 0 1,0 1-1,-1 6 1,1-10-67,-1 1 1,0 0 0,-1 0-1,1 0 1,0-1 0,-1 1-1,0 0 1,1 0 0,-1-1-1,0 1 1,0 0 0,-1-1-1,1 1 1,-1-1 0,-1 3-1,0-3 8,1 1 0,-1-1 0,0 0 0,0 0 0,-1 0 0,1 0 0,0-1 0,-1 1 0,1-1 0,-1 0 0,-4 1-1,-38 4-144,21-9 308,25 3-73,-1 0 0,1 0-1,-1 0 1,1-1 0,-1 1-1,1 0 1,-1 0 0,1-1 0,-1 1-1,1 0 1,0-1 0,-1 1-1,1 0 1,-1-1 0,1 1-1,0 0 1,-1-1 0,1 1-1,0-1 1,-1 1 0,1-1-1,0 1 1,0-1 0,0 1 0,-1-1-1,1 1 1,0-1 0,0 0-1,0 0 157,7 2-184,-1 0 1,1 0-1,-1 1 0,1-1 1,-1 1-1,10 5 1,-9-4 22,1 0-1,-1 0 1,1-1 0,8 1 0,-8-1-32,0-2-1,0 1 1,0-1-1,0 0 1,0-1-1,0 0 0,-1 0 1,12-4-1,-15 4 3,0-1-1,-1 0 0,1 0 0,-1 0 0,1-1 1,-1 1-1,0-1 0,0 1 0,0-1 0,0 0 1,0-1-1,-1 1 0,0 0 0,1-1 0,-1 1 0,0-1 1,2-7-1,2-5-23,-1 1-1,-1-1 1,-1 0 0,0-1-1,-1 1 1,-1 0 0,0-1-1,-1 1 1,-1-1 0,-4-21-1,1 16 68,-1 0-1,0 1 0,-2-1 0,-1 1 0,0 1 0,-2-1 0,-12-18 0,-11-11 1451,31 70-729,6-4-708,0 1 1,1-1-1,0-1 0,2 1 1,-1-1-1,13 19 1,2 8 108,17 30-47,-23-45-92,-1-1 0,-1 2-1,17 55 1,-27-58-1205</inkml:trace>
  <inkml:trace contextRef="#ctx0" brushRef="#br0" timeOffset="141.82">969 433 6979,'0'0'7316,"111"5"-7316,-75 5-257,1-5-4081</inkml:trace>
  <inkml:trace contextRef="#ctx0" brushRef="#br0" timeOffset="1264.77">1656 147 4706,'0'0'15111,"-8"10"-14321,7-8-737,-5 4 65,1 1 0,1-1 0,-1 1 0,1 0 0,0 1 1,1-1-1,0 1 0,0 0 0,1 0 0,-3 10 0,1 28 361,2 69 0,2-69-401,0-39-79,1 0 0,-1 0 1,1 0-1,1 0 0,-1 0 1,1-1-1,0 1 0,0 0 1,1-1-1,0 0 1,5 9-1,-5-11-7,0 0-1,0-1 1,0 1 0,0-1-1,1 0 1,-1 0 0,1 0-1,0 0 1,0 0 0,0-1-1,0 0 1,0 0 0,1 0-1,-1 0 1,1-1 0,-1 1-1,10 0 1,-6-1-119,1 1-1,0-2 1,0 0 0,0 0-1,0 0 1,15-3 0,-20 2 102,-1 0 1,0-1-1,1 1 1,-1 0-1,0-1 1,0 0-1,0 0 1,0 0-1,0 0 0,0 0 1,0-1-1,-1 1 1,1-1-1,-1 0 1,0 0-1,0 0 1,0 0-1,0 0 1,2-5-1,1-7 68,-1-1 0,0 0 1,-1-1-1,-1 1 0,0-1 0,-1 1 0,-1-1 0,-3-21 0,2-7 236,2 40-183,-1 1 0,0-1 0,0 1 0,0-1-1,-1 0 1,0 1 0,1-1 0,-2 1 0,1 0 0,0-1 0,-1 1 0,0 0-1,0 0 1,-3-5 0,4 31-147,1-9 43,1 0 0,0 0 0,1 0 1,0 0-1,1 0 0,7 19 0,-9-29-80,0 1 0,1-1 0,-1 0 0,1 0 0,0 0 0,0 0 0,0 0 0,0 0 0,0 0 0,1-1 0,-1 1 0,1-1 0,0 1 0,0-1 0,0 0 0,0 0 0,0-1 0,0 1 0,0-1 0,0 1 0,1-1 1,-1 0-1,1 0 0,-1-1 0,1 1 0,-1-1 0,1 1 0,-1-1 0,6-1 0,-8 1 84,0 0 0,0-1-1,0 1 1,0-1 0,0 0 0,0 1 0,0-1 0,0 0 0,-1 1-1,1-1 1,0 0 0,0 0 0,-1 0 0,1 1 0,-1-1 0,1 0-1,-1 0 1,1 0 0,-1 0 0,0 0 0,1 0 0,-1 0 0,0 0-1,0 0 1,1-1 0,-1 1 0,0-2 0,1-37 34,-1 32-35,0-3 42,0 0-1,-1 1 0,0-1 1,0 0-1,-1 1 1,-4-13-1,5 21 2,0-1-1,0 0 1,-1 1-1,1-1 1,-1 1-1,1-1 0,-1 1 1,0 0-1,0 0 1,0 0-1,0 0 1,-1 0-1,1 0 1,0 0-1,-1 1 1,1-1-1,-1 1 1,1 0-1,-1 0 1,0 0-1,0 0 1,1 0-1,-1 1 1,0-1-1,0 1 1,0 0-1,0-1 1,-3 2-1,4-1-36,1 0-1,-1 1 0,1 0 1,-1-1-1,1 1 1,0 0-1,-1-1 0,1 1 1,0 0-1,-1 0 1,1 0-1,0 0 0,0 1 1,0-1-1,0 0 1,0 0-1,0 1 0,0-1 1,1 0-1,-1 1 1,0-1-1,1 1 1,-1-1-1,1 1 0,0-1 1,-1 1-1,1-1 1,0 3-1,-6 51-39,5-34 27,1-1-1,1 1 1,1-1-1,0 1 1,7 23 0,-7-39-20,-1 1 0,1-1 0,0 0 1,0-1-1,1 1 0,-1 0 1,1-1-1,0 1 0,1-1 1,-1 0-1,1 0 0,0 0 0,0 0 1,0-1-1,0 0 0,0 0 1,1 0-1,-1 0 0,1-1 1,0 1-1,0-1 0,0 0 0,0-1 1,0 1-1,9 0 0,-9-1-36,-1 0-1,1-1 0,0 1 0,-1-1 0,1 0 1,-1 0-1,1-1 0,0 1 0,-1-1 0,1 0 1,-1-1-1,1 1 0,-1-1 0,0 1 0,1-1 1,-1-1-1,0 1 0,7-6 0,-6 3 83,0-1-1,-1 1 0,0-1 1,0 0-1,0 0 0,-1-1 1,1 1-1,-2-1 0,1 1 1,-1-1-1,3-14 0,1-15 426,-2-1-1,-2-1 1,-1 1 0,-6-55-1,4 81-216,0 1 1,-1 0-1,-1 0 0,0 0 1,0 0-1,-1 0 0,0 0 1,-6-9-1,10 19-201,0-1 1,0 1-1,0 0 0,0-1 0,0 1 1,0-1-1,0 1 0,-1 0 0,1-1 1,0 1-1,0 0 0,0-1 0,-1 1 1,1 0-1,0-1 0,-1 1 1,1 0-1,0-1 0,-1 1 0,1 0 1,0 0-1,-1-1 0,1 1 0,0 0 1,-1 0-1,1 0 0,0 0 0,-1 0 1,1-1-1,-1 1 0,1 0 0,0 0 1,-1 0-1,1 0 0,-1 0 0,1 0 1,-1 0-1,-5 16 58,3 24-248,2-18 171,2 0 1,0 0 0,1-1-1,2 1 1,0 0 0,1-1-1,1 0 1,1-1 0,1 1-1,1-1 1,21 35 0,-26-51-53,-1 0 0,0-1 1,1 1-1,0-1 0,-1 0 1,1 0-1,1 0 0,-1 0 0,0-1 1,1 1-1,-1-1 0,8 2 1,-10-3 39,0-1 0,0 1 1,0 0-1,0-1 1,1 0-1,-1 1 1,0-1-1,0 0 0,1 0 1,-1 0-1,0-1 1,0 1-1,0-1 0,1 1 1,-1-1-1,0 1 1,0-1-1,0 0 0,0 0 1,0 0-1,0 0 1,0-1-1,-1 1 1,1 0-1,0-1 0,-1 1 1,1-1-1,-1 0 1,2-2-1,3-5 26,-2-1 0,0-1-1,0 1 1,-1 0 0,0-1 0,-1 0-1,0 1 1,0-1 0,-1-17 0,-6-100 234,3 114-48,0 0 0,-1 0 0,-1 0 0,0 0 0,-1 0 0,-9-18 0,7 24 393,4 15-483,1 17-242,2-22 169,0 31-37,2 0 0,1 1-1,1-1 1,16 58-1,-11-59-48,-5-14-432,1 0 1,1 0 0,1 0 0,13 23 0,-19-38 51,1-1 0,-1 0 0,1 0 0,0 0 0,0 0 0,0 0 0,0 0 0,0 0 0,0-1 0,0 1 0,0-1 0,1 0 0,-1 1 0,1-1 0,-1 0 0,1 0 0,-1-1 0,4 2 0,31 3-8860</inkml:trace>
  <inkml:trace contextRef="#ctx0" brushRef="#br0" timeOffset="2028.11">2860 269 10181,'0'0'11133,"-16"2"-10552,-51 11-359,65-12-208,-1 1 0,1-1 0,0 0 0,-1 0 0,1 1 0,0-1 0,0 1 1,0 0-1,0 0 0,0 0 0,1-1 0,-1 2 0,0-1 0,1 0 0,0 0 0,-1 0 0,1 1 0,-1 2 0,-8 41 101,8-36-105,1-1-4,-1-1-1,1 0 1,1 1-1,0-1 1,0 0-1,0 1 1,4 15 0,-3-22-5,0 1 0,0-1 0,0 0 0,0 1 0,0-1 0,1 0 1,-1 0-1,1 0 0,-1 0 0,1 0 0,0 0 0,0 0 0,0-1 0,0 1 1,0-1-1,0 1 0,0-1 0,0 0 0,1 0 0,-1 0 0,1 0 0,-1 0 1,0-1-1,1 1 0,-1-1 0,1 1 0,-1-1 0,5 0 0,-1 1-21,0-1 0,0 0 0,1 0 0,-1 0-1,0-1 1,0 0 0,0 0 0,0 0 0,0-1-1,8-3 1,-11 3 10,0 0 0,0-1-1,0 1 1,0-1 0,0 1-1,-1-1 1,1 0 0,-1 0-1,0 0 1,1-1 0,-2 1-1,1 0 1,0-1 0,-1 1-1,1-1 1,-1 1-1,1-7 1,2-12 68,0-1-1,-2 0 0,0 0 1,-3-35-1,0 19 139,-2 13 431,2 26-610,1-1-1,0 1 1,0-1-1,0 1 0,0-1 1,0 1-1,-1-1 1,1 1-1,0-1 0,0 1 1,-1 0-1,1-1 1,0 1-1,-1-1 0,1 1 1,-1 0-1,1-1 1,0 1-1,-1 0 0,1-1 1,-1 1-1,1 0 1,-1 0-1,1 0 1,-1-1-1,1 1 0,-1 0 1,1 0-1,-1 0 1,1 0-1,-1 0 0,1 0 1,-1 0-1,1 0 1,-1 0-1,1 0 0,-1 0 1,1 0-1,-1 0 1,1 1-1,-1-1 0,1 0 1,-1 0-1,1 0 1,-2 1-1,1 0-18,0 0 0,0 1 0,0-1 0,0 0 0,0 1 0,0-1 0,1 0 0,-1 1 0,0-1 0,1 1 0,-1-1 0,1 1 0,-1-1 1,1 1-1,0 0 0,-1-1 0,1 3 0,-1 35-46,2-30 6,-1-3 9,0 0 1,1 0-1,0 0 1,0-1-1,1 1 1,-1 0-1,1-1 1,0 1-1,1-1 1,0 1-1,-1-1 1,2 0 0,-1 0-1,0-1 1,1 1-1,0-1 1,0 1-1,1-1 1,-1 0-1,10 5 1,-8-5-377,-1-1-1,1 1 1,1-2 0,-1 1 0,0-1 0,1 0 0,-1 0-1,1-1 1,0 1 0,-1-2 0,10 1 0,-14-1 268,0 0 0,0 0 1,0 0-1,0-1 0,0 1 1,-1 0-1,1-1 0,0 0 0,0 1 1,-1-1-1,1 0 0,0 0 1,-1 0-1,1 0 0,-1 0 1,1 0-1,-1-1 0,1 1 1,0-2-1,1-1 8,-1 0 1,0 1 0,0-1-1,0 0 1,0 0-1,-1 0 1,1 0 0,0-6-1,1-9 148,-1-1 0,-1 1-1,-1-22 1,0 25 63,0 13-13,-4-66 2422,3 63-2001,0 1 0,0 0-1,0 0 1,-1 0 0,0 0-1,0 0 1,0 0 0,-1 0-1,1 0 1,-7-7 0,9 12-449,0 0 1,0-1-1,-1 1 1,1 0-1,0 0 1,0 0-1,0 0 1,0-1 0,0 1-1,0 0 1,-1 0-1,1 0 1,0 0-1,0 0 1,0-1-1,0 1 1,-1 0-1,1 0 1,0 0 0,0 0-1,0 0 1,-1 0-1,1 0 1,0 0-1,0 0 1,0 0-1,-1 0 1,1 0 0,0 0-1,0 0 1,0 0-1,-1 0 1,1 0-1,0 0 1,0 0-1,0 0 1,-1 0-1,1 0 1,0 0 0,0 0-1,0 1 1,-1-1-1,1 0 1,0 0-1,0 0 1,-4 13 358,2 20-575,2-31 302,0 23 28,11 280 1021,-7-268-1101,2 0 1,1 0-1,2 0 0,2-1 1,1-1-1,18 38 0,-30-71-67,1-1-1,-1 1 1,1-1-1,0 0 1,0 1-1,-1-1 1,1 0-1,0 0 1,0 0-1,0 1 1,0-1-1,0 0 1,0 0-1,0 0 1,1-1-1,1 2 0,-3-2 6,1 0 0,-1 0 0,1 0-1,-1-1 1,1 1 0,-1 0 0,1 0-1,-1-1 1,1 1 0,-1 0-1,0-1 1,1 1 0,-1 0 0,0-1-1,1 1 1,-1-1 0,0 1 0,1-1-1,-1 1 1,0-1 0,0 1-1,0-1 1,1 1 0,-1-1 0,0 1-1,0-1 1,0 1 0,0-2 0,5-49 185,-6 39-372,0-1 0,0 0 0,-2 1 0,1-1 0,-1 1 0,-1 0 0,-1 0 0,1 0 0,-2 0 0,0 1 0,0 0 0,-1 0 0,0 0 0,-1 1 0,0 0 0,0 1 0,-17-14 0,2 8-2438,12 13-3911</inkml:trace>
</inkml:ink>
</file>

<file path=xl/ink/ink7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8:35.216"/>
    </inkml:context>
    <inkml:brush xml:id="br0">
      <inkml:brushProperty name="width" value="0.05" units="cm"/>
      <inkml:brushProperty name="height" value="0.05" units="cm"/>
      <inkml:brushProperty name="color" value="#F6630D"/>
    </inkml:brush>
  </inkml:definitions>
  <inkml:trace contextRef="#ctx0" brushRef="#br0">10 302 6515,'0'0'12134,"-10"-8"-12134,10 17-1969,0 1-945,8-3-2080</inkml:trace>
  <inkml:trace contextRef="#ctx0" brushRef="#br0" timeOffset="612.04">301 132 3858,'0'0'12035,"-6"-7"-11232,2 1-634,3 3-141,0 1 1,0 0-1,0 0 0,-1 0 1,1 0-1,-1 0 1,1 0-1,-1 1 1,0-1-1,0 0 1,0 1-1,0-1 1,0 1-1,0 0 0,0 0 1,-1 0-1,1 0 1,0 0-1,0 0 1,-1 1-1,-4-2 1,1 2 70,-1 0 0,1 0 0,-1 0 0,0 1 0,1 0 0,0 0 0,-1 1 0,1-1 0,-11 6 0,12-5-69,1 1 1,0 0-1,0 0 1,1 0 0,-1 0-1,0 0 1,1 1-1,0 0 1,0 0-1,0 0 1,0 0 0,1 0-1,0 0 1,-2 6-1,-1 2 3,1 0-1,1 0 0,0 1 0,0-1 1,1 1-1,1 0 0,0 0 0,1 0 1,1 0-1,1 13 0,-1-23-24,0 0 0,0-1 0,0 1-1,0 0 1,0-1 0,0 1 0,1-1 0,-1 0 0,1 1-1,0-1 1,-1 0 0,1 0 0,0 0 0,0 0 0,1-1-1,-1 1 1,0 0 0,0-1 0,1 0 0,-1 1 0,1-1-1,0 0 1,-1 0 0,4 0 0,0 1 25,0 0-1,0-1 1,1 0 0,-1-1-1,1 1 1,-1-1 0,0 0 0,1-1-1,10-1 1,-16 1-22,0 0-1,0 1 1,1-1-1,-1 0 1,0 0 0,0 0-1,0 0 1,0 0-1,-1 0 1,1 0-1,0 0 1,0 0 0,-1 0-1,1 0 1,0 0-1,-1-1 1,1 1 0,-1 0-1,0-1 1,1 1-1,-1 0 1,0-1-1,0 1 1,0 0 0,0-1-1,0 1 1,0 0-1,0-1 1,0 1 0,-1 0-1,1-2 1,-1-5 34,-1 8-30,0 0-1,0 0 0,0 0 0,0 0 1,0 0-1,0 0 0,0 0 1,0 1-1,-1-1 0,-1 2 1,0 1-15,1 1 1,-1-1-1,1 1 1,0 0 0,0 0-1,0 0 1,0 0 0,1 1-1,0-1 1,0 1-1,0-1 1,0 1 0,-1 8-1,1-7-3,0 1 0,1-1 0,0 1 0,0-1 0,1 1 0,0 0 0,0-1 1,1 1-1,-1-1 0,3 10 0,-1-14 7,-1 1 1,1 0 0,-1 0-1,1-1 1,0 1 0,0-1-1,0 1 1,0-1 0,1 0-1,-1 0 1,1 0 0,-1 0-1,1 0 1,0-1 0,-1 1-1,1-1 1,0 0 0,0 0-1,0 0 1,0 0 0,0 0-1,4 0 1,9 2 42,-1-2 1,1 1-1,17-2 0,-31 0-42,9 0-35,8 0-441,0 0 0,21-4 0,-33 2-286,-1 1 1,1-1 0,0 0-1,0-1 1,8-4 0,5-6-4263</inkml:trace>
  <inkml:trace contextRef="#ctx0" brushRef="#br0" timeOffset="1175.06">525 215 9236,'0'0'13825,"0"2"-13611,-2 204 1258,4-237-1445,1 1 1,2 0-1,0 0 0,2 1 0,11-30 0,-18 59-32,0 0-1,0-1 1,0 1 0,0 0-1,0 0 1,0 0 0,0 0 0,0-1-1,0 1 1,0 0 0,0 0-1,0 0 1,0-1 0,0 1-1,0 0 1,0 0 0,1 0-1,-1 0 1,0-1 0,0 1-1,0 0 1,0 0 0,0 0 0,0 0-1,1-1 1,-1 1 0,0 0-1,0 0 1,0 0 0,0 0-1,0 0 1,1 0 0,-1 0-1,0 0 1,0 0 0,0-1-1,1 1 1,-1 0 0,0 0-1,0 0 1,0 0 0,1 0 0,-1 0-1,0 0 1,0 0 0,0 0-1,0 0 1,1 1 0,-1-1-1,0 0 1,0 0 0,0 0-1,1 0 1,-1 0 0,0 0-1,0 0 1,0 0 0,0 0 0,0 1-1,1-1 1,-1 0 0,0 0-1,0 0 1,0 0 0,0 0-1,0 1 1,1-1 0,3 10-35,-4-10 30,5 12-39,5 16-42,21 41-1,-28-63-39,1 0 0,-1 1-1,2-1 1,-1-1 0,0 1-1,1 0 1,0-1-1,1 0 1,-1-1 0,1 1-1,0-1 1,7 5 0,-11-9 106,-1 1 0,0 0 0,1-1 0,-1 1 0,1-1 1,-1 1-1,1-1 0,-1 0 0,1 0 0,-1 0 0,1 1 0,-1-2 1,1 1-1,-1 0 0,1 0 0,-1 0 0,1-1 0,-1 1 1,1-1-1,-1 1 0,1-1 0,-1 1 0,3-3 0,-2 1 20,0 0-1,1 0 1,-1-1-1,0 1 1,-1-1-1,1 1 1,0-1-1,-1 0 1,0 1-1,1-1 1,0-4 0,2-7 34,-1 0 1,0 0 0,-1 0 0,0-15 0,-1-100-22,-2 123-680,-1 10-1104,-1 12-378,3-6 1020,0-7 343,0 1 1,0-1 0,0 0 0,0 0 0,0 1-1,1-1 1,-1 0 0,3 6 0,14 12-8417</inkml:trace>
  <inkml:trace contextRef="#ctx0" brushRef="#br0" timeOffset="1688.45">973 174 11301,'0'0'12230,"0"-6"-11489,0-8-734,0 40-1,0 48 200,-1-31-172,-1 34 56,3-70-82,-1 0 0,1 0 0,0-1-1,1 1 1,0 0 0,0 0 0,0-1 0,4 7 0,-6-13-8,0 0-1,0-1 1,0 1 0,0 0 0,0 0-1,0-1 1,0 1 0,0 0 0,0 0-1,0 0 1,0-1 0,0 1 0,0 0-1,1 0 1,-1 0 0,0-1 0,0 1-1,0 0 1,0 0 0,1 0 0,-1 0-1,0-1 1,0 1 0,0 0 0,1 0-1,-1 0 1,0 0 0,0 0 0,0 0-1,1 0 1,-1 0 0,0 0 0,0 0-1,1 0 1,-1 0 0,0 0 0,0 0-1,1 0 1,-1 0 0,0 0-1,0 0 1,1 0 0,-1 0 0,0 0-1,0 0 1,0 0 0,1 0 0,-1 0-1,0 0 1,0 1 0,0-1 0,1 0-1,-1 0 1,0 0 0,0 0 0,0 1-1,0-1 1,1 0 0,-1 0 0,0 0-1,0 1 1,0-1 0,0 0 0,0 0-1,0 1 1,4-21 67,-4 20-66,2-43 30,-2-1 1,-2 0 0,-13-76 0,14 109-37,-3-56-11,15 68-160,-6 1 151,0 1 1,0 0-1,0 0 0,0 0 0,0 0 0,0 1 0,-1 0 0,0 0 0,0 0 1,0 0-1,0 1 0,3 5 0,4 5 6,0 1-1,11 26 1,-15-27-172,-2 0 1,0 0-1,-1 0 0,-1 0 1,0 0-1,-1 1 1,0-1-1,-2 25 0,0-38 183,0 0-1,0 0 0,0 0 0,0 0 0,0 0 1,-1 0-1,1 0 0,-1 0 0,1 0 0,-1 0 0,0 0 1,0-1-1,0 1 0,0 0 0,0 0 0,0-1 1,-1 1-1,1-1 0,0 1 0,-1-1 0,1 1 1,-1-1-1,0 0 0,1 0 0,-1 0 0,0 0 1,0 0-1,-2 1 0,-4 0-347,1 0-1,-1-1 1,1 0-1,-1 0 1,0-1-1,-8 0 1</inkml:trace>
  <inkml:trace contextRef="#ctx0" brushRef="#br0" timeOffset="2044.79">1332 80 8852,'0'0'11952,"-7"5"-11717,6-5-232,-3 3 41,0-1 0,0 1 0,1 0 0,-1 0 0,1 0 0,0 0 0,0 1 0,0-1 0,0 1 0,0 0 0,1 0 0,0 0 0,0 0 0,0 0 0,-3 9 0,-1 18 195,2 1 0,1 0 0,1 57 1,2-88-237,0 4-22,0 0 1,0 0-1,1 0 0,-1 0 0,1 0 0,0-1 0,1 1 0,-1 0 0,1-1 0,0 1 0,0-1 0,0 1 1,1-1-1,-1 0 0,1 0 0,0 0 0,0-1 0,1 1 0,-1-1 0,1 1 0,0-1 0,0 0 0,0 0 1,0-1-1,0 1 0,0-1 0,1 0 0,-1 0 0,1-1 0,0 1 0,0-1 0,-1 0 0,11 1 0,46 1-2942,-22-8-2633,-10-9-3016</inkml:trace>
  <inkml:trace contextRef="#ctx0" brushRef="#br0" timeOffset="2327.12">1586 1 11733,'0'0'13092,"4"2"-12940,8 10-6,0 0 1,-1 1-1,0 1 1,-1-1-1,-1 2 1,10 17 0,3 3 78,-13-20-182,63 107 317,-66-110-378,-1 1 0,0 0 0,0-1 0,-2 2-1,1-1 1,-2 0 0,1 1 0,-1 15 0,-2-26-70,0-1 1,0 1-1,-1 0 0,1 0 1,-1 0-1,1-1 0,-1 1 1,0 0-1,0-1 0,0 1 0,-1-1 1,1 1-1,-1-1 0,1 1 1,-1-1-1,0 0 0,0 0 1,0 0-1,0 0 0,0 0 0,0 0 1,0-1-1,-1 1 0,1-1 1,-1 1-1,1-1 0,-1 0 1,1 0-1,-1 0 0,-3 0 1,-8 2-1276,0 0 1,-1-1 0,1-1-1,-24-1 1,33 0 621,-35 0-6668</inkml:trace>
</inkml:ink>
</file>

<file path=xl/ink/ink7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8:53.807"/>
    </inkml:context>
    <inkml:brush xml:id="br0">
      <inkml:brushProperty name="width" value="0.05" units="cm"/>
      <inkml:brushProperty name="height" value="0.05" units="cm"/>
      <inkml:brushProperty name="color" value="#F6630D"/>
    </inkml:brush>
  </inkml:definitions>
  <inkml:trace contextRef="#ctx0" brushRef="#br0">63 177 4018,'0'0'11050,"-8"-5"-10618,3 2-391,-19-8 37,23 11-70,0 0 0,1 0 0,-1 0-1,0 1 1,0-1 0,0 0 0,1 0-1,-1 1 1,0-1 0,1 0 0,-1 1-1,0-1 1,1 1 0,-1-1-1,0 1 1,1-1 0,-1 1 0,1 0-1,-1-1 1,1 1 0,-1-1 0,1 1-1,-1 0 1,1 0 0,0-1 0,-1 1-1,1 0 1,0-1 0,0 1 0,0 0-1,0 0 1,-1 0 0,1-1-1,0 1 1,0 2 0,-5 49 664,2 1 1,7 93-1,-3-124-583,2 0 1,7 30-1,-9-43-80,2-1-1,-1 0 1,1 0 0,1 0-1,0-1 1,0 1 0,0-1-1,1 0 1,6 9 0,-9-14-51,0-1 1,0 1 0,0 0-1,0-1 1,0 1 0,1-1-1,-1 0 1,0 0 0,1 0-1,-1 0 1,0 0 0,1 0-1,0 0 1,-1-1 0,1 1-1,-1-1 1,1 0 0,-1 0-1,1 0 1,0 0 0,-1 0-1,1-1 1,-1 1 0,1-1-1,2-1 1,1 0-18,-1 0 1,0 0-1,-1-1 1,1 1 0,0-1-1,-1 0 1,1-1-1,-1 1 1,0-1-1,6-7 1,0-2 4,0 0 0,-2 0 1,1-1-1,-1 0 1,-1-1-1,-1 1 1,0-1-1,-1-1 1,0 1-1,-2-1 0,1 1 1,0-23-1,-4 38 56,0-1 0,0 1-1,0 0 1,0 0 0,0 0 0,-1 0-1,1 0 1,0 0 0,0 0-1,0 0 1,0-1 0,0 1 0,-1 0-1,1 0 1,0 0 0,0 0-1,0 0 1,0 0 0,-1 0 0,1 0-1,0 0 1,0 0 0,0 0-1,0 0 1,-1 0 0,1 0 0,0 0-1,0 0 1,0 0 0,0 0 0,-1 0-1,1 0 1,0 1 0,0-1-1,0 0 1,0 0 0,0 0 0,-1 0-1,1 0 1,0 0 0,0 0-1,0 0 1,0 1 0,0-1 0,0 0-1,0 0 1,0 0 0,-1 0-1,1 0 1,0 1 0,0-1 0,0 0-1,0 0 1,0 0 0,0 0-1,0 1 1,0-1 0,-8 9-35,4-2-84,1 0 0,0 1-1,0-1 1,0 0 0,1 1 0,0 0 0,0-1-1,1 1 1,0 0 0,0 0 0,1 0 0,0 0-1,2 9 1,-1-15-86,0 1-1,0 0 1,0-1 0,0 1-1,1-1 1,-1 0-1,1 1 1,0-1 0,0 0-1,0 0 1,0 0-1,0 0 1,0 0 0,0-1-1,1 1 1,-1-1-1,1 1 1,-1-1 0,1 0-1,-1 0 1,1 0-1,0 0 1,0 0-1,5 0 1,-1 1-251,1-1 0,0 0 0,0 0 0,0 0-1,0-1 1,0-1 0,0 1 0,8-3 0,-13 2 478,0 0 0,-1-1 0,1 1 1,-1-1-1,1 1 0,-1-1 0,0 0 0,0 0 0,0-1 0,0 1 0,0 0 1,0 0-1,-1-1 0,1 1 0,-1-1 0,1 0 0,-1 1 0,0-1 0,0 0 1,0 0-1,-1 0 0,1-3 0,3-12 1128,-1 0-1,0-24 1,-2 33-563,-1-14 548,0 16-467,-1 0 1,1 1 0,1-1 0,-1 1 0,1-1 0,4-12-1,2 58 187,-5-23-841,1 1 0,0-1 0,10 29 0,-11-40-30,0 1 1,1 0 0,0 0 0,0-1 0,0 0 0,1 1 0,-1-1 0,1-1-1,0 1 1,1 0 0,-1-1 0,1 0 0,6 4 0,-9-6-16,0-1 0,1 0-1,-1 1 1,0-1 0,1 0 0,-1 0 0,1-1 0,0 1 0,-1 0 0,1-1 0,-1 0 0,1 1-1,0-1 1,-1 0 0,1 0 0,0-1 0,-1 1 0,1 0 0,0-1 0,-1 0 0,1 1-1,-1-1 1,1 0 0,-1-1 0,1 1 0,-1 0 0,0-1 0,0 1 0,0-1 0,0 0 0,0 1-1,0-1 1,0 0 0,0 0 0,-1 0 0,1-1 0,-1 1 0,1 0 0,-1-1 0,0 1-1,0 0 1,0-1 0,1-2 0,1-10 2,-1 1 1,0-1-1,0-19 0,-2 28 70,0 0 0,0 0 0,-1 0 0,0 0 0,0 0 0,0 1 0,-1-1 0,1 0 0,-2 0 0,-3-8 0,5 13-38,1 0 0,-1 0 0,0 0 0,1 0 0,-1 1 0,0-1 0,1 0 0,-1 1 0,0-1 0,0 0 0,0 1 0,0-1 0,1 1 0,-1-1 0,0 1 0,0 0 0,0-1 0,0 1 0,0 0 0,0 0 0,-2 0 0,3 0-11,-1 0 1,1 0 0,-1 0 0,1 0-1,-1 1 1,1-1 0,-1 0 0,1 0-1,-1 1 1,1-1 0,-1 0-1,1 1 1,-1-1 0,1 1 0,-1-1-1,1 0 1,0 1 0,-1-1-1,1 1 1,0-1 0,0 1 0,-1-1-1,1 1 1,0 0 0,0-1 0,0 1-1,-1-1 1,1 1 0,0-1-1,0 1 1,0 0 0,0-1 0,0 1-1,0 0 1,0 4-9,0-1 0,1 1 0,-1-1 0,0 1 0,1-1 1,0 1-1,0-1 0,1 0 0,-1 1 0,1-1 0,3 6 0,-2-7-44,-1 0-1,0-1 1,1 1-1,0-1 1,-1 1-1,1-1 1,0 0 0,0 0-1,0 0 1,1-1-1,-1 1 1,0-1-1,1 0 1,-1 0 0,5 1-1,-2 0-80,-1-1 0,1 0 0,-1 0 0,1 0 0,-1-1 0,1 0 0,-1 0 0,1 0 0,10-3 0,-14 2 155,1 0 0,-1 0-1,1 0 1,-1 0 0,0-1-1,1 1 1,-1-1-1,0 0 1,0 1 0,0-1-1,0 0 1,0 0 0,-1 0-1,1-1 1,0 1 0,-1 0-1,0-1 1,1 1-1,-1-1 1,0 1 0,0-4-1,10-40 1175,-4 14 551,-4 37-1097,-3 20-390,0 1-254,-1-9-3,1 1-1,1 0 1,3 18 0,-3-31-2,0-1 0,0 1 0,1-1 0,-1 0 0,1 1 0,0-1 1,0 0-1,0 0 0,1 0 0,-1 0 0,1-1 0,0 1 0,0-1 0,0 1 0,1-1 1,6 5-1,-8-7-24,1 1 1,-1-1-1,1 1 0,0-1 1,-1 0-1,1 0 1,0 0-1,0-1 0,0 1 1,0-1-1,-1 1 1,1-1-1,0 0 1,0 0-1,0 0 0,0 0 1,0-1-1,0 1 1,0-1-1,-1 0 1,1 0-1,3-1 0,-2 0 22,-1 0-1,1-1 0,-1 1 0,1-1 1,-1 1-1,0-1 0,0 0 0,0-1 1,0 1-1,-1 0 0,1-1 1,-1 1-1,4-9 0,-1-1 34,-1 0 0,-1-1 0,1 0 0,-2 1 0,0-1 0,-1-1 0,0 1 0,-2-17 0,1 30-7,0 1-16,-1-1 0,1 1-1,0 0 1,0 0-1,0 0 1,0 0-1,-1 0 1,1 0 0,0 0-1,0 0 1,0 0-1,0 0 1,-1-1-1,1 1 1,0 0 0,0 0-1,0 0 1,-1 0-1,1 0 1,0 0-1,0 0 1,0 1 0,-1-1-1,1 0 1,0 0-1,0 0 1,0 0-1,-1 0 1,1 0 0,0 0-1,0 0 1,0 0-1,0 0 1,-1 1-1,1-1 1,0 0 0,0 0-1,0 0 1,0 0-1,0 1 1,0-1-1,-1 0 1,1 0 0,0 0-1,0 0 1,0 1-1,0-1 1,0 0-1,0 0 1,0 0 0,0 1-1,0-1 1,0 0-1,0 1 1,-2 3-12,0 0 1,1 1 0,-1-1-1,1 1 1,0-1-1,1 1 1,-1 0-1,1-1 1,0 1-1,0 0 1,0-1 0,1 1-1,-1 0 1,1-1-1,0 1 1,3 7-1,-2-9-116,-1 0-1,1 0 1,-1-1-1,1 1 1,0 0-1,0-1 1,0 1-1,1-1 1,-1 0-1,0 0 1,1 0-1,0 0 1,-1 0-1,1 0 1,0-1-1,0 1 1,0-1-1,0 0 1,0 0-1,0 0 1,0 0-1,0 0 1,1-1-1,-1 0 0,3 1 1,1-1-186,-1 0 0,0 0 0,0 0 0,0-1 0,1 0 0,-1 0 0,0 0 0,0-1 0,0 0 0,-1 0 0,8-4 0,-8 3 301,-1 0 1,1-1-1,-1 0 1,0 0-1,0 0 0,-1 0 1,1 0-1,-1-1 1,0 0-1,0 1 1,-1-1-1,1 0 1,1-6-1,9-47 3059,-9 40 209,-5 48-2743,0-18-612,-1 5 112,1 0 0,1 1 1,1-1-1,0 0 0,5 24 1,-5-37-161,0 0 1,0-1 0,1 1-1,-1 0 1,1-1-1,0 1 1,0-1-1,0 1 1,0-1 0,1 0-1,-1 0 1,1 0-1,0 0 1,0-1-1,0 1 1,0-1 0,1 0-1,-1 0 1,0 0-1,1 0 1,0 0-1,-1-1 1,1 1 0,0-1-1,0 0 1,0-1-1,0 1 1,0 0-1,5-1 1,-4 0-71,0 1-1,1-1 1,-1 0 0,0-1 0,1 1-1,-1-1 1,0 0 0,0 0 0,1-1-1,-1 0 1,0 0 0,8-4-1,-8 2 18,1 0 0,-1-1 0,0 0 0,-1 1-1,1-2 1,-1 1 0,0 0 0,0-1-1,5-10 1,-4 6 884,-1-1 0,-1 0 0,1 0 0,-2 0 1,1 0-1,-2 0 0,1-1 0,-2 1 0,1-1 0,-2-13 0,0 8-333,1 17-323,-1 0 0,1 0 0,-1-1 0,1 1 0,-1 0 0,1 0 0,-1 0 0,0 0 0,1 0 0,-1 0 0,1 0 0,-1 1 0,1-1 0,-1 0 0,1 0 0,-1 0 0,1 1 0,-1-1 0,1 0 0,-1 0 0,1 1 0,-1-1 0,1 0 0,-1 1 0,1-1 0,0 1 0,-1 0 0,-1 2-53,1 0 0,0 1 0,0-1 0,0 1 0,0 0 0,1-1 0,-1 1 0,1-1 0,0 1 0,0 0 0,0-1 0,1 1-1,-1 0 1,1-1 0,0 1 0,1 3 0,-1-5-150,0 1 0,0-1 0,0 0-1,0 1 1,0-1 0,1 0 0,-1 0 0,1 0-1,0 0 1,-1 0 0,1 0 0,0-1 0,0 1-1,0-1 1,0 1 0,1-1 0,-1 0 0,0 0-1,0 1 1,1-2 0,-1 1 0,1 0 0,3 0-1,-4 0 80,-1-1 0,0 0 0,0 1 0,1-1 0,-1 0 0,1 0 0,-1 0 0,0 0 0,1 0 0,-1 0-1,0 0 1,1-1 0,-1 1 0,0 0 0,1-1 0,-1 1 0,0-1 0,0 0 0,0 1 0,1-1 0,-1 0-1,0 0 1,0 1 0,0-1 0,0 0 0,0 0 0,0 0 0,-1 0 0,1-1 0,1 0 0,-1-3 82,0 1 1,0-1-1,0 0 1,-1 1 0,1-1-1,-1 0 1,-1-6 0,1-3 105,0 9 196,0 0 0,-1-1-1,0 1 1,0 0 0,0 0-1,0 0 1,-1 0 0,0 0 0,0 1-1,0-1 1,-1 1 0,-4-8 0,6 10-172,-1 0 1,0 0-1,0 0 1,0 1 0,0-1-1,0 0 1,0 1-1,0-1 1,0 1-1,-1 0 1,1-1 0,-1 1-1,1 1 1,-1-1-1,1 0 1,-1 0 0,1 1-1,-1 0 1,0-1-1,1 1 1,-1 0 0,0 0-1,1 0 1,-1 1-1,1-1 1,-5 2 0,5-1-117,0 0 1,1-1 0,-1 1 0,1 1 0,-1-1 0,1 0 0,-1 0-1,1 1 1,-1-1 0,1 0 0,0 1 0,0-1 0,0 1 0,0 0-1,0-1 1,0 1 0,0 0 0,1 0 0,-1 0 0,1-1-1,-1 1 1,1 0 0,-1 3 0,-2 46 115,3-49-104,-1 7 8,1 0 0,1-1 0,0 1 1,0 0-1,1-1 0,0 1 0,1-1 0,4 12 0,-4-15-77,0 0 0,0 0 0,0 0 0,1 0-1,0-1 1,0 0 0,0 0 0,0 0-1,1 0 1,0 0 0,-1-1 0,1 0-1,11 5 1,-12-6-65,0 0-1,0-1 0,0 1 1,0-1-1,1 0 1,-1 0-1,0 0 1,1 0-1,-1-1 1,1 0-1,-1 0 1,1 0-1,-1 0 1,8-2-1,-8 1 127,-1-1 0,0 1 0,0-1-1,0 0 1,0 0 0,0 0 0,0 0 0,0 0 0,0 0 0,-1-1-1,1 0 1,-1 1 0,0-1 0,0 0 0,0 0 0,0 0 0,-1 0-1,3-6 1,1-4 429,0-1 1,-2 0-1,5-26 0,-6 25 680,1 0-1,9-29 1,-12 44-1099,0 0-1,0 0 1,0 0-1,0-1 1,1 1-1,-1 0 1,0 0-1,0 0 0,0-1 1,0 1-1,0 0 1,0 0-1,1 0 1,-1 0-1,0-1 1,0 1-1,0 0 1,0 0-1,1 0 0,-1 0 1,0 0-1,0 0 1,0 0-1,1 0 1,-1-1-1,0 1 1,0 0-1,1 0 1,-1 0-1,0 0 0,0 0 1,0 0-1,1 0 1,-1 0-1,0 0 1,0 0-1,1 1 1,-1-1-1,0 0 1,0 0-1,0 0 0,1 0 1,-1 0-1,0 0 1,0 0-1,0 0 1,0 1-1,1-1 1,-1 0-1,0 0 1,0 0-1,0 0 0,0 1 1,1-1-1,-1 0 1,7 11-204,36 127-2216,-43-138 2323,1 1-1,-1 0 1,0 0 0,0-1-1,1 1 1,-1 0 0,0 0-1,1-1 1,-1 1 0,0 0-1,1-1 1,-1 1 0,1 0-1,-1-1 1,1 1-1,0-1 1,-1 1 0,1-1-1,0 1 1,-1-1 0,1 0-1,0 1 1,-1-1 0,1 0-1,0 1 1,0-1 0,-1 0-1,3 1 1,-2-2 46,1 1 1,0-1-1,-1 1 1,1-1-1,-1 1 1,1-1 0,-1 0-1,1 1 1,-1-1-1,0 0 1,1 0-1,-1 0 1,2-2-1,5-5 169,0-1 0,-1 0 0,7-10 0,-12 17-218,72-118 1243,-60 96-427,-14 24-703,0 1-1,-1-1 0,1 0 1,0 0-1,0 0 0,1 0 1,-1 0-1,0 0 0,0 1 0,0-1 1,0 0-1,0 0 0,0 0 1,0 0-1,0 0 0,0 0 1,0 1-1,0-1 0,0 0 1,0 0-1,0 0 0,0 0 0,1 0 1,-1 0-1,0 0 0,0 0 1,0 1-1,0-1 0,0 0 1,0 0-1,0 0 0,1 0 1,-1 0-1,0 0 0,0 0 1,0 0-1,0 0 0,0 0 0,1 0 1,-1 0-1,0 0 0,0 0 1,0 0-1,0 0 0,0 0 1,0 0-1,1 0 0,-1 0 1,0 0-1,0 0 0,0 0 1,0 0-1,0 0 0,0-1 0,1 1 1,-1 0-1,0 0 0,0 0 1,0 0-1,0 0 0,0 0 1,0 0-1,0-1 0,3 25 356,-2 39-684,-1-55 488,0 3-180,1-1 1,-1 1-1,2-1 0,2 13 1,-4-21-7,1 1 1,0-1-1,-1 0 1,1 0-1,0 0 1,0 0-1,0 0 1,0 0-1,0 0 1,1 0-1,-1 0 1,0-1-1,1 1 1,0 0-1,-1-1 1,1 1-1,0-1 1,0 0-1,-1 1 1,1-1-1,0 0 1,1 0-1,-1-1 1,0 1-1,0 0 1,4 0-1,-2 0 5,1-1-1,-1 0 1,1 0-1,-1 0 0,0 0 1,1-1-1,-1 0 1,0 0-1,0 0 1,0 0-1,0-1 0,1 1 1,-2-1-1,1 0 1,0 0-1,4-4 0,-2 1 18,-1 0 1,0-1-1,0 1 0,0-1 0,-1 0 0,0 0 0,0-1 0,5-13 0,-2 3 2,-1-1-1,0 0 1,-2 0 0,0-1 0,-1 1 0,-1-1-1,-1 0 1,0 0 0,-2 1 0,0-1-1,-1 0 1,-1 1 0,0-1 0,-2 1 0,0 0-1,-1 0 1,-1 0 0,0 1 0,-2 0 0,-14-22-1,7 23 404,16 16-422,-1 0 1,1-1-1,0 1 1,0 0-1,-1 0 0,1 0 1,0 0-1,0 0 1,-1 0-1,1 0 1,0 0-1,0 0 0,-1 0 1,1 0-1,0 0 1,0 0-1,-1 0 0,1 0 1,0 1-1,0-1 1,-1 0-1,1 0 1,0 0-1,0 0 0,-1 0 1,1 1-1,0-1 1,0 0-1,0 0 1,-1 0-1,1 1 0,0-1 1,0 0-1,0 0 1,0 0-1,0 1 1,0-1-1,-1 1 0,0 4 1,0 0 0,0 0 0,1 0 0,-1 0 0,2 8 0,0 5 97,0 1 0,2-1 0,0 0 0,1-1 0,10 27 0,40 87 437,-41-102-537,-2-5-1005,27 43 1</inkml:trace>
  <inkml:trace contextRef="#ctx0" brushRef="#br0" timeOffset="172.17">1916 222 4306,'0'0'9508,"134"26"-9828,-85-20-3121,7-6-5091</inkml:trace>
  <inkml:trace contextRef="#ctx0" brushRef="#br0" timeOffset="1264.21">2407 4 8292,'0'0'10244,"-7"11"-9673,4-7-500,-4 6 58,1-1 0,0 1 0,1 0 1,0 1-1,1-1 0,0 1 1,-3 15-1,0 15 75,2 1 0,2 0 0,3 45 0,0-79-183,1 0-1,-1 0 1,2 0-1,-1 0 1,1-1-1,0 1 0,1-1 1,-1 1-1,2-1 1,-1 0-1,1 0 1,5 8-1,-5-11-59,-1 0-1,1 1 0,0-2 1,0 1-1,0 0 1,1-1-1,-1 0 1,1 0-1,0 0 1,0-1-1,0 0 1,0 0-1,0 0 0,0 0 1,0-1-1,1 0 1,-1 0-1,9 1 1,-9-2-102,0 0 1,0 0-1,0 0 1,0 0 0,0-1-1,0 1 1,-1-1-1,1-1 1,0 1 0,0-1-1,8-4 1,-10 4 73,0 0 1,1-1 0,-1 0 0,-1 0-1,1 0 1,0 0 0,-1 0 0,0 0-1,1-1 1,-1 1 0,0-1 0,-1 0-1,1 1 1,-1-1 0,2-5-1,1-9 100,-2 0-1,1 0 1,-2 0-1,0 0 0,-3-22 1,1-1 1835,1 40-1697,-3 22-465,2-10 163,0-5-293,1 1 1,0 0-1,0-1 1,0 1-1,3 10 1,-3-16 366,0 1 1,1-1-1,-1 0 1,1 0-1,0 0 1,-1 0 0,1 0-1,0 1 1,-1-1-1,1 0 1,0-1-1,0 1 1,0 0 0,0 0-1,0 0 1,0 0-1,0-1 1,0 1-1,0 0 1,0-1 0,1 1-1,-1-1 1,0 0-1,0 1 1,1-1-1,-1 0 1,0 0 0,0 1-1,1-1 1,-1 0-1,0 0 1,0-1-1,1 1 1,1 0 0,-2-1 58,0 1 0,0-1 0,0 1 1,0-1-1,-1 0 0,1 1 1,0-1-1,0 0 0,0 1 1,-1-1-1,1 0 0,0 0 0,-1 0 1,1 0-1,-1 0 0,1 0 1,-1 0-1,1 0 0,-1 0 1,0 0-1,1 0 0,-1 0 0,0 0 1,0 0-1,0-1 0,3-32 95,-2 31-88,-1-91 3112,0 94-3099,0-1 0,0 1-1,0-1 1,0 1-1,0-1 1,0 0-1,0 1 1,0-1-1,0 1 1,0-1-1,0 1 1,0-1 0,0 1-1,0-1 1,-1 0-1,1 1 1,0-1-1,0 1 1,-1-1-1,1 1 1,0 0-1,-1-1 1,1 1 0,0-1-1,-1 1 1,1 0-1,-1-1 1,1 1-1,-1 0 1,1-1-1,-1 1 1,1 0-1,-1 0 1,1-1 0,-1 1-1,1 0 1,-1 0-1,1 0 1,-1 0-1,0 0 1,1 0-1,-1 0 1,1 0-1,-1 0 1,1 0 0,-1 0-1,1 0 1,-1 0-1,0 0 1,0 1-1,0-1-25,-1 1-1,1 0 0,0-1 1,-1 1-1,1 0 1,0 0-1,0 0 0,-1 0 1,1 0-1,0 0 1,0 0-1,0 0 0,0 1 1,0-1-1,1 0 0,-1 0 1,0 1-1,0 2 1,-4 20-8,2 0 0,0 1 0,2-1 0,1 26 0,0-26-11,0-20-90,0 0 0,0 1 0,0-1-1,1 0 1,0 0 0,-1 1 0,1-1 0,1 0 0,-1 0 0,1 0 0,0 0 0,-1 0 0,2-1 0,-1 1 0,0 0-1,1-1 1,0 0 0,-1 1 0,1-1 0,1 0 0,-1-1 0,0 1 0,1 0 0,-1-1 0,1 0 0,0 0-1,0 0 1,0 0 0,0-1 0,0 1 0,0-1 0,0 0 0,0-1 0,1 1 0,4 0 0,-4-1 77,-1 0 1,0 0-1,0-1 1,0 1-1,1-1 1,-1 0-1,0 0 1,0 0-1,0-1 1,0 0-1,-1 1 1,1-1-1,0 0 1,-1-1-1,1 1 1,-1-1-1,0 1 1,0-1-1,0 0 1,0 0-1,0-1 1,-1 1 0,1 0-1,-1-1 1,0 0-1,0 1 1,0-1-1,-1 0 1,2-5-1,4-7 347,-2-1 0,0 1-1,-1-2 1,0 1 0,1-28 0,-3-90 2968,-3 77-1022,1 58-2232,0 0-1,0 0 1,0-1 0,0 1 0,0 0 0,0 0-1,0-1 1,0 1 0,0 0 0,0 0 0,0-1-1,0 1 1,0 0 0,-1 0 0,1 0 0,0-1-1,0 1 1,0 0 0,0 0 0,0 0 0,-1-1-1,1 1 1,0 0 0,0 0 0,0 0 0,-1 0-1,1-1 1,0 1 0,0 0 0,0 0 0,-1 0-1,1 0 1,0 0 0,0 0 0,-1 0 0,1 0-1,0 0 1,0 0 0,-1-1 0,0 2-22,1-1-1,-1 0 1,1 0 0,-1 1-1,1-1 1,-1 0 0,1 1-1,-1-1 1,1 0 0,-1 1-1,1-1 1,0 0 0,-1 1 0,1-1-1,0 1 1,-1-1 0,1 1-1,0-1 1,-1 1 0,1-1-1,0 1 1,0 0 0,-4 14-5,1 1-1,0-1 1,1 0 0,1 1 0,1-1 0,1 20 0,0-4 9,-1-20-12,0 1 1,2-1-1,-1 1 0,2-1 1,-1 0-1,1 0 1,1 0-1,0 0 0,1 0 1,9 15-1,-11-21-199,0 0 0,1 0-1,0 0 1,0-1 0,0 1 0,0-1 0,1 0-1,-1 0 1,1-1 0,0 1 0,0-1-1,0 0 1,1-1 0,-1 1 0,1-1 0,-1 0-1,1 0 1,0-1 0,0 0 0,0 0-1,11 0 1,-12-1 102,0 0-1,1 0 0,-1-1 1,0 0-1,0 0 0,0 0 1,0 0-1,0-1 0,0 0 1,0 0-1,0-1 1,-1 1-1,1-1 0,-1 0 1,1 0-1,3-4 0,-3 1 71,0 0 0,0 0 0,-1 0 0,1-1 0,-1 1 0,-1-1 0,1 0 0,-1 0 0,3-14 0,1-9 350,-2-1-1,-1 1 1,-1-1-1,-3-41 1,0 69-278,0-12 268,1 6 52,-1 0 0,0 0 0,0 0 0,-1 0 0,0-1 0,-1 1 0,0 0 0,0 1 0,-1-1 0,-5-11 0,-1 11 594,3 15-547,0 17-351,1 46 253,9 122 1,0-47-5142,-4-129-1645</inkml:trace>
  <inkml:trace contextRef="#ctx0" brushRef="#br0" timeOffset="1995.85">503 1033 5763,'0'0'11872,"1"10"-11173,2 37-390,3 0 1,19 78-1,41 98-730,-64-218-178,0 2-353,-1-2-2700</inkml:trace>
  <inkml:trace contextRef="#ctx0" brushRef="#br0" timeOffset="2479.67">390 1296 2657,'0'0'10173,"13"1"-9904,47 8-177,-8-1-366,54 0 0,-100-7 46,0-1 0,1 0-1,-1-1 1,0 0 0,1 0 0,-1 0-1,0-1 1,9-3 0,-12 3 195,-1 1-1,1-1 1,0 0 0,-1-1 0,1 1-1,-1 0 1,0-1 0,0 1-1,0-1 1,0 0 0,0 1 0,-1-1-1,1 0 1,-1 0 0,1 0-1,-1 0 1,0 0 0,0-4 0,3-8 662,-1-1 1,2-20 0,-3-9 4542,-17 115-4755,14-52-408,0 1 1,1-1-1,1 1 1,4 27-1,-4-41-56,1 1 0,-1-1-1,1 0 1,0 1-1,0-1 1,1 0-1,-1 0 1,1-1-1,0 1 1,1 0-1,-1-1 1,1 0-1,0 0 1,0 0-1,0 0 1,0-1-1,1 1 1,-1-1-1,8 3 1,-10-5 29,0 0 1,0 0-1,-1 0 1,1 0 0,0 0-1,1-1 1,-1 1-1,0-1 1,0 1-1,0-1 1,0 0-1,0 0 1,0 0-1,0 0 1,1 0-1,-1 0 1,2-1-1,-2 0-1,-1 0-1,1 0 0,-1 0 1,0 0-1,0 0 0,0 0 1,1 0-1,-1 0 1,0 0-1,0 0 0,0-1 1,-1 1-1,1 0 0,0-1 1,0 1-1,-1-1 0,1 1 1,0-2-1,1-9-74,0 1-1,-1 0 1,0 0 0,-1-1-1,-1-14 1,1 7 54,0 9 36,-1 0 1,0 0 0,-1 0-1,0 0 1,0 1-1,-1-1 1,0 1-1,-1 0 1,0 0-1,0 0 1,-1 0-1,-9-13 1,14 22-58,0 0 0,0 0-1,0-1 1,-1 1 0,1 0 0,0 0 0,0-1 0,0 1 0,0 0 0,0 0 0,0 0 0,-1-1 0,1 1 0,0 0 0,0 0 0,0 0 0,0-1 0,-1 1 0,1 0-1,0 0 1,0 0 0,-1 0 0,1 0 0,0 0 0,0-1 0,0 1 0,-1 0 0,1 0 0,0 0 0,0 0 0,-1 0 0,1 0 0,0 0 0,-1 0 0,1 0 0,0 0 0,0 0-1,-1 0 1,1 0 0,0 0 0,0 0 0,-1 1 0,1-1 0,0 0 0,0 0 0,0 0 0,-1 0 0,1 0 0,0 1 0,0-1 0,0 0 0,-1 0 0,1 0 0,0 1 0,0-1-1,0 0 1,0 0 0,0 0 0,-1 1 0,1-1 0,0 0 0,0 0 0,0 1 0,0-1 0,-1 18-4154,1-16 4315,0 26-4025</inkml:trace>
  <inkml:trace contextRef="#ctx0" brushRef="#br0" timeOffset="4204">1478 1057 2785,'0'0'12313,"0"-11"-10902,0-47 1769,0 59-2630,-1 55-477,0 2 81,8 69 0,-5-110-135,1-1 1,0 0-1,1 1 0,1-1 0,1 0 1,0-1-1,1 0 0,16 27 1,-21-39-179,1 1 1,0-1 0,0 0 0,0 0 0,1 0-1,-1 0 1,1 0 0,-1-1 0,1 1 0,0-1-1,0 0 1,0 0 0,0-1 0,1 1 0,6 1-1,-8-3 58,-1 1 0,1-1 0,-1 0-1,1 0 1,0 0 0,-1 0 0,1 0 0,-1-1-1,0 1 1,1-1 0,-1 1 0,1-1 0,-1 0-1,0 0 1,1 0 0,-1 0 0,0-1-1,0 1 1,0 0 0,0-1 0,0 0 0,0 1-1,0-1 1,-1 0 0,1 0 0,0 0-1,-1 0 1,2-3 0,1-6-26,-1 0 0,1 0 0,-2 0 0,0 0 0,0-1 0,0-18-1,-2-23 3646,0 57-3532,0 1-19,0 0-1,0 0 0,1 0 0,-1 0 0,1-1 1,0 1-1,2 6 0,-2-10-2,-1 1 0,1-1 0,0 0 0,0 0 0,0 1 0,0-1 0,1 0 0,-1 0 0,0 0 0,0 0 0,1 0 0,-1 0 0,0-1 0,1 1 0,-1 0 0,1-1 0,-1 1 0,1-1 0,-1 1 0,1-1-1,-1 0 1,1 0 0,0 0 0,-1 0 0,1 0 0,2 0 0,-3 0 19,1 0 1,0 0-1,-1 0 0,1-1 0,-1 1 0,1-1 1,-1 1-1,1-1 0,-1 1 0,1-1 0,-1 0 1,1 1-1,-1-1 0,0 0 0,0 0 0,1 0 1,-1 0-1,0 0 0,0-1 0,1-1 0,1 0 12,-2 0 0,1-1-1,0 1 1,-1-1 0,1 1-1,-1-1 1,0 1 0,0-7-1,1-1 98,-2 1-1,1-1 1,-1 0 0,-1 1-1,0-1 1,-3-11-1,3 19-32,0 0-1,0 0 0,-1 1 0,1-1 0,-1 0 0,0 0 1,0 1-1,0-1 0,0 1 0,0 0 0,0-1 0,-1 1 0,1 0 1,-1 0-1,1 1 0,-4-3 0,5 3-47,-1 1 0,1-1 1,-1 0-1,1 1 0,-1-1 0,1 0 0,-1 1 1,0 0-1,1-1 0,-1 1 0,1 0 0,-1 0 0,0 0 1,1 0-1,-1 0 0,0 0 0,1 1 0,-1-1 0,1 0 1,-1 1-1,1 0 0,-1-1 0,1 1 0,-1 0 0,1-1 1,-1 1-1,1 0 0,0 0 0,-1 0 0,1 0 1,0 1-1,0-1 0,-2 2 0,-1 4-22,1-1 1,-1 1-1,1 0 1,0 0-1,1 0 0,0 1 1,0-1-1,0 0 1,0 14-1,0 10-22,2 32 0,1-47 32,-1-11-17,1 0 1,0 1 0,0-1 0,1 1 0,0-1-1,0 0 1,0 0 0,0 0 0,1 0 0,-1-1-1,1 1 1,1-1 0,-1 1 0,1-1-1,-1 0 1,1 0 0,0-1 0,1 1 0,-1-1-1,1 0 1,-1 0 0,1 0 0,0-1 0,0 1-1,0-1 1,8 2 0,-6-2-62,0 0 0,0 0 0,0-1 0,-1 0 1,1 0-1,0 0 0,1-1 0,-1 0 0,0 0 0,0-1 0,0 0 0,-1 0 1,1-1-1,0 0 0,0 0 0,-1-1 0,1 1 0,-1-1 0,0-1 1,9-5-1,-7 1 57,0 1 0,-1-1-1,0-1 1,-1 1 0,0-1 0,0 0 0,-1-1 0,0 1 0,0-1 0,-1 0 0,-1 0 0,0 0 0,0-1 0,2-14 0,-1-15 679,-1 0 1,-3-61 0,-1 47 562,2 47-1012,-1 3 22,0 0-1,0 0 1,0 0-1,-1 0 1,1 0-1,-1 0 0,0 0 1,-2-5-1,-7 33 169,3 42-97,3 0 1,7 104-1,0-134-256,2 0 0,1 0 0,2 0 0,2-1 0,1 0 0,1-1 0,26 49 0,-36-78-54,1-1-1,0 1 0,0-1 0,0 1 0,0-1 0,1 0 0,0 0 0,0-1 1,0 1-1,0-1 0,5 3 0,-7-5 6,-1 0 0,0-1 0,1 1 0,-1 0 0,1-1 0,-1 0 0,1 1 0,-1-1 0,1 0 0,-1 0 0,1 0 0,-1 0 0,1 0 0,-1 0 0,1 0 0,-1 0 0,1-1 0,-1 1 0,1-1 0,-1 1 1,1-1-1,-1 1 0,1-1 0,-1 0 0,0 0 0,0 0 0,1 0 0,-1 0 0,0 0 0,0 0 0,0 0 0,0 0 0,0 0 0,0-1 0,0 1 0,-1 0 0,1-1 0,0 1 0,-1 0 0,1-1 0,0-1 0,4-14-11,0 0 1,0-1-1,-2 1 0,-1-1 1,0 0-1,-1 0 0,0 0 0,-3-20 1,1 22 2,1 5 6,-2 0 0,1 0 0,-1-1 0,-1 1-1,0 1 1,-1-1 0,-7-17 0,8 23 3,0-1 0,0 0 0,-1 1 0,1-1 0,-1 1 0,0 0 0,-1 0 0,1 1 0,-1-1 0,0 1 0,0 0 0,0 0 1,-1 1-1,-9-6 0,13 9-19,1-1 1,0 1 0,-1-1 0,1 1 0,0 0 0,-1-1 0,1 1 0,0 0 0,-1 0 0,1 0-1,0 0 1,-1 0 0,1 0 0,0 1 0,-1-1 0,1 0 0,0 1 0,-1-1 0,1 1-1,0-1 1,0 1 0,0 0 0,-1-1 0,-1 3 0,2-2-6,1 0-1,-1 0 1,1 0 0,-1 0-1,1 0 1,-1 0 0,1 0-1,-1 0 1,1 0 0,0 0-1,0 0 1,-1 0 0,1 0-1,0 0 1,0 1 0,0-1-1,0 0 1,0 0 0,1 0 0,-1 0-1,0 0 1,1 0 0,-1 0-1,0 0 1,1 1 0,-1-1-1,1 0 1,-1-1 0,2 3-1,1-1-75,-1 0 1,0-1-1,1 1 0,-1 0 0,1-1 0,0 0 0,-1 0 1,1 0-1,0 0 0,0 0 0,0 0 0,-1-1 1,1 1-1,0-1 0,5 0 0,-2 1-113,0-1 0,0 0 0,0 0 1,0-1-1,-1 1 0,1-1 0,8-3 0,-10 2 145,0-1 0,0 0 1,0 0-1,0 0 0,-1-1 0,1 1 0,-1-1 0,0 0 0,0 0 1,0 0-1,-1 0 0,0-1 0,1 1 0,-2 0 0,4-10 1,2-6 79,-2-1 1,4-25 0,-4 2 511,-1 0 0,-4-51 1,-1 46 851,1 34-402,-2 18-136,-1 27-600,3 6-231,3 0-1,0-1 1,3 1 0,0-1-1,3-1 1,1 1 0,1-2 0,2 1-1,29 54 1,-40-85-475,7 12-526</inkml:trace>
  <inkml:trace contextRef="#ctx0" brushRef="#br0" timeOffset="4390.76">2247 1149 5314,'0'0'6067,"98"76"-6259,-75-67-3794</inkml:trace>
  <inkml:trace contextRef="#ctx0" brushRef="#br0" timeOffset="5028.21">2642 1084 9188,'0'0'8369,"8"20"-7840,7 19-307,-3 2 0,14 68 1,-23-76-150,-3-23-58,1 1-1,0-1 0,1 0 0,0 0 1,0 1-1,5 9 0,-7-19-13,0-1 0,0 0-1,0 0 1,0 0 0,0 1 0,1-1 0,-1 0-1,0 0 1,0 0 0,0 1 0,0-1 0,0 0-1,0 0 1,0 0 0,1 0 0,-1 1 0,0-1-1,0 0 1,0 0 0,0 0 0,1 0 0,-1 0-1,0 0 1,0 0 0,0 1 0,1-1 0,-1 0-1,0 0 1,0 0 0,0 0 0,1 0 0,-1 0-1,0 0 1,0 0 0,0 0 0,1 0 0,-1 0-1,0 0 1,0 0 0,1 0 0,-1 0 0,0-1-1,0 1 1,0 0 0,1 0 0,-1 0 0,0 0-1,0 0 1,0 0 0,0 0 0,1-1 0,-1 1-1,0 0 1,0 0 0,0 0 0,0 0 0,0-1-1,0 1 1,1 0 0,-1 0 0,0 0 0,0-1-1,0 1 1,0 0 0,0 0 0,0 0 0,0-1-1,0 1 1,0 0 0,6-18 207,-6 17-200,7-37 262,4-66-1,1-7 1436,-12 110-1672,0-1 1,0 1-1,0 0 1,0-1-1,0 1 1,1 0-1,-1 0 0,0-1 1,1 1-1,-1 0 1,1 0-1,0 0 1,-1-1-1,1 1 1,0 0-1,-1 0 0,1 0 1,0 0-1,0 0 1,0 1-1,0-1 1,0 0-1,0 0 1,0 1-1,1-1 1,-1 0-1,2 0 0,-1 1-38,-1 0 0,1 1-1,-1-1 1,1 1-1,-1-1 1,0 1-1,1 0 1,-1-1-1,1 1 1,-1 0-1,0 0 1,0 0 0,0 0-1,1 0 1,-1 0-1,0 0 1,0 0-1,0 1 1,-1-1-1,1 0 1,0 0-1,0 1 1,0 1 0,13 26-187,-2 0 1,0 1 0,-2 0 0,-2 1 0,7 39-1,-15-70 136,0 1 1,0 0-1,0-1 0,0 1 0,0 0 0,0 0 0,0-1 0,0 1 1,1 0-1,-1-1 0,0 1 0,1 0 0,-1-1 0,0 1 0,1-1 1,-1 1-1,0-1 0,1 1 0,-1 0 0,1-1 0,0 1 0,-1-1 1,1 0-1,0 1 0,0-1 49,-1 0 1,1 0-1,-1-1 1,1 1-1,0 0 1,-1-1-1,1 1 1,-1 0-1,1-1 1,-1 1-1,1-1 1,-1 1-1,1-1 1,-1 1-1,1-1 1,-1 1-1,0-1 1,1 1-1,-1-2 1,17-36 287,-17 38-324,23-68 114,-15 40 131,2 1 0,0 0-1,2 0 1,27-44 0,-39 70-191,1 0-1,-1 0 0,0 1 1,1-1-1,-1 1 1,1-1-1,-1 0 1,1 1-1,-1-1 0,1 1 1,0-1-1,-1 1 1,1-1-1,-1 1 0,1 0 1,0-1-1,-1 1 1,1 0-1,0-1 1,0 1-1,-1 0 0,1 0 1,0 0-1,0 0 1,-1 0-1,1 0 0,1 0 1,-1 0-17,0 1 1,0-1 0,0 1-1,0 0 1,0 0-1,0-1 1,0 1 0,0 0-1,0 0 1,0 0-1,-1 0 1,1 0 0,0 0-1,-1 0 1,1 2-1,14 43-156,-8 2 97,-5-27-394,9 37-1,-10-53-72,1 0-1,0 0 1,0 0-1,0 0 1,1 0-1,5 8 0,-7-12 142,0 0 0,0 1 0,0-1-1,0 0 1,1 0 0,-1 0 0,0 0 0,0 0-1,1 0 1,-1-1 0,1 1 0,-1 0-1,0-1 1,1 1 0,-1-1 0,3 1-1,10 0-4906</inkml:trace>
  <inkml:trace contextRef="#ctx0" brushRef="#br0" timeOffset="6068.54">3205 1074 3426,'0'0'12256,"-15"5"-12016,2-1-193,-1 0 0,-20 12 0,32-15-35,1 0-1,-1 1 0,1-1 0,-1 0 0,1 1 1,0 0-1,-1-1 0,1 1 0,0 0 0,0 0 0,0-1 1,0 1-1,1 0 0,-1 0 0,0 0 0,1 0 1,0 0-1,-1 4 0,2 38 77,0-27-52,-1-14-48,0 1 0,0 0 0,0 0 0,1 0 0,-1-1 0,1 1 0,0 0 0,0-1 0,1 1 0,-1 0 0,1-1 0,0 0 0,-1 1 0,1-1 0,1 0 0,-1 0 0,0 0 0,1 0 0,0 0 0,0-1 0,-1 1 0,2-1 0,-1 0 0,0 0 0,0 0 0,1 0 0,-1 0 0,1-1 0,-1 0 0,1 0 0,-1 0 0,1 0 0,0 0 0,0-1 0,0 1 0,-1-1 1,1 0-1,0 0 0,0-1 0,4 0 0,-5 0 16,-1-1 0,0 1 0,1-1 0,-1 1 0,0-1 1,0 0-1,0 0 0,0 0 0,0 0 0,-1 0 0,1-1 1,0 1-1,-1-1 0,0 1 0,0-1 0,0 1 0,0-1 1,0 1-1,0-1 0,0-3 0,11-58 103,-6-50 117,-6 114-215,0 0 0,0-1-1,0 1 1,0-1 0,0 1-1,0 0 1,0-1 0,0 1-1,0 0 1,0-1-1,0 1 1,0-1 0,0 1-1,0 0 1,0-1 0,0 1-1,0 0 1,-1-1-1,1 1 1,0 0 0,0-1-1,0 1 1,-1 0 0,1-1-1,0 1 1,0 0 0,-1 0-1,1-1 1,0 1-1,-1 0 1,1 0 0,0 0-1,-1 0 1,1-1 0,0 1-1,-1 0 1,1 0 0,0 0-1,-1 0 1,1 0-1,-1 0 1,1 0 0,-1 0-1,0 0-11,1 0 0,-1 1 0,0-1 1,1 1-1,-1-1 0,0 1 0,1-1 0,-1 1 0,1-1 0,-1 1 0,1-1 0,-1 1 0,1 0 0,-1-1 0,1 1 0,0 0 0,-1-1 1,1 1-1,0 0 0,-1-1 0,1 1 0,0 0 0,0 1 0,-3 13-12,2 0 0,-1 1 0,2-1 0,2 25 0,-2-34 17,1 0-1,0 0 0,0 0 0,0 0 0,1 0 0,0 0 0,0-1 0,1 1 0,-1-1 0,1 1 0,0-1 0,1 0 0,-1 0 0,8 7 0,-10-11-18,0 0 0,0 0 0,0 1 0,1-1 0,-1 0 0,0 0 0,1 0 0,-1-1 0,1 1 0,-1 0 0,1-1 0,-1 1 0,1 0 0,0-1 0,-1 0 0,1 1 0,-1-1 0,1 0-1,0 0 1,0 0 0,-1 0 0,1 0 0,0 0 0,-1-1 0,1 1 0,-1 0 0,1-1 0,0 1 0,-1-1 0,1 0 0,-1 0 0,1 1 0,-1-1 0,0 0 0,2-2 0,0 0 33,0 0 0,0-1 0,0 0 0,-1 0 0,0 1 0,0-1 0,0-1 0,0 1 0,0 0 0,-1 0 0,2-8 0,2-23 1038,-2-1 0,-2-60 0,-1 59 466,1 44-1492,1 0 0,0 0 0,0 0 1,0 0-1,5 8 0,0 4-42,10 27-586,15 47-2028,-29-81 775,-1-1 0,0 1 0,0 18 0,-15-36-3205,9-2 5371,0 1-1,1-1 1,0 0 0,-3-12 0,-10-22 7551,16 45-7830,-1-1-1,1 1 0,0-1 1,0 1-1,0 0 1,0-1-1,1 1 1,-1-1-1,1 1 1,-1-1-1,1 0 0,1 4 1,2-2-14,-1 0 0,1 0 1,0 0-1,0 0 0,0-1 0,1 0 0,-1 0 0,1 0 1,-1-1-1,1 1 0,0-1 0,0 0 0,0 0 1,1-1-1,-1 0 0,0 0 0,0 0 0,1 0 0,-1-1 1,1 0-1,-1 0 0,0 0 0,1-1 0,-1 0 1,0 0-1,1 0 0,-1-1 0,0 1 0,8-5 1,-6 1-24,0-1 0,-1 1 1,1-1-1,-1-1 0,-1 1 0,1-1 1,-1 0-1,0 0 0,7-15 1,-6 7-104,0 0 0,0 0 0,-2-1 1,5-26-1,-4 0 634,-2 0 0,-3-69 1,-1 77 1451,0 92-1974,4 108 361,-1-150-389,0 0 1,1 0 0,1 0 0,0 0-1,1-1 1,1 1 0,15 27 0,-7-26-1474,0-11-2920</inkml:trace>
  <inkml:trace contextRef="#ctx0" brushRef="#br0" timeOffset="6241.44">3677 1116 5234,'0'0'12998,"113"-23"-12998,-32 23-640,24 2-2513,18-2-9861</inkml:trace>
</inkml:ink>
</file>

<file path=xl/ink/ink7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8:04.194"/>
    </inkml:context>
    <inkml:brush xml:id="br0">
      <inkml:brushProperty name="width" value="0.05" units="cm"/>
      <inkml:brushProperty name="height" value="0.05" units="cm"/>
      <inkml:brushProperty name="color" value="#F6630D"/>
    </inkml:brush>
  </inkml:definitions>
  <inkml:trace contextRef="#ctx0" brushRef="#br0">2950 2241 7171,'0'0'14796,"-10"4"-14166,9-4-609,-3 1 7,1 0 1,0 0 0,0 0-1,0 1 1,0-1 0,0 1 0,0-1-1,0 1 1,0 0 0,1 0-1,-1 1 1,0-1 0,1 0 0,0 1-1,0 0 1,0-1 0,0 1-1,0 0 1,0 0 0,1 0 0,-1 0-1,1 0 1,-1 6 0,-6 37 123,1 1 0,4 0 0,1 1 0,5 56 0,-3-95-151,1 1 0,1-1 0,0 0 0,0 0-1,0 0 1,1 0 0,1 0 0,0-1 0,0 1 0,7 10 0,-8-15 7,0 0 1,0 0 0,0 0-1,1 0 1,-1-1 0,1 1 0,0-1-1,0 0 1,1 0 0,-1-1-1,1 1 1,-1-1 0,1 0-1,0 0 1,-1 0 0,1-1-1,0 0 1,0 0 0,0 0-1,6 0 1,-6 0-6,1-1 0,-1 0 0,0 0-1,0 0 1,0-1 0,1 0 0,-1 0 0,0 0 0,0 0 0,0-1-1,0 0 1,-1 0 0,1 0 0,0-1 0,-1 1 0,0-1-1,1 0 1,-1-1 0,0 1 0,-1-1 0,1 1 0,-1-1-1,1 0 1,-1-1 0,0 1 0,-1 0 0,1-1 0,-1 0-1,0 1 1,2-7 0,2-8 27,-1 1-1,0-1 1,-2-1-1,0 1 0,-1 0 1,-2-1-1,-1-34 1,0 10 62,1 44-93,0 0-1,0 0 0,0-1 1,0 1-1,0 0 1,0-1-1,0 1 0,-1 0 1,1 0-1,0-1 1,0 1-1,0 0 0,0 0 1,0 0-1,-1-1 1,1 1-1,0 0 0,0 0 1,0 0-1,-1-1 1,1 1-1,0 0 0,0 0 1,-1 0-1,1 0 1,0 0-1,0-1 0,-1 1 1,1 0-1,0 0 1,0 0-1,-1 0 0,1 0 1,0 0-1,-1 0 1,1 0-1,0 0 0,0 0 1,-1 0-1,1 0 1,0 0-1,0 0 0,-1 1 1,1-1-1,0 0 1,0 0-1,-1 0 0,1 0 1,0 0-1,0 0 1,-1 1-1,1-1 0,-13 12-97,11-7 86,0 0-1,1 0 1,0 1-1,0-1 1,0 1-1,0-1 1,1 1-1,0-1 1,0 1-1,1-1 1,0 1-1,0-1 1,2 8-1,-2-10-5,0 0 0,0-1-1,1 1 1,-1 0-1,1-1 1,0 1 0,0-1-1,0 1 1,0-1-1,0 0 1,0 0-1,1 0 1,-1 0 0,1 0-1,-1-1 1,1 1-1,0-1 1,0 0-1,0 1 1,-1-1 0,1 0-1,0-1 1,0 1-1,0-1 1,4 1 0,-5 0-3,1-1 0,-1 0 0,1 1 0,-1-1 0,1 0 0,-1 0 0,1-1 0,-1 1 0,1 0 0,-1-1 0,1 1 0,-1-1 0,0 0 0,1 0 0,-1 0 0,0 0 0,1 0 0,-1-1 0,2-1 0,-2 0 29,0 1-1,0-1 1,-1 0-1,1 0 1,-1 0-1,0 0 1,0 0-1,0-1 1,0 1-1,-1 0 1,1 0-1,-1-1 1,0 1 0,0-4-1,1 0 13,-1 1 0,0 0-1,0 0 1,-1 0 0,0 0 0,0 0 0,0 0-1,-1 0 1,0 0 0,-3-6 0,4 10-3,-1-1 0,0 1-1,1 0 1,-1-1 0,0 1 0,0 0 0,0 1 0,-1-1-1,1 0 1,0 0 0,-1 1 0,1 0 0,-1-1 0,1 1 0,-1 0-1,0 0 1,1 0 0,-1 1 0,0-1 0,0 1 0,0-1-1,1 1 1,-1 0 0,-4 0 0,5 1-13,0-1 0,0 1 0,0-1 0,0 1 0,0 0 1,0-1-1,1 1 0,-1 0 0,0 0 0,0 1 0,1-1 0,-1 0 0,0 1 0,1-1 0,0 1 1,-1-1-1,1 1 0,0 0 0,0-1 0,-1 1 0,1 0 0,1 0 0,-1 0 0,0 0 0,0 0 1,1 0-1,-1 0 0,1 2 0,-3 8 6,0 0 0,1 1-1,0 15 1,1-15-13,1 0 0,0 0 0,1 0 0,0 0 0,4 16 0,-3-24-1,-1 0 0,1 1-1,1-1 1,-1 0 0,1 0 0,0 0 0,0-1 0,1 1 0,-1-1 0,1 1-1,0-1 1,0 0 0,0-1 0,6 5 0,-1-3-16,0 0-1,1 0 1,-1-1 0,1 0-1,0 0 1,0-1 0,0-1-1,1 0 1,-1 0 0,0-1-1,1 0 1,-1-1 0,1 0-1,17-3 1,-23 2 28,-1 0 0,1-1 1,-1 0-1,0 0 0,1 0 1,-1 0-1,0-1 0,0 1 1,-1-1-1,1 0 0,0 0 0,-1-1 1,0 1-1,0-1 0,0 1 1,0-1-1,0 0 0,-1 0 1,0-1-1,0 1 0,2-7 0,4-9 37,-1 1 0,-1-2 0,5-29 0,-5 3 226,-1 0 0,-3 0 0,-4-62 1,2 104-169,0 1 1,-1-1 0,1 1 0,-1-1 0,0 0-1,0 1 1,-1 0 0,1-1 0,-1 1 0,0 0-1,0 0 1,-1 0 0,1 0 0,-6-6 0,8 10-101,0-1 0,0 1 1,0 0-1,-1 0 1,1 0-1,0 0 1,0-1-1,-1 1 1,1 0-1,0 0 0,0 0 1,-1 0-1,1 0 1,0 0-1,-1 0 1,1 0-1,0 0 1,0 0-1,-1 0 0,1 0 1,0 0-1,-1 0 1,1 0-1,0 0 1,0 0-1,-1 0 1,1 0-1,0 0 0,0 1 1,-1-1-1,1 0 1,0 0-1,0 0 1,-1 0-1,1 1 1,0-1-1,-1 0 1,-5 14-42,0 16-63,3 5 91,1-1 1,2 1 0,6 57-1,-4-78 10,0-1-1,1 0 1,1 0-1,0-1 0,1 1 1,0-1-1,1 0 1,0 0-1,1 0 1,0-1-1,1 0 1,14 16-1,-19-24-15,-1-1-1,0 1 1,1-1 0,0 0-1,-1 0 1,1 0-1,0 0 1,0 0 0,0-1-1,0 1 1,1-1 0,-1 0-1,0 0 1,1 0-1,-1 0 1,0-1 0,1 1-1,-1-1 1,1 0-1,-1 0 1,1 0 0,-1 0-1,0-1 1,1 1-1,-1-1 1,1 0 0,3-2-1,-2 0 19,0 1 0,0-2 0,-1 1 0,0 0 0,1-1-1,-1 0 1,0 0 0,-1 0 0,1 0 0,-1-1 0,0 0 0,0 1-1,0-1 1,-1 0 0,0 0 0,3-7 0,0-10 3,0-1 0,-1 1 0,-1-1 0,-2 0 1,-1-43-1,-1 33 59,2 23-35,-1 1 0,-1-1 0,0 0 0,0 0 1,-1 0-1,-1 1 0,1-1 0,-1 1 0,-1 0 0,0 0 0,0 0 0,-10-16 1,3 17 95,4 12-82,2 20-83,3 8 37,2-1-1,1 1 1,1-1 0,2 1 0,1-1-1,2 0 1,1 0 0,1-1-1,2 0 1,0-1 0,2 0 0,2-1-1,0 0 1,22 27 0,-57-70-12116,-1-14 1075</inkml:trace>
  <inkml:trace contextRef="#ctx0" brushRef="#br0" timeOffset="639.04">4237 2258 2049,'0'0'13638,"1"-12"-12352,2-36-85,1 42-967,1 12-185,4 14-9,-9-19-19,64 204 1942,-44-132-1591,44 108 1,-56-163-393,0 0-829,-3-7-2644</inkml:trace>
  <inkml:trace contextRef="#ctx0" brushRef="#br0" timeOffset="1087.08">4237 2561 4690,'0'0'9861,"2"-2"-9712,-1 2-145,0-1-1,0 1 1,0-1-1,0 1 1,0 0-1,0-1 1,0 1-1,0 0 1,0 0 0,0 0-1,1 0 1,-1-1-1,0 2 1,0-1-1,0 0 1,0 0-1,0 0 1,3 1 0,28 9 61,-9-3-86,2-1-760,-1-2 1,1-1-1,0 0 0,0-2 0,47-4 0,-69 2 758,0 0 0,0 0 0,0 0-1,0 0 1,0-1 0,0 1-1,0-1 1,0 0 0,-1 1 0,1-2-1,-1 1 1,1 0 0,-1 0 0,0-1-1,0 1 1,0-1 0,0 0 0,0 1-1,-1-1 1,1 0 0,-1 0 0,0 0-1,2-5 1,-1 2 428,0 0-1,-1-1 1,0 1 0,0-1 0,0 1-1,-1-1 1,1 1 0,-2-1-1,1 1 1,-1-1 0,-1-6-1,2 12-361,-1 1 1,1-1-1,0 1 0,-1-1 0,1 0 1,0 1-1,-1-1 0,1 1 0,-1-1 0,1 1 1,-1-1-1,1 1 0,-1 0 0,1-1 0,-1 1 1,1 0-1,-1-1 0,1 1 0,-1 0 0,0-1 1,1 1-1,-1 0 0,0 0 0,1 0 1,-1 0-1,0 0 0,1 0 0,-1 0 0,0 0 1,1 0-1,-1 0 0,1 0 0,-1 0 0,0 0 1,1 0-1,-1 1 0,0-1 0,1 0 0,-1 0 1,1 1-1,-1-1 0,1 1 0,-1-1 0,0 0 1,1 1-1,0-1 0,-1 1 0,1-1 1,-1 1-1,0 0 0,-2 7-16,0 0 1,1 0-1,0 0 1,0 0-1,1 0 1,0 1-1,0-1 1,1 1-1,0-1 1,2 13-1,-2 4 106,0-20-125,1 0 0,0 0 0,-1 0 1,1 0-1,1-1 0,-1 1 0,1 0 0,0 0 0,0-1 1,0 1-1,1-1 0,-1 0 0,1 0 0,0 0 1,1 0-1,-1 0 0,0-1 0,1 1 0,0-1 0,0 0 1,0 0-1,0 0 0,1-1 0,-1 0 0,1 0 1,-1 0-1,6 2 0,6 1 35,1 0-1,1-1 1,-1 0 0,0-1 0,1-2-1,25 1 1,-39-2-29,0 0-1,0 0 1,0-1-1,0 0 1,1 1-1,-1-1 0,0 0 1,0-1-1,0 1 1,0-1-1,-1 0 1,1 0-1,0 0 1,-1 0-1,0-1 1,1 0-1,-1 1 1,4-6-1,-3 4 33,-1-1-1,-1 1 0,1-1 0,-1 0 0,1 0 0,-1 0 1,-1 0-1,1 0 0,-1 0 0,0 0 0,0-1 0,0 1 1,-1 0-1,0-7 0,1 1 80,-2-1 0,1 0 1,-2 0-1,0 1 0,-5-20 0,4 24-124,0 0-1,0 0 0,-1 1 0,1 0 0,-1 0 0,-1 0 0,1 0 0,-1 0 0,0 1 0,-9-7 0,6 5-46,-2 1 0,1 0-1,-1 0 1,0 1 0,0 0-1,0 1 1,-1 0 0,1 1-1,-1 0 1,0 0 0,0 1-1,-20-1 1,16 3-667,0 0 1,-1 0 0,1 2-1,0 0 1,-1 0-1,1 2 1,1 0 0,-28 11-1,-38 26-7469</inkml:trace>
  <inkml:trace contextRef="#ctx0" brushRef="#br0" timeOffset="-1318.47">156 2693 2097,'0'0'11282,"-2"-16"-9619,-7-51-148,9 63-1298,-1 0 0,0 0 1,0 0-1,-1 0 0,1 0 0,-1 0 0,0 1 1,0-1-1,0 1 0,0-1 0,-1 1 1,0 0-1,1 0 0,-1 0 0,0 0 0,0 0 1,-7-3-1,9 5-176,-1 0 0,0 0 0,1 0 0,-1 0 0,0 1 0,0-1 0,1 1 0,-1 0 0,0-1 0,0 1 0,0 0 0,0 0 0,0 0 0,1 0 0,-1 0 0,0 1 0,0-1 0,0 0 0,0 1 0,1 0 0,-1-1 0,0 1 0,1 0 0,-1 0 0,0 0 0,1 0 0,-1 0 0,1 0 0,0 0 0,-1 1 0,1-1 0,0 0 0,-2 3 0,-2 5-33,-1 0 0,2 0 0,-1 0 1,2 0-1,-1 1 0,1 0 0,0 0 0,1 0 1,-1 14-1,-1 14 43,2 42 0,3-63-27,0 1 1,1-1-1,1 0 1,0 0-1,1-1 0,1 1 1,1-1-1,0 0 1,13 23-1,-15-32-58,0 0 0,0 0 0,1-1 0,-1 0-1,2 1 1,-1-2 0,0 1 0,1-1 0,0 0-1,1 0 1,-1 0 0,1-1 0,0 0 0,0 0 0,0-1-1,0 0 1,1 0 0,-1-1 0,1 0 0,0 0 0,0 0-1,14 0 1,-20-2 17,0-1-1,0 1 1,0 0-1,0 0 1,0-1-1,0 1 1,0-1 0,0 0-1,0 1 1,0-1-1,0 0 1,-1 0-1,1 0 1,0-1-1,-1 1 1,1 0-1,0-1 1,-1 1 0,0-1-1,1 1 1,-1-1-1,0 0 1,0 1-1,0-1 1,0 0-1,0 0 1,0 0 0,0 0-1,-1 0 1,1 0-1,0-3 1,1-8 41,0 0 1,-1 0-1,-1 0 1,-1-15-1,1 6-36,0-104 530,-2 179-575,1-28 48,0 1 1,2 0-1,4 29 1,-4-51-9,0 0-1,0-1 1,0 1 0,0 0-1,1-1 1,-1 1 0,1-1 0,0 0-1,0 1 1,0-1 0,1 0 0,-1 0-1,1 0 1,0-1 0,0 1-1,0-1 1,0 1 0,0-1 0,7 3-1,-4-2-12,-1-1-1,1 0 0,1 0 0,-1-1 0,0 0 1,0 0-1,0-1 0,1 1 0,-1-1 0,0-1 1,9 0-1,-11 0 30,-1 0 0,1 0 0,-1 0 0,1-1 0,-1 1 0,0-1 0,1 0 0,-1 1 0,0-2 1,0 1-1,0 0 0,-1-1 0,1 1 0,0-1 0,-1 0 0,0 0 0,0 0 0,0 0 0,0 0 0,0 0 0,0 0 0,-1-1 0,0 1 0,1-1 1,-1 1-1,1-8 0,1-8 79,0-1 1,-1 0 0,-1-34-1,-2 40-4,2 10-14,-4-31 749,4 34-792,-1 1-1,0-1 0,-1 0 1,1 0-1,0 1 0,0-1 1,0 0-1,0 0 0,-1 1 0,1-1 1,0 0-1,0 0 0,-1 1 1,1-1-1,-1 0 0,1 1 1,-1-1-1,1 1 0,-1-1 0,1 0 1,-1 1-1,1-1 0,-1 1 1,0 0-1,1-1 0,-1 1 1,0-1-1,0 1 0,1 0 1,-1 0-1,0-1 0,1 1 0,-1 0 1,0 0-1,-1 0 0,1 0-17,1 1-1,-1-1 0,0 1 1,0-1-1,1 1 0,-1-1 0,1 1 1,-1 0-1,0-1 0,1 1 1,-1 0-1,1 0 0,0-1 1,-1 1-1,1 0 0,0 0 0,-1 0 1,1-1-1,0 1 0,0 0 1,0 0-1,-1 2 0,-2 24-36,3-23 41,0 3-5,-1 0 1,1 0 0,1 0 0,-1 0-1,1 0 1,0 0 0,1 0-1,0 0 1,0-1 0,0 1 0,1-1-1,6 12 1,-6-14 8,1 1 1,0-1-1,-1 0 0,1 0 0,1 0 1,-1-1-1,0 1 0,1-1 0,0 0 1,0 0-1,0-1 0,0 0 0,0 0 1,0 0-1,1 0 0,9 1 0,-8-1 8,0-1 0,0 0 0,0 0-1,1-1 1,-1 0 0,0 0-1,8-2 1,-13 2-10,0-1 1,0 1-1,0-1 0,0 0 0,0 1 1,0-1-1,0 0 0,-1 0 0,1 0 0,0-1 1,-1 1-1,1 0 0,-1-1 0,1 1 1,-1 0-1,0-1 0,1 0 0,-1 1 1,0-1-1,0 0 0,0 0 0,-1 1 1,1-1-1,0 0 0,-1 0 0,1 0 0,-1 0 1,1 0-1,-1-3 0,2-4-3,-1-1 0,0 0 1,-1 0-1,0 0 0,-1 1 0,0-1 0,0 0 0,-1 0 0,0 1 0,-1-1 1,0 1-1,0 0 0,-1 0 0,0 0 0,-1 0 0,0 1 0,0-1 1,-1 1-1,-11-11 0,16 49-322,1-26 321,1 0 1,-1 0 0,1 0-1,0 0 1,1 0 0,-1 0-1,1-1 1,-1 1 0,1 0-1,0-1 1,0 1-1,1-1 1,-1 0 0,1 0-1,-1 0 1,1 0 0,0 0-1,0-1 1,1 1 0,-1-1-1,0 0 1,1 0 0,-1 0-1,1 0 1,0-1 0,4 2-1,1 1-68,1-1-1,0-1 0,-1 0 1,1 0-1,0 0 0,0-2 0,0 1 1,0-1-1,19-2 0,-27 1 70,0 0 0,-1 0 0,1 0 0,0 0 0,-1 0 0,1 0 0,-1 0 0,1 0 0,-1-1 0,1 1 0,-1 0 0,0-1 0,0 1 0,1-1 0,-1 0-1,0 1 1,-1-1 0,1 0 0,0 0 0,0 0 0,-1 1 0,1-1 0,-1 0 0,0 0 0,1 0 0,-1-3 0,2-9 87,-1-1 1,-1-21-1,-1 23 17,1-6 503,1 27-506,1 54-188,0-54 87,0 0-1,0 0 0,1 0 1,0 0-1,0-1 0,1 1 1,0-1-1,0 0 0,1 0 1,0 0-1,7 7 0,-9-11-20,0 0-1,1 1 1,-1-1-1,1-1 1,0 1-1,0 0 1,0-1-1,0 0 1,1 0-1,-1 0 0,0-1 1,1 1-1,-1-1 1,1 0-1,-1 0 1,1-1-1,0 1 1,-1-1-1,1 0 1,0 0-1,5-2 1,-7 1 6,0 0-1,0 0 1,0-1 0,0 1 0,0-1 0,-1 0 0,1 0 0,0 0 0,-1 0 0,0 0-1,1 0 1,-1-1 0,0 1 0,0-1 0,0 0 0,-1 1 0,1-1 0,-1 0-1,1 0 1,-1 0 0,0 0 0,1-6 0,1-3 9,0-1 0,-1 1-1,0 0 1,0-21 0,-2 25 0,0 1-1,-1-1 1,0 1-1,0-1 1,-1 1 0,-5-15-1,7 20-5,-1 0-1,0 0 0,0 0 0,0 1 1,0-1-1,0 0 0,0 1 1,-1-1-1,1 0 0,0 1 0,-1 0 1,0-1-1,1 1 0,-1 0 1,0 0-1,1 0 0,-1 0 0,0 0 1,0 0-1,0 0 0,0 1 1,0-1-1,0 1 0,0-1 0,0 1 1,0 0-1,0 0 0,0 0 0,0 0 1,0 0-1,-3 1 0,4 0 5,0 0-1,0 1 0,1-1 1,-1 0-1,0 0 0,1 1 0,-1-1 1,1 0-1,-1 1 0,1-1 1,0 1-1,0-1 0,0 1 1,-1-1-1,1 0 0,0 1 0,1-1 1,-1 3-1,4 32-36,-3-31 41,1 0-1,0-1 1,1 1 0,-1 0 0,1-1 0,0 1 0,0-1 0,0 0 0,1 0 0,-1 0 0,1-1 0,0 1 0,0-1 0,1 0 0,-1 0-1,1 0 1,5 2 0,-3-1-84,0-1 0,0-1-1,0 1 1,0-1 0,0-1 0,0 1-1,1-1 1,-1 0 0,1-1 0,-1 0-1,13-1 1,-17 0 84,-1 0-1,0 0 1,0 0-1,1 0 1,-1 0-1,0-1 1,0 1-1,0-1 1,0 0-1,0 1 1,-1-1 0,1 0-1,0 0 1,-1 0-1,0 0 1,1 0-1,-1 0 1,0-1-1,0 1 1,0 0-1,0-1 1,0 1-1,-1-1 1,1 1-1,-1 0 1,0-4 0,3-10 180,-1 0 0,-1-29 0,-1 39-30,0-4 490,0 11-284,0 26-220,0 47-198,0-63 50,1 0 1,0 1-1,0-1 0,1 0 0,1 0 1,0 0-1,0-1 0,1 1 0,10 18 1,-12-24-127,1-1 0,0 0 1,0 1-1,0-1 1,1 0-1,0-1 0,-1 1 1,1-1-1,0 1 1,1-1-1,-1-1 0,1 1 1,-1 0-1,1-1 1,0 0-1,0 0 1,-1-1-1,2 1 0,-1-1 1,0 0-1,0 0 1,10 0-1,-12-2 115,0 1 0,0 0 0,-1-1 0,1 0 0,0 1 0,0-1 0,-1 0 0,1 0 0,-1-1 0,1 1 0,-1 0 0,1-1 0,-1 0 0,0 1 0,0-1 0,1 0 0,-1 0 0,-1 0 1,1-1-1,0 1 0,-1 0 0,1-1 0,-1 1 0,1-1 0,-1 1 0,0-1 0,0 0 0,0 1 0,-1-1 0,1-4 0,3-10 186,-2 0-1,0 0 1,-1-32 0,-1 39-27,1-20 459,0 18-140,-1 1 1,0-1-1,-3-19 0,0 27-184,0 10-303,-2 13-65,5-16 53,0 0-1,0 0 1,0-1-1,0 1 0,1 0 1,-1 0-1,1 0 1,0-1-1,-1 1 1,1 0-1,1-1 1,-1 1-1,0-1 0,0 1 1,1-1-1,0 0 1,-1 1-1,1-1 1,0 0-1,0 0 1,0 0-1,0 0 0,0-1 1,1 1-1,-1-1 1,1 1-1,-1-1 1,1 0-1,-1 0 1,1 0-1,-1 0 0,1 0 1,0-1-1,0 1 1,0-1-1,-1 1 1,1-1-1,0 0 1,3-1-1,-5 1 22,0 1 0,0-1 0,0 0 0,0 0 0,0 0 0,0-1 0,0 1 0,0 0 0,0 0 0,0 0 0,-1-1 0,1 1 0,0 0 0,0-1 0,0 1 0,0-1 0,0 1 0,0-1 0,-1 0 0,1 1 0,0-1 0,-1 0-1,1 0 1,0 1 0,-1-1 0,2-1 0,0-26 66,-2 18-73,1 3 84,-1 1 0,-1-1 0,1 1 0,-1-1 0,0 0 0,-1 1 0,0 0 0,0-1 0,-3-7 0,3 11-2,1 1 0,-1 0 1,0 0-1,0-1 1,0 1-1,0 0 0,0 1 1,-1-1-1,1 0 1,0 1-1,-1-1 0,1 1 1,-1-1-1,0 1 1,1 0-1,-1 0 0,0 1 1,0-1-1,0 1 1,1-1-1,-1 1 0,0 0 1,0 0-1,-3 0 1,4 0-50,1 1 1,-1-1 0,0 1 0,1-1 0,-1 1 0,1 0 0,-1 0 0,0 0 0,1 0 0,0 0 0,-1 0 0,1 0 0,0 0 0,-1 0 0,1 1 0,0-1 0,0 0 0,0 1 0,0-1 0,0 1 0,0-1 0,1 1 0,-1 0 0,0-1 0,1 1 0,-1 0 0,1-1 0,0 1 0,0 0 0,-1 3 0,-1 9 8,1 1 1,0 24 0,2-29 8,-1-4-10,0 1 0,1 0 0,0-1 0,0 1 0,1 0 0,0-1 0,0 0 0,0 1 0,1-1 0,0 0 0,0 0 0,1 0 0,0-1 0,0 1 0,0-1 0,0 0 0,1 0 0,0-1 0,0 1 0,0-1 0,1 0 0,-1 0 0,1-1 0,0 1 0,0-2 0,0 1 0,0 0 0,1-1 0,-1 0 0,1-1 0,-1 1 0,1-1 0,12 0 0,-17-1-6,-1-1 0,0 1-1,1-1 1,-1 1 0,0-1 0,1 1-1,-1-1 1,0 0 0,0 0-1,0 1 1,1-1 0,-1 0-1,0 0 1,0 0 0,0 0 0,-1 0-1,1-1 1,0 1 0,0 0-1,0 0 1,-1-1 0,1 1-1,-1 0 1,1-1 0,-1 1 0,0 0-1,1-1 1,-1-1 0,7-47 101,-7 45-89,4-133 2151,-3 137-2161,-1 1-1,0 0 1,0 0 0,0 0-1,0 0 1,0 0-1,0 0 1,1 0 0,-1 0-1,0 0 1,0 0 0,0 0-1,0-1 1,1 1-1,-1 0 1,0 0 0,0 0-1,0 0 1,0 0-1,1 0 1,-1 0 0,0 0-1,0 0 1,0 0 0,0 1-1,1-1 1,-1 0-1,0 0 1,0 0 0,0 0-1,0 0 1,0 0-1,1 0 1,-1 0 0,0 0-1,0 0 1,0 1 0,0-1-1,0 0 1,0 0-1,0 0 1,1 0 0,-1 0-1,0 1 1,0-1-1,0 0 1,0 0 0,0 0-1,0 0 1,0 0 0,0 1-1,0-1 1,0 0-1,0 0 1,0 0 0,0 0-1,0 1 1,0-1-1,0 0 1,0 0 0,0 0-1,0 1 1,25 66-39,-21-51-19,1-1 0,1 0 0,0 0 0,1 0 0,1-1 0,15 22-1,-23-35 30,1 1-1,0-1 0,0 0 0,0 0 0,0 0 0,0 0 0,0 0 0,0 0 1,0-1-1,0 1 0,0 0 0,1 0 0,-1-1 0,0 1 0,0-1 1,1 1-1,-1-1 0,0 0 0,1 1 0,-1-1 0,1 0 0,-1 0 1,0 0-1,1 0 0,-1 0 0,3 0 0,-3-1 23,1 0 0,0-1-1,0 1 1,0 0 0,0-1 0,-1 1-1,1-1 1,-1 1 0,1-1-1,-1 0 1,0 0 0,0 1 0,1-1-1,0-4 1,3-6 45,0 0 0,-1 0 0,0-1 0,2-16 0,-3 11 79,0 1 0,2-1 1,0 1-1,0 0 0,2 0 1,16-29-1,-22 47-89,0 1-1,0-1 1,0 0 0,0 1-1,0-1 1,0 1 0,0-1-1,0 1 1,0-1 0,-1 1-1,1 0 1,-1-1 0,1 1-1,-1 0 1,1 2 0,17 56-134,-11-37 119,-4-13-23,0 0 0,1 0 0,0 0-1,9 14 1,-12-22 7,1 0 0,0 1 0,-1-1 0,1 0 0,0 0 0,0 0-1,1 0 1,-1-1 0,0 1 0,0-1 0,1 1 0,-1-1 0,1 0 0,0 0 0,-1 0 0,1 0 0,0 0-1,-1-1 1,1 1 0,0-1 0,5 1 0,-5-1 2,0 0-1,1 0 1,-1 0-1,0-1 1,0 1-1,0-1 1,0 0 0,0 0-1,0 0 1,0 0-1,0 0 1,0-1-1,0 1 1,0-1-1,-1 0 1,1 0 0,-1 0-1,1 0 1,-1 0-1,0 0 1,0-1-1,0 1 1,0-1-1,0 0 1,-1 1 0,3-6-1,3-4 2,0-1-1,-1-1 0,-1 1 1,0-1-1,0 0 0,-2 0 1,0 0-1,0-1 0,-1 1 1,-1-1-1,-1 1 0,-2-29 1,-2 7 34,-1 1 1,-2 0-1,-2 1 0,-14-37 1,23 69 1,-10-24 348,6 18-116,2 9 139,4 31-442,0 1 1,3-1-1,0 0 0,13 39 1,49 126 171,-62-180-216,-5-14-185,1 1 0,-1-1 0,1 0 0,0 0 0,0 0 0,0 0 0,1 0 0,-1 0 0,1 0 0,-1-1 0,4 5 0,-1-30-11645,-4-2 1936</inkml:trace>
  <inkml:trace contextRef="#ctx0" brushRef="#br0" timeOffset="-1162.12">1976 2625 4706,'0'0'11381,"7"-38"-11060,31 48-321,13 1 0,9-2-801,7-1-3185,5-8-2209</inkml:trace>
  <inkml:trace contextRef="#ctx0" brushRef="#br0" timeOffset="37519.17">12656 1810 5074,'0'0'10514,"-14"3"-10415,4-2-80,4 0-11,0 0 0,0 0 1,0 0-1,0 1 0,-6 2 1,10-3-9,0 0 1,-1 0 0,1 0 0,0 1-1,0-1 1,1 1 0,-1-1-1,0 1 1,0 0 0,1-1 0,-1 1-1,1 0 1,-1 0 0,1 0-1,0 0 1,0 1 0,0-1-1,0 0 1,-1 4 0,-3 20 10,0 1 0,2-1 0,1 1 0,2-1 0,0 1 0,5 34 0,-4-55-90,0-1 1,1 0-1,-1 0 0,1 0 0,0 0 0,0 0 0,1 0 0,0 0 1,0-1-1,0 1 0,0-1 0,0 0 0,6 5 0,-7-7 28,1 1-1,-1-1 0,1-1 1,0 1-1,0 0 1,0-1-1,0 1 0,0-1 1,0 0-1,0 0 0,0 0 1,1 0-1,-1-1 0,0 1 1,0-1-1,1 0 0,-1 0 1,0 0-1,1 0 0,-1 0 1,0-1-1,7-1 1,-7 0 44,1 0 0,0 0 1,-1 0-1,0 0 1,1-1-1,-1 1 1,0-1-1,0 0 1,0 0-1,-1 0 1,1 0-1,-1-1 1,0 1-1,1-1 1,-2 1-1,3-5 1,3-8 159,-1 0 1,6-23-1,-5 16 1240,-2 0 1,0 0-1,3-47 510,-8 84-2093,-1 11 68,0-3 160,2-1 1,-1 0-1,2 1 0,8 35 0,-9-52-148,1-1 1,-1 1 0,1 0-1,0-1 1,0 0-1,1 1 1,-1-1-1,1 0 1,0 0-1,0 0 1,0 0-1,0-1 1,1 1 0,0-1-1,-1 0 1,1 0-1,0 0 1,1-1-1,-1 1 1,0-1-1,1 0 1,-1 0 0,1-1-1,0 1 1,-1-1-1,9 1 1,-10-1 70,0-1 1,0 0-1,1 1 1,-1-1 0,0 0-1,0-1 1,1 1-1,-1 0 1,0-1 0,0 0-1,0 0 1,1 0-1,-1 0 1,0 0-1,0-1 1,-1 1 0,1-1-1,0 0 1,0 0-1,-1 0 1,1 0 0,-1 0-1,4-5 1,-2 0 65,0 1-1,-1-1 1,0 1 0,0-1 0,-1 0 0,1 0 0,-2 0-1,1 0 1,1-13 0,-1-1 831,-1 0 0,0 0-1,-3-28 1,2 49-842,0 0 1,-1 0-1,1 1 1,0-1-1,0 0 1,0 0-1,0 0 1,0 0-1,-1 1 1,1-1-1,0 0 1,0 0-1,0 0 1,-1 0-1,1 0 1,0 0-1,0 0 0,0 0 1,-1 1-1,1-1 1,0 0-1,0 0 1,0 0-1,-1 0 1,1 0-1,0 0 1,0 0-1,-1 0 1,1 0-1,0 0 1,0-1-1,0 1 0,-1 0 1,1 0-1,0 0 1,0 0-1,0 0 1,-1 0-1,1 0 1,0 0-1,0-1 1,0 1-1,0 0 1,-1 0-1,1 0 1,0 0-1,0-1 0,0 1 1,0 0-1,0 0 1,0 0-1,0-1 1,-1 1-1,1 0 1,0 0-1,0 0 1,0-1-1,0 1 1,0 0-1,0 0 1,0-1-1,0 1 1,0 0-1,0 0 0,0 0 1,0-1-1,1 1 1,-10 16-179,7-7 160,0-1 0,1 1-1,0 0 1,0 0 0,1 0 0,0 0 0,1 0 0,0 0 0,1 0 0,3 11-1,-4-16-13,0-1 0,1 0 0,0 1-1,0-1 1,0 0 0,0 0-1,0 0 1,0 0 0,1 0-1,0-1 1,-1 1 0,1-1-1,0 1 1,0-1 0,0 0-1,1 0 1,-1-1 0,0 1-1,1-1 1,-1 1 0,1-1-1,0 0 1,-1 0 0,1-1 0,0 1-1,-1-1 1,5 0 0,-5 1-7,0-1 1,0 0-1,0 0 1,0-1-1,1 1 1,-1 0 0,0-1-1,0 0 1,-1 0-1,1 0 1,0 0-1,0 0 1,0 0 0,-1-1-1,1 0 1,0 1-1,3-5 1,-3 3 20,-1 0 0,1-1 0,-1 1 0,0-1 0,0 0 0,0 1 0,0-1 0,-1 0 0,0 0 0,0 0 0,0 0 0,1-7 0,0-5 26,0 0 1,-1-32-1,-1 45-6,0 0-1,0 0 1,0 0 0,-1-1 0,1 1-1,-1 0 1,0 0 0,0 0 0,0 0-1,0 1 1,-1-1 0,1 0 0,-1 0-1,1 1 1,-1-1 0,0 1 0,0-1-1,0 1 1,0 0 0,-1 0 0,1 0-1,0 0 1,-4-2 0,6 4-19,-1 0-1,1 0 1,-1-1 0,1 1 0,-1 0-1,0 0 1,1 0 0,-1 0 0,1 0 0,-1 0-1,1 0 1,-1 0 0,1 0 0,-1 0-1,0 0 1,1 0 0,-1 0 0,1 0-1,-1 1 1,1-1 0,-1 0 0,1 0-1,-1 1 1,1-1 0,-1 0 0,1 1-1,0-1 1,-1 0 0,1 1 0,-1-1-1,1 0 1,0 1 0,-1-1 0,1 1-1,0-1 1,0 1 0,-1-1 0,1 1-1,0-1 1,0 1 0,0-1 0,-1 1 0,1-1-1,0 1 1,0 0 0,0-1 0,0 1-1,0-1 1,0 1 0,0 0 0,0 2-14,0 0 0,0 0 1,0 0-1,1 0 1,-1 0-1,1 0 0,-1 0 1,3 3-1,-1-2-34,0-1-1,1 1 1,0-1-1,0 0 1,0 0-1,0 0 1,0-1-1,1 1 1,-1-1-1,1 1 1,0-1-1,0-1 1,-1 1-1,1 0 0,0-1 1,7 2-1,2 0-155,-1 0 0,1-1 0,0 0 0,16-1 0,-26-1 175,0 0 1,0 0-1,-1 0 1,1 0-1,0 0 1,0-1-1,0 0 1,0 1 0,-1-1-1,1 0 1,0 0-1,-1-1 1,1 1-1,-1-1 1,1 1-1,2-3 1,-3 1 41,0 0 0,0 1 0,0-1 1,-1 0-1,0 0 0,1 0 0,-1 0 1,0 0-1,0 0 0,0 0 0,-1 0 1,1-1-1,-1 1 0,0-6 0,0-43 2181,-7 55-1769,4 5-432,1 1 0,0 0 0,0 0 0,1 0 0,1 0 0,-1 0 0,1 1 0,1-1 0,0 0 0,0 0 0,1 0 0,0 0 0,3 10 0,-2-14-81,-1 0-1,1 0 1,0 0-1,1 0 1,-1 0-1,1-1 1,0 1-1,0-1 1,0 0-1,1 0 1,-1-1-1,1 1 1,0-1-1,0 0 1,0 0-1,0-1 1,1 1-1,-1-1 1,1 0-1,0-1 1,-1 0-1,1 1 1,0-2-1,0 1 0,0-1 1,-1 0-1,1 0 1,10-2-1,-14 2 86,0-1 0,0 0-1,0 0 1,0-1 0,0 1-1,0 0 1,-1-1 0,1 1-1,0-1 1,-1 0-1,1 1 1,-1-1 0,0 0-1,1 0 1,-1 0 0,0 0-1,0 0 1,0 0 0,0 0-1,-1 0 1,1-1 0,-1 1-1,1 0 1,-1-3-1,2-8 28,0-1-1,-1-22 0,-1 36-22,1-22 87,-2-35 633,1 55-640,0-1 0,-1 1 0,1-1 0,-1 1 0,0-1 0,1 1 0,-1 0 1,0-1-1,-1 1 0,1 0 0,0 0 0,-1 0 0,1 0 0,-1 0 0,1 0 0,-1 0 1,0 0-1,-3-2 0,5 4-79,0 0 0,0 0 1,-1 0-1,1 0 0,0 0 0,0 0 0,0 0 1,-1 0-1,1 0 0,0 0 0,0 0 1,0 0-1,-1 0 0,1 0 0,0 0 1,0 0-1,0 0 0,0 0 0,-1 0 1,1 0-1,0 0 0,0 0 0,0 0 0,-1 0 1,1 0-1,0 0 0,0 0 0,0 0 1,0 0-1,-1 1 0,1-1 0,0 0 1,0 0-1,0 0 0,0 0 0,0 0 0,0 1 1,-1-1-1,1 0 0,0 0 0,0 0 1,0 0-1,0 1 0,-3 13-27,4 14 14,-1-25-33,1 1 0,0-1 0,0 0 0,0 1 0,0-1 1,1 0-1,-1 0 0,1 0 0,0 0 0,0 0 0,0 0 0,0 0 1,1-1-1,-1 1 0,0-1 0,1 0 0,0 1 0,0-1 0,0 0 0,3 1 1,-1 0-185,0-1 0,0 1 0,0-1 0,1-1 0,-1 1 0,0-1 0,1 0 0,-1 0 0,1-1 0,-1 1 0,1-1 0,6-1 0,-10 0 209,0 1 1,0-1-1,0 0 1,0 0-1,0 0 1,0-1 0,0 1-1,0 0 1,-1-1-1,1 1 1,-1-1-1,1 1 1,-1-1-1,0 0 1,1 0-1,-1 0 1,0 1-1,0-1 1,0 0 0,-1 0-1,1 0 1,0-1-1,-1 1 1,1 0-1,-1 0 1,1-4-1,1-8 681,-1-1 0,0-24 0,-1 33-64,0 27-160,1-1 0,1 1 0,1-1 0,1 1 0,9 28 0,-11-42-616,1 0 0,0 1-1,1-1 1,0 0-1,0-1 1,1 1-1,-1-1 1,10 10 0,-10-13-25,0 0-1,0 1 1,0-2 0,0 1 0,1 0 0,-1-1 0,1 0 0,0 0 0,0 0-1,0-1 1,0 1 0,0-1 0,0 0 0,10 0 0,-13-1 135,1 1 1,-1-1-1,1 0 1,0 0 0,-1-1-1,1 1 1,-1 0-1,1-1 1,-1 0-1,1 1 1,-1-1 0,0 0-1,1 0 1,-1-1-1,0 1 1,0 0 0,0-1-1,0 1 1,4-4-1,-4 1 79,1 0 1,-1 0-1,0 0 0,0 0 0,-1 0 0,1-1 0,-1 1 1,0-1-1,0 1 0,0-8 0,2-17 1235,-3-45 1,0 35 924,0 39-2165,0 0 1,-1-1 0,1 1-1,0 0 1,0 0-1,0 0 1,0 0-1,0 0 1,0 0-1,0-1 1,0 1-1,0 0 1,0 0-1,0 0 1,0 0-1,0 0 1,-1 0-1,1 0 1,0 0-1,0 0 1,0 0 0,0-1-1,0 1 1,0 0-1,0 0 1,-1 0-1,1 0 1,0 0-1,0 0 1,0 0-1,0 0 1,0 0-1,-1 0 1,1 0-1,0 0 1,0 0-1,0 0 1,0 0-1,0 0 1,0 0-1,-1 0 1,1 0 0,0 0-1,0 1 1,0-1-1,0 0 1,0 0-1,0 0 1,0 0-1,0 0 1,-1 0-1,1 0 1,0 0-1,0 0 1,0 1-1,0-1 1,0 0-1,0 0 1,0 0-1,0 0 1,0 0 0,0 0-1,0 0 1,0 1-1,0-1 1,0 0-1,-7 8 97,5-4-219,1 0 1,-1-1-1,1 1 0,0 0 0,1 0 1,-1 0-1,0 0 0,1 1 0,0-1 1,0 0-1,0 0 0,1 0 0,-1 0 1,1 0-1,0 0 0,0 0 0,1 0 1,-1 0-1,3 4 0,-2-5 4,0 0 0,1 0 0,-1-1-1,0 1 1,1-1 0,0 1 0,0-1 0,0 0-1,0 0 1,0 0 0,0-1 0,0 1 0,1-1 0,-1 0-1,0 1 1,1-1 0,-1-1 0,1 1 0,-1-1-1,1 1 1,0-1 0,4 0 0,-6-1 91,1 1 0,0 0 0,0-1 0,0 0 0,0 0 0,0 0-1,-1 0 1,1 0 0,0 0 0,-1-1 0,1 1 0,-1-1 0,0 0 0,1 0 0,-1 0 0,0 0 0,0 0 0,0 0 0,0 0 0,-1-1 0,1 1 0,-1-1-1,1 1 1,-1-1 0,0 0 0,0 1 0,0-1 0,0 0 0,0 0 0,-1 0 0,1-3 0,1-6 257,0 0 0,-1 0 0,-1 0 0,0 0 0,0 0 0,-4-18 0,3 27-176,1 1 0,-1-1-1,0 1 1,0 0 0,0-1-1,-1 1 1,1 0 0,0-1 0,-1 1-1,0 0 1,1 0 0,-1 0 0,0 0-1,0 1 1,0-1 0,0 1 0,-1-1-1,1 1 1,0-1 0,-1 1 0,1 0-1,0 0 1,-1 0 0,1 1 0,-1-1-1,0 1 1,1-1 0,-1 1 0,1 0-1,-1 0 1,0 0 0,1 0 0,-1 0-1,0 1 1,1-1 0,-1 1 0,1-1-1,-1 1 1,1 0 0,-1 0 0,1 1-1,0-1 1,-1 0 0,1 1 0,0-1-1,0 1 1,0 0 0,-3 3 0,1 2-56,0 1 0,0-1 0,1 1 0,0 0 0,1 0 0,0 0 0,0 0 0,1 0 0,0 1 0,0-1 0,1 16 0,0-18-3,1 1 1,-1-1 0,1 0 0,0 1-1,1-1 1,0 0 0,0 0 0,0 0-1,1 0 1,-1 0 0,1-1 0,1 1-1,-1-1 1,1 0 0,8 9 0,-6-9-156,1 0 0,0-1 0,0 1 0,0-2 0,0 1 0,0-1 0,1 0 1,-1-1-1,1 0 0,0 0 0,0 0 0,0-1 0,0 0 0,0-1 0,0 0 0,0 0 1,9-2-1,-15 1 150,1 1 1,-1-1-1,0 0 1,1 0-1,-1 0 0,0-1 1,0 1-1,0 0 1,0-1-1,0 1 1,0-1-1,0 0 1,0 0-1,-1 0 1,1 0-1,-1 0 0,1 0 1,-1 0-1,0 0 1,0-1-1,2-3 1,2-8 63,0 0 0,5-22 0,-6 22-32,-1-1 773,0-1 1,-1 1-1,0-1 0,-1-18 1,7 36-548,-1 11-284,-1 0 0,0 1 0,-1-1 0,-1 1 0,0 0-1,2 15 1,8 25-274,-13-52 309,1 5-493,1 1-1,0 0 1,0-1-1,6 10 1,-8-17 457,-1 1 1,0 0 0,1 0-1,-1 0 1,1 0 0,-1-1-1,1 1 1,0 0-1,-1-1 1,1 1 0,0 0-1,-1-1 1,1 1 0,0-1-1,0 1 1,-1-1 0,1 1-1,0-1 1,0 0 0,0 1-1,0-1 1,0 0 0,0 0-1,0 0 1,0 0-1,-1 1 1,1-1 0,0 0-1,0-1 1,0 1 0,0 0-1,0 0 1,0 0 0,0 0-1,0-1 1,0 1 0,-1 0-1,1-1 1,0 1 0,0-1-1,0 1 1,-1-1-1,1 0 1,0 1 0,0-1-1,-1 1 1,1-1 0,-1 0-1,1 0 1,-1 1 0,2-3-1,3-6 180,1 0 0,-1-1 0,-1 1 0,0-1 0,0-1-1,-1 1 1,3-17 0,15-41 1636,-19 63-1665,0 0-1,1 1 1,0-1 0,-1 1 0,1 0-1,1 0 1,-1 0 0,1 0-1,-1 0 1,1 1 0,5-4 0,-8 6-114,-1 1 1,1 0 0,-1-1-1,1 1 1,0 0 0,-1 0-1,1 0 1,-1-1 0,1 1-1,0 0 1,-1 0 0,1 0 0,-1 0-1,1 0 1,0 0 0,-1 0-1,1 0 1,-1 0 0,1 0-1,0 1 1,-1-1 0,1 0-1,-1 0 1,1 0 0,0 1-1,-1-1 1,1 0 0,-1 1 0,1-1-1,-1 1 1,1-1 0,-1 0-1,0 1 1,1-1 0,-1 1-1,1-1 1,-1 1 0,0-1-1,1 1 1,-1 0 0,0-1-1,0 1 1,0-1 0,1 1-1,-1-1 1,0 2 0,9 35-77,-8-28 101,3 11-58,-2-8 21,0-1-1,1 0 1,0 1 0,7 14 0,-9-23-25,0-1 0,1 1 0,-1-1 0,1 1 0,0-1 0,-1 0 1,1 1-1,0-1 0,1 0 0,-1 0 0,0-1 0,0 1 0,1 0 0,-1-1 1,1 1-1,0-1 0,-1 0 0,1 0 0,0 0 0,0 0 0,-1-1 0,1 1 1,3 0-1,0-1-6,0 1 0,0 0 0,0-1 1,0 0-1,0-1 0,0 1 0,0-1 0,0 0 1,-1-1-1,1 1 0,0-1 0,-1 0 1,1-1-1,-1 1 0,1-1 0,-1 0 0,0-1 1,0 1-1,-1-1 0,1 0 0,-1 0 1,0 0-1,0-1 0,0 1 0,0-1 0,-1 0 1,0 0-1,0 0 0,0-1 0,2-8 0,0 2 86,-1-1 0,-1 1-1,0-1 1,0 0 0,-1 0-1,-1 0 1,-1 0 0,0-1-1,0 1 1,-1 0 0,-1 0-1,-4-16 1,3 14 180,-1 1 0,-1 0 0,-1 0 0,0 0 0,0 1-1,-1 0 1,-1 0 0,0 1 0,-1 0 0,-16-17 0,25 28-212,-1 1 0,1-1 0,-1 1 1,0-1-1,1 1 0,-1-1 0,1 1 0,-1-1 0,0 1 0,0-1 0,1 1 0,-1 0 0,0-1 0,0 1 0,1 0 0,-1 0 0,0 0 0,-1-1 0,-5 10 282,5 22 69,2-27-358,0 20 20,0-1-1,2 1 1,2 0-1,0 0 1,12 40-1,50 105-1252,-63-164-603</inkml:trace>
  <inkml:trace contextRef="#ctx0" brushRef="#br0" timeOffset="37677.25">14481 1891 5491,'0'0'11717,"72"-9"-11541,-1 9-176,16 0-336,3 0-1617,-5 0-2593,-6-10-3330</inkml:trace>
  <inkml:trace contextRef="#ctx0" brushRef="#br0" timeOffset="38720.3">15143 1633 8644,'0'0'11104,"-5"-2"-9909,5 1-1182,-1 1-1,1-1 1,-1 1 0,0-1 0,1 1 0,-1-1-1,0 1 1,0 0 0,1 0 0,-1-1-1,0 1 1,0 0 0,0 0 0,1 0-1,-1 0 1,0 0 0,0 0 0,0 0 0,1 0-1,-1 0 1,0 0 0,0 0 0,1 0-1,-1 1 1,0-1 0,0 0 0,1 1-1,-1-1 1,0 0 0,0 1 0,1-1-1,-1 1 1,1-1 0,-1 1 0,0-1 0,1 1-1,-1 0 1,1-1 0,-1 2 0,-2 4-1,1 0 1,0 0-1,0 0 1,1 0-1,-2 7 1,1 0 36,-6 37 84,2 0 1,3 92-1,3-141-133,-1 4-27,2 0 0,-1 0 0,0 0 0,1 0 0,0 0 0,0 0-1,1 0 1,-1 0 0,1-1 0,0 1 0,0 0 0,5 6 0,-5-9-4,0 1 1,0-1-1,1 0 1,-1 0-1,1 0 1,-1 0-1,1 0 1,0 0-1,0-1 1,0 1-1,0-1 1,0 0 0,0 0-1,0 0 1,0 0-1,0-1 1,1 1-1,-1-1 1,0 0-1,5 0 1,-3 1-21,0-1 0,-1-1 1,1 1-1,0-1 0,0 0 0,-1 0 1,1 0-1,0 0 0,-1-1 1,0 0-1,1 0 0,-1 0 1,0 0-1,0-1 0,0 0 1,0 0-1,0 0 0,-1 0 0,1 0 1,-1-1-1,0 0 0,0 1 1,0-1-1,-1 0 0,1-1 1,-1 1-1,0 0 0,0-1 1,2-7-1,0-2 262,0 1-1,-2-1 1,1 1 0,-1-1 0,-1 0-1,-1 0 1,0 1 0,-3-26 0,3 39-207,0-1 0,0 1 1,0 0-1,0 0 0,0-1 0,-1 1 1,1 0-1,0 0 0,0 0 1,0-1-1,0 1 0,0 0 0,-1 0 1,1 0-1,0-1 0,0 1 1,0 0-1,-1 0 0,1 0 0,0 0 1,0 0-1,-1-1 0,1 1 1,0 0-1,0 0 0,-1 0 0,1 0 1,0 0-1,0 0 0,-1 0 1,1 0-1,0 0 0,0 0 0,-1 0 1,1 0-1,0 0 0,0 0 1,-1 0-1,1 0 0,0 1 0,0-1 1,-1 0-1,1 0 0,0 0 1,0 0-1,0 0 0,-1 0 0,1 1 1,0-1-1,0 0 0,0 0 1,0 0-1,-1 1 0,1-1 0,0 0 1,0 0-1,0 1 0,0-1 1,-10 14-154,9-11 50,0 0 1,1 0-1,-1 0 1,1 0-1,0 0 1,0 0-1,0 0 1,1 0-1,-1 0 1,0 0-1,1 0 1,0-1-1,0 1 0,0 0 1,0 0-1,0 0 1,1-1-1,-1 1 1,1-1-1,0 1 1,0-1-1,0 1 1,0-1-1,0 0 1,0 0-1,0 0 1,1 0-1,-1-1 1,1 1-1,-1 0 1,1-1-1,0 0 0,0 0 1,-1 0-1,1 0 1,0 0-1,0 0 1,0-1-1,0 1 1,0-1-1,0 0 1,5 0-1,-6-1 84,-1 1-1,0 0 1,0-1-1,0 1 1,0-1 0,0 0-1,1 1 1,-1-1-1,0 0 1,0 1-1,-1-1 1,1 0-1,0 0 1,0 0-1,0 0 1,0 0 0,-1 0-1,1 0 1,0 0-1,-1 0 1,1 0-1,-1 0 1,1 0-1,-1-1 1,0 1 0,0 0-1,1 0 1,-1 0-1,0-1 1,0 1-1,0 0 1,0-2-1,-2-46 297,2 47-268,-1-1 104,0 0-1,0 0 1,0 0 0,-1 0-1,1 0 1,-1 0 0,0 0-1,0 1 1,0-1-1,0 1 1,0-1 0,0 1-1,-1 0 1,1 0 0,-1 0-1,0 0 1,-4-2-1,6 3-83,-1 0 0,1 0-1,0 1 1,0-1-1,-1 0 1,1 1 0,0-1-1,-1 1 1,1-1-1,0 1 1,-1 0 0,1 0-1,-1-1 1,1 1 0,-1 0-1,1 0 1,0 0-1,-1 1 1,1-1 0,-1 0-1,1 0 1,0 1-1,-1-1 1,1 1 0,0-1-1,-1 1 1,1 0-1,0 0 1,0-1 0,-1 1-1,1 0 1,0 0 0,0 0-1,0 0 1,0 0-1,0 0 1,0 1 0,1-1-1,-1 0 1,-1 3-1,-1 6-23,0 0 0,0 1 0,1-1 0,1 1-1,0 0 1,0 0 0,2 20 0,-1-22-8,1-1 0,0 1 1,1 0-1,0 0 1,0-1-1,1 1 0,0-1 1,1 1-1,-1-1 0,6 8 1,-4-11-50,-1 0 0,0 0 0,1 0 0,0-1 0,0 0 0,1 0 0,-1 0 1,1-1-1,0 1 0,0-1 0,0-1 0,12 5 0,-13-6 10,-1 0 0,0 0 1,0 0-1,0-1 0,0 1 0,1-1 1,-1 0-1,0-1 0,0 1 0,1-1 0,-1 1 1,0-1-1,0 0 0,0-1 0,0 1 0,0-1 1,0 0-1,0 0 0,-1 0 0,1 0 1,3-4-1,3-4 57,0-1 0,-1 0 0,0-1 1,-1 1-1,0-2 0,-1 1 0,-1-1 0,0 0 1,-1 0-1,0-1 0,6-27 0,-4 3 350,-1 0-1,-2 0 1,-2-47 0,-2 79-179,0 0 1,0 0 0,-1 0 0,0 0-1,-2-8 1,3 13-161,0 0 0,-1 0-1,1 0 1,-1 0 0,1 0-1,-1 0 1,1 0 0,-1 0 0,0 0-1,0 0 1,1 0 0,-1 0 0,0 0-1,0 1 1,0-1 0,0 0-1,0 1 1,0-1 0,0 1 0,0-1-1,0 1 1,0-1 0,0 1 0,0 0-1,0-1 1,0 1 0,0 0-1,0 0 1,-1 0 0,1 0 0,0 0-1,0 0 1,0 0 0,-2 1 0,2-1-26,0 1 0,-1 0 1,1 0-1,0 0 1,0 0-1,0 0 1,0 0-1,0 0 1,0 0-1,0 0 1,1 0-1,-1 1 1,0-1-1,1 0 1,-1 1-1,1-1 1,-1 0-1,1 1 1,-1-1-1,1 0 0,0 1 1,0 2-1,-5 37-16,5-35 18,-2 24 33,2 0 1,1 0 0,7 44-1,-6-61-48,1 1-1,0-1 0,1 0 1,1 0-1,0-1 1,1 1-1,0-1 1,1 0-1,1-1 0,8 12 1,-12-19-29,-1-1 0,0 0 1,1 0-1,-1 0 0,1 0 1,0-1-1,0 0 0,0 1 1,0-1-1,1-1 0,-1 1 0,0-1 1,1 1-1,-1-1 0,1 0 1,0-1-1,-1 1 0,1-1 0,0 0 1,-1 0-1,1-1 0,-1 1 1,1-1-1,0 0 0,-1 0 0,0-1 1,1 1-1,-1-1 0,0 0 1,0 0-1,1 0 0,-2-1 0,1 1 1,0-1-1,0 0 0,-1 0 1,0-1-1,0 1 0,0 0 0,0-1 1,0 0-1,-1 0 0,3-4 0,0-4 18,-1 1-1,-1-1 0,0 0 0,0-1 1,-1 1-1,0-16 0,-2-78 144,-2 49 68,3 42-52,0 11-25,-1 0 0,0 1 0,1-1 0,-1 0 0,-1 1 0,1-1 0,0 0 0,-1 0 0,0 1 0,0-1 0,-2-4 0,3 8-106,0 0 1,0 1-1,1-1 1,-1 0-1,0 0 1,0 0-1,0 0 1,0 0-1,0 1 1,0-1-1,0 0 1,0 0-1,-1 0 1,1 0-1,0 0 0,0 0 1,0 1-1,0-1 1,0 0-1,0 0 1,0 0-1,0 0 1,0 0-1,0 0 1,0 0-1,0 1 1,0-1-1,-1 0 1,1 0-1,0 0 1,0 0-1,0 0 0,0 0 1,0 0-1,0 0 1,-1 0-1,1 0 1,0 0-1,0 0 1,0 0-1,0 0 1,0 0-1,0 0 1,-1 0-1,1 0 1,0 0-1,0 0 1,0 0-1,0 0 0,0 0 1,-1 0-1,1 0 1,0 0-1,0 0 1,0 0-1,0 0 1,0 0-1,0 0 1,-1 0-1,1 0 1,0 0-1,0-1 1,-2 50-74,3-1 1,1 1 0,3-1 0,2 0 0,1 0 0,27 80 0,-33-123-214,-2-2-273,1 0 0,0 0 0,0-1 0,0 1 0,1-1 0,-1 1 0,1-1 0,3 5 0,4-3-5155</inkml:trace>
  <inkml:trace contextRef="#ctx0" brushRef="#br0" timeOffset="39157.65">16287 1660 9060,'0'0'13230,"6"11"-12779,14 38-186,-2 1 0,-2 1 1,-2 1-1,10 78 0,-22-86-1679,-4-44 710,-1 1 0,1 0 0,-1-1 0,1 0 0,-1 0-1,1 0 1,-1 0 0,1 0 0,-1 0 0,1 0 0,-5-2 0,-19-11-5993</inkml:trace>
  <inkml:trace contextRef="#ctx0" brushRef="#br0" timeOffset="39592.6">16167 1921 2913,'0'0'13268,"0"-5"-12959,0 4-301,-1 0-1,1 0 1,0 0-1,1 0 1,-1 0-1,0 0 0,0 0 1,0 1-1,0-1 1,1 0-1,-1 0 1,0 0-1,1 0 1,-1 0-1,1 0 1,-1 1-1,1-1 1,0 0-1,-1 0 1,1 1-1,-1-1 0,1 0 1,0 1-1,0-1 1,-1 1-1,1-1 1,0 1-1,0-1 1,0 1-1,0 0 1,0-1-1,0 1 1,-1 0-1,1 0 0,0 0 1,0-1-1,0 1 1,0 0-1,0 0 1,0 0-1,0 0 1,0 1-1,1-1 1,9 1-13,1 1 1,-1 0 0,15 6-1,8 0 25,-2-2-554,1-1-1,-1-2 1,1-1-1,0-2 1,35-4-1,-64 4 525,0-1-1,-1 0 1,1 1 0,-1-2-1,1 1 1,-1 0 0,1-1-1,-1 0 1,0 1 0,0-1-1,0 0 1,0-1-1,0 1 1,0-1 0,-1 1-1,1-1 1,-1 0 0,0 0-1,0 0 1,0 0-1,0 0 1,0 0 0,-1 0-1,3-7 1,-2 1 472,1 0 0,-2 0 0,1 0 0,-2 0-1,1 0 1,-1 0 0,0-1 0,-3-15 0,2 22-225,0 1 0,1-1-1,-1 1 1,-1-1 0,1 1-1,0 0 1,0 0 0,-1-1 0,1 1-1,-1 0 1,0 0 0,-2-1 0,4 2-212,-1 0 0,1 1 0,-1-1 0,0 1 0,1 0-1,-1-1 1,0 1 0,1-1 0,-1 1 0,0 0 0,1-1 0,-1 1 0,0 0 0,0 0 0,0 0 0,1 0 0,-1-1 0,0 1 0,0 0 0,1 0 0,-1 0 0,0 1 0,0-1 0,0 0 0,1 0 0,-1 0 0,0 1 0,0-1 0,1 0 0,-1 1 0,0-1-1,1 0 1,-1 1 0,0-1 0,1 1 0,-1-1 0,1 1 0,-1-1 0,1 1 0,-1 0 0,1-1 0,-1 1 0,1 0 0,-1-1 0,1 2 0,-4 7-26,2-1 0,-1 0 1,1 1-1,1 0 0,-1-1 1,2 1-1,-1 0 0,1 0 0,0 0 1,1-1-1,0 1 0,0 0 0,1 0 1,0-1-1,1 1 0,0-1 0,7 14 1,-5-14-59,1 0 1,0 0 0,0-1-1,1 0 1,0 0-1,0 0 1,1-1 0,12 8-1,-15-11-78,-1-1 1,1 1-1,0-1 0,0 0 0,0 0 0,0-1 1,0 0-1,0 0 0,0 0 0,0 0 0,0-1 0,0 0 1,1 0-1,-1 0 0,0 0 0,0-1 0,9-2 1,-11 1 101,0 1 1,-1-1-1,1 0 1,0 0 0,0 0-1,-1 0 1,0-1 0,1 1-1,-1-1 1,0 1-1,0-1 1,0 0 0,0 0-1,-1 0 1,1 0 0,-1 0-1,0 0 1,0 0 0,0 0-1,0-1 1,0 1-1,-1 0 1,0 0 0,1-1-1,-2-5 1,2 2 18,-1 1 0,0-1 0,-1 1 1,0-1-1,0 1 0,0-1 0,-1 1 0,0-1 1,0 1-1,0 0 0,-1 0 0,-4-7 0,3 7-63,0 1 0,-1 0 0,0 0 0,0 0 0,0 1 0,0 0-1,-1 0 1,1 0 0,-1 1 0,0 0 0,0 0 0,-1 0 0,-8-2 0,5 2-739,1 2-1,-1-1 1,1 1 0,-1 1 0,-14 0 0,-16 3-4896</inkml:trace>
  <inkml:trace contextRef="#ctx0" brushRef="#br0" timeOffset="40167.07">13864 2740 5042,'0'0'11958,"0"9"-10664,5 68-1075,25 132 0,-19-145-153,-5-43 299,-1-6-1554,-4-6-3915</inkml:trace>
  <inkml:trace contextRef="#ctx0" brushRef="#br0" timeOffset="40335.21">13746 2996 2961,'0'0'7764,"128"-8"-7748,-74 8-16,1 6-64,-3 1-1713,-10-3-512,-12-2-224,-11-2 288</inkml:trace>
  <inkml:trace contextRef="#ctx0" brushRef="#br0" timeOffset="41178.42">14137 2975 176,'0'0'6419,"-9"-19"-4375,-28-57-340,35 71-1413,0 1 0,-1 0 0,0-1 0,0 1 0,0 0-1,-6-6 1,8 9-224,1 1 0,-1-1 0,0 0 0,0 1 0,0-1 0,0 1 0,0-1-1,0 1 1,0 0 0,0-1 0,0 1 0,0 0 0,0-1 0,0 1 0,0 0 0,0 0 0,0 0 0,0 0 0,0 0-1,-1 0 1,0 1-37,0 1 0,0-1 0,0 0-1,0 0 1,1 1 0,-1-1 0,0 1 0,1 0-1,-1 0 1,1-1 0,0 1 0,-1 0-1,1 0 1,0 0 0,0 0 0,0 0 0,1 0-1,-1 1 1,0 2 0,-5 17 31,2 0 1,0 1-1,1 0 0,2-1 1,0 1-1,3 25 0,-2-45-53,1 0 0,-1-1-1,1 1 1,0-1 0,-1 1-1,1-1 1,0 1-1,0-1 1,1 1 0,-1-1-1,0 0 1,1 0 0,-1 0-1,1 0 1,0 0-1,0 0 1,0 0 0,0 0-1,0-1 1,0 1 0,0-1-1,1 1 1,-1-1-1,0 0 1,1 0 0,-1 0-1,1 0 1,-1-1-1,1 1 1,5 0 0,-5-1 7,-1 1 0,1-1-1,0 0 1,0 0 0,0 0 0,0-1 0,0 1 0,0-1 0,0 0 0,0 1 0,-1-1 0,1 0-1,0-1 1,-1 1 0,1 0 0,0-1 0,-1 0 0,0 1 0,1-1 0,-1 0 0,0 0 0,0 0 0,0-1-1,0 1 1,-1 0 0,1-1 0,1-3 0,0-1 4,-1-1 1,0 0-1,0 1 1,-1-1-1,0 0 0,0 0 1,-1 0-1,0 0 1,0 0-1,-2-9 0,1 13 2,1 0 0,-1 0 0,0 1 0,0-1 0,0 0 0,0 1 0,0-1 0,-1 0-1,0 1 1,0 0 0,0-1 0,0 1 0,0 0 0,-1 0 0,1 0 0,-1 0-1,0 1 1,0-1 0,0 1 0,0 0 0,0 0 0,-5-3 0,8 5-14,-1 0 0,0 0 0,1-1 0,-1 1 0,0 0 0,1 0 0,-1 0 0,0 0 1,1 0-1,-1 0 0,0 0 0,0 0 0,1 0 0,-1 0 0,0 0 0,1 0 0,-1 1 0,0-1 0,1 0 0,-1 0 1,1 1-1,-1-1 0,0 0 0,1 1 0,-1-1 0,1 1 0,-1-1 0,1 1 0,-1-1 0,0 2 0,0 0-7,0 0-1,0 0 1,0 1-1,0-1 0,0 0 1,0 1-1,1-1 1,0 0-1,-1 4 0,0 2 2,1 0-1,0-1 1,1 1-1,0 0 0,2 10 1,-2-14-5,1 0 1,0-1-1,0 1 1,1-1-1,-1 1 1,0-1 0,1 0-1,0 0 1,0 0-1,0-1 1,0 1-1,0 0 1,1-1-1,-1 0 1,1 0-1,0 0 1,-1 0-1,1-1 1,0 0-1,0 1 1,0-1-1,0 0 1,5 0-1,12 2-673,-1-1-1,0-1 0,25-2 0,-45 1 666,4 0-158,-1 0 1,0-1-1,0 1 0,0-1 0,0 1 0,0-1 0,0 0 1,0 0-1,-1-1 0,1 1 0,0-1 0,-1 1 0,1-1 1,0 0-1,-1 0 0,0 0 0,0 0 0,4-5 0,-3 3 28,0-1-1,0 0 0,-1 1 0,1-1 1,-1-1-1,0 1 0,-1 0 1,1 0-1,-1-1 0,0-6 0,0 3 371,0-1-1,-1 0 0,0 1 0,-1-1 0,-3-14 1,3 17 468,-1 1 1,0-1 0,0 1-1,0 0 1,-1 0 0,0 0-1,-6-9 1,6 20 1728,0 31-2246,3-8 186,1-1 0,1 1 0,1 0 0,2-1 0,9 32 0,107 285 489,-118-420 5,-6 43-871,-1-1 0,-1 1-1,-18-62 1,0 2 31,13 41 4,2-1-1,-1-80 0,9 133-31,0-1 0,0 1 0,0 0 1,0-1-1,0 1 0,0-1 0,0 1 0,1-1 0,-1 1 0,0 0 0,0-1 0,0 1 1,1 0-1,-1-1 0,0 1 0,0 0 0,1-1 0,-1 1 0,0 0 0,1-1 0,-1 1 0,0 0 1,1 0-1,-1-1 0,1 1 0,-1 0 0,0 0 0,1 0 0,-1 0 0,1 0 0,-1-1 0,1 1 1,-1 0-1,0 0 0,1 0 0,-1 0 0,1 0 0,-1 0 0,1 0 0,0 1 0,19 6-98,-13-1 45,0 1 0,0-1 0,-1 1-1,0 1 1,0-1 0,0 1 0,-1 0 0,0 0 0,-1 1 0,0 0-1,4 13 1,-2-6-330,-2 1-1,0-1 1,-1 1 0,-1 0-1,1 28 1,-3-41 256,-1 0 1,1 0-1,-1 0 1,0 0-1,0 0 1,-1 0 0,1 0-1,-1 0 1,1-1-1,-1 1 1,-1-1-1,1 1 1,0-1-1,-1 0 1,0 0-1,1 0 1,-1 0-1,0 0 1,-5 3-1,5-4-348,0 0-1,-1 0 0,1 0 1,-1-1-1,1 1 0,-1-1 1,-5 1-1,-4-1-3202</inkml:trace>
  <inkml:trace contextRef="#ctx0" brushRef="#br0" timeOffset="42127.06">14929 2589 6771,'0'0'10333,"-10"16"-9477,-1 0-666,6-9-107,0 0 0,1 0-1,-1 0 1,1 1 0,1 0 0,-1-1 0,2 1 0,-1 0 0,1 1 0,0-1 0,-1 14 0,-1 10 146,3-1-1,0 1 1,6 48 0,-4-75-219,0-1 1,0 0 0,1 1-1,-1-1 1,1 0 0,0 0-1,0 0 1,1 0 0,-1 0-1,1 0 1,-1-1 0,1 1-1,1-1 1,-1 0-1,0 0 1,1 0 0,-1 0-1,1-1 1,0 1 0,0-1-1,0 0 1,0 0 0,0-1-1,0 1 1,1-1-1,-1 0 1,9 2 0,-8-3 3,1 1 0,-1-1 1,0 0-1,0 0 1,1-1-1,-1 0 0,0 1 1,0-2-1,0 1 1,0-1-1,0 1 0,0-1 1,-1-1-1,1 1 0,0-1 1,-1 1-1,0-1 1,0-1-1,0 1 0,0 0 1,0-1-1,-1 0 0,6-8 1,-3 2 52,-2 0 0,1-1 1,-1 0-1,-1 0 0,0 0 1,-1 0-1,0 0 0,0-1 1,-2 1-1,1-1 0,-3-22 1,2 9 717,0 25-505,-6 4-331,4 0 47,1 0 0,-1 0 0,1 0 0,-1 0 1,1 0-1,0 0 0,1 0 0,-1 1 0,1-1 0,0 0 0,0 0 1,0 1-1,0-1 0,1 0 0,1 7 0,-1-8-5,0 0-1,0 0 1,0 0 0,0-1-1,0 1 1,0 0 0,1-1 0,-1 0-1,1 1 1,0-1 0,0 0-1,0 1 1,0-1 0,0 0-1,0-1 1,1 1 0,-1 0-1,0-1 1,1 1 0,0-1-1,-1 0 1,1 0 0,4 2 0,-4-2-6,-1-1 0,0 1 0,1-1 0,-1 1 1,1-1-1,-1 0 0,1 0 0,-1 0 0,0 0 1,1 0-1,-1-1 0,1 1 0,-1-1 0,0 0 1,1 1-1,-1-1 0,0 0 0,0 0 0,1-1 1,-1 1-1,0 0 0,0-1 0,0 1 0,2-3 1,-2 0 10,1 0 1,-1 0-1,0 0 1,-1-1 0,1 1-1,-1 0 1,1-1 0,-1 1-1,-1-1 1,1 1 0,-1-1-1,1-6 1,-1 6-6,0 0 0,0-1 0,0 1 1,0 0-1,-1 0 0,0 0 0,0-1 0,0 1 0,-1 0 1,-3-7-1,4 10 10,-1 0-1,1 0 1,-1 0 0,0 0 0,0 0 0,0 1 0,0-1-1,0 1 1,0-1 0,0 1 0,-1 0 0,1 0-1,0 0 1,-1 0 0,1 0 0,-1 0 0,1 1 0,-1-1-1,1 1 1,-1 0 0,0 0 0,1 0 0,-5 0 0,6 0-1,-1 0 0,1 0 0,-1 0 0,1 0-1,-1 0 1,1 0 0,-1 0 0,1 1 0,-1-1 0,1 0 0,-1 1 0,1 0 0,-1-1 0,1 1 0,0 0 0,-1 0 0,1-1 0,0 1 0,0 0 0,0 0 0,0 0 0,-2 2 0,2 0 0,0 1 0,-1-1-1,1 0 1,0 1 0,1-1 0,-1 1 0,1 0-1,-1-1 1,1 5 0,-1 9-4,1 0 1,0 0-1,6 34 1,-5-43 17,2 0-1,-1 0 1,1 0 0,0 0-1,1 0 1,0-1-1,0 1 1,1-1 0,0 0-1,6 6 1,-5-6-5,0 0 1,1 0-1,0-1 0,1 0 0,-1 0 1,1-1-1,0 0 0,0 0 0,1-1 1,0 0-1,-1 0 0,1-1 1,0 0-1,1-1 0,-1 0 0,0 0 1,1-1-1,-1 0 0,1-1 0,16-1 1,-23 0 0,1 0 0,0 0 0,-1 0 0,1-1 0,-1 1 0,0-1 0,1 0 1,-1 0-1,0 0 0,0 0 0,0-1 0,0 1 0,-1-1 0,1 1 0,-1-1 0,1 0 0,-1 0 1,0 0-1,0-1 0,-1 1 0,4-7 0,-1-1 3,1-1 0,-1 0 1,-1-1-1,0 1 0,1-15 0,0-14-14,-1 1 0,-4-59 0,-1 77 163,-1 0 0,0 1 0,-2-1 0,0 1 0,-2 0 0,-10-23 0,10 34 582,3 15-502,1 20-254,1 18 13,2 1 1,2-1-1,1 1 0,3-1 0,1 0 0,19 59 0,-22-91 0,7 20-15,17 35 1,-24-58-14,0 0-1,1 0 0,0 0 0,1-1 0,0 1 0,0-1 1,0-1-1,1 1 0,8 5 0,-13-10-280,1-1 0,0 1 1,0-1-1,1 0 0,-1 1 0,0-1 0,0-1 1,0 1-1,1 0 0,-1-1 0,0 0 0,1 1 1,-1-1-1,0-1 0,4 1 0,10-4-5284</inkml:trace>
  <inkml:trace contextRef="#ctx0" brushRef="#br0" timeOffset="43177.55">15755 2589 4194,'0'0'9404,"0"22"-8265,0 136-50,-1-121-844,0-7 27,2 0 0,4 33 1,-4-55-171,1 0 0,-1 0 0,2 0 0,-1 0 0,1 0 0,0-1 0,1 1 0,-1-1 0,2 0 0,-1 0 0,1 0 0,8 9 0,-10-14-15,0 1 0,0-1 1,0 0-1,0 0 1,0 0-1,0 0 0,1-1 1,-1 1-1,1-1 0,-1 0 1,1 0-1,0 0 1,-1 0-1,1-1 0,0 0 1,-1 1-1,1-1 0,0-1 1,-1 1-1,1 0 1,0-1-1,-1 0 0,1 0 1,6-2-1,1-2 12,0 0 0,0 0-1,0-1 1,0-1 0,-1 0 0,10-8 0,47-46-859,-30 15-5966,-26 27-1596</inkml:trace>
  <inkml:trace contextRef="#ctx0" brushRef="#br0" timeOffset="44078.65">22090 175 6051,'0'0'11979,"0"7"-11611,2 15-87,1 0 1,1 0 0,1 0 0,1 0-1,1-1 1,11 25 0,7 22-1521,-24-65-402</inkml:trace>
  <inkml:trace contextRef="#ctx0" brushRef="#br0" timeOffset="44271.84">22052 354 3298,'0'0'9700,"126"-15"-9636,-86 15-64,1 0-464,2-6-2978,-1-3-4994</inkml:trace>
  <inkml:trace contextRef="#ctx0" brushRef="#br0" timeOffset="44948.68">22592 96 6275,'0'0'10399,"-8"-4"-9833,7 4-557,-4-4 114,-1 1 1,0 1 0,1-1-1,-1 1 1,-11-3-1,15 5-88,-1-1 0,1 1 0,-1 0 0,1 0 0,0 0 0,-1 0 0,1 1-1,-1-1 1,1 0 0,0 1 0,-1 0 0,1 0 0,0-1 0,0 1 0,0 1-1,-1-1 1,1 0 0,0 0 0,0 1 0,1-1 0,-1 1 0,-2 2 0,-3 4-12,1-1 0,0 1 0,0 0 0,1 0 0,0 1 0,0 0 0,1 0 1,0 0-1,1 0 0,0 0 0,0 1 0,1-1 0,1 1 0,-1 0 0,2 0 1,-1 0-1,2 17 0,0-25-16,-1 0 0,1-1-1,0 0 1,-1 1 0,1-1 0,0 1 0,0-1 0,0 0 0,0 0-1,0 1 1,1-1 0,-1 0 0,0 0 0,0 0 0,1 0 0,-1 0-1,0-1 1,1 1 0,-1 0 0,1-1 0,0 1 0,-1-1 0,1 1-1,-1-1 1,1 0 0,-1 1 0,1-1 0,2 0 0,55 1 325,-44-1-244,-4 0-17,-15 3-52,-12 8-29,11-5 29,0 0 1,1 0-1,-1 1 1,2-1-1,-1 1 1,1 0-1,0 0 1,0 1-1,0-1 1,1 0-1,1 1 1,-1 0-1,1-1 1,0 1-1,1 11 1,0-17-7,0-1 0,1 0 0,-1 1 0,1-1 1,-1 0-1,1 1 0,-1-1 0,1 0 0,0 0 0,-1 0 0,1 0 1,0 0-1,0 0 0,0 0 0,0 0 0,0 0 0,0 0 0,0 0 1,0 0-1,0-1 0,1 1 0,-1 0 0,0-1 0,0 1 0,1-1 0,-1 1 1,0-1-1,1 0 0,-1 0 0,0 1 0,3-1 0,53 2 509,-44-3-368,0 0-96,1 0 0,-1-1 0,0-1 0,0 0 0,0-1-1,22-10 1,26-7-1933,-58 21 1240,6-3-1415</inkml:trace>
  <inkml:trace contextRef="#ctx0" brushRef="#br0" timeOffset="45587.75">22848 243 4322,'0'0'14857,"-1"-13"-13707,-2 32-926,1 0 0,0 0-1,1 0 1,1 0 0,5 34-1,-1-152 217,-4 91-415,1-31-14,0 37-4,-1 0-1,0 0 1,1 0 0,-1 0 0,1 0 0,0 0-1,-1 0 1,1 1 0,0-1 0,0 0 0,0 0-1,1 1 1,-1-1 0,0 0 0,3-1 0,-4 3-12,1-1 0,0 1 1,-1 0-1,1 0 1,0 0-1,-1 0 1,1 0-1,0 0 1,-1 0-1,1 0 1,0 0-1,-1 0 1,1 1-1,-1-1 0,1 0 1,0 0-1,-1 1 1,1-1-1,-1 0 1,1 1-1,0-1 1,-1 0-1,1 1 1,-1-1-1,0 1 1,1-1-1,-1 1 0,1-1 1,-1 1-1,0-1 1,1 1-1,-1-1 1,1 2-1,14 23-216,-14-22 207,20 44 14,-18-38 0,0 0 0,1-1 0,0 0 0,0 0 0,0 0 0,1 0 0,0 0 0,1-1 0,0 0 0,10 10 0,-14-16-6,1 0 1,-1 1-1,0-1 0,1 0 1,-1 0-1,0-1 0,1 1 1,-1 0-1,1-1 0,-1 1 1,1-1-1,0 0 0,-1 0 1,1 0-1,-1 0 0,1-1 0,-1 1 1,1-1-1,-1 1 0,1-1 1,-1 0-1,0 0 0,1 0 1,-1 0-1,0 0 0,0-1 1,1 1-1,-1-1 0,0 1 1,0-1-1,-1 0 0,1 0 1,0 0-1,-1 0 0,1 0 1,-1 0-1,1 0 0,0-3 1,3-8 5,-1-1 0,0-1 1,0 1-1,-2 0 0,0-1 1,-1 1-1,0-1 0,-1 0 1,-2-16-1,2-6 10,0 33-32,0 1 4,0 1 0,0 0-1,-1 0 1,1 0 0,0 0 0,-1 0 0,1 0-1,-1 0 1,1 0 0,-1 1 0,0-1-1,-2-3 1,4 8-490,0 1-1,-1-1 1,0 0-1,0 1 1,0-1 0,0 0-1,-1 6 1,0 4-360,1-7 229,0-1 0,1 1 0,-1-1 0,1 1 0,0-1 1,1 0-1,-1 1 0,5 8 0,8 12-4376</inkml:trace>
  <inkml:trace contextRef="#ctx0" brushRef="#br0" timeOffset="46101.85">23224 207 7299,'0'0'12702,"0"0"-12679,0 0 0,-1 0-1,1 0 1,0 0 0,0 0-1,-1 0 1,1-1 0,0 1 0,0 0-1,-1 0 1,1 0 0,0 0-1,-1 0 1,1 0 0,0 0-1,0 0 1,-1 0 0,1 0 0,0 0-1,0 0 1,-1 1 0,1-1-1,0 0 1,-1 0 0,1 0 0,0 0-1,0 0 1,0 0 0,-1 1-1,1-1 1,0 0 0,0 0-1,0 0 1,-1 1 0,1-1 0,0 0-1,0 0 1,0 1 0,0-1-1,0 0 1,-1 0 0,1 1 0,0-1-1,0 0 1,0 0 0,0 1-1,-2 9 7,-1-1-1,2 1 0,0-1 1,0 1-1,0 0 0,1 0 1,3 17-1,-2 4 31,-1-28-62,-1 4 6,1 0-1,0 0 1,0 1 0,1-1-1,0 0 1,0 0 0,1 0-1,0-1 1,0 1 0,0 0-1,6 11 1,-7-18-4,-1 0 0,0 0 0,0 0 1,0 1-1,0-1 0,0 0 0,0 0 0,1 0 0,-1 0 0,0 0 0,0 1 1,0-1-1,0 0 0,1 0 0,-1 0 0,0 0 0,0 0 0,0 0 0,1 0 1,-1 0-1,0 0 0,0 0 0,0 0 0,1 0 0,-1 0 0,0 0 0,0 0 1,0 0-1,1 0 0,-1 0 0,0 0 0,0 0 0,0 0 0,1 0 0,-1 0 0,0 0 1,0 0-1,0 0 0,1-1 0,-1 1 0,0 0 0,0 0 0,0 0 0,0 0 1,0 0-1,1-1 0,-1 1 0,0 0 0,0 0 0,0 0 0,0 0 0,0-1 1,0 1-1,5-11 96,-2-26-17,-1 0 1,-5-73-1,-1 17 594,8 78-99,6 15-470,11 16-219,-19-15 146,14 15-35,0 1 0,-1 0 0,-1 1 1,0 1-1,21 39 0,-28-42-116,0-1 1,-1 1-1,0 0 0,-1 0 0,-1 1 1,0 0-1,-2 0 0,2 29 1,-4-45 86,-1 0 0,1-1 0,-1 1 0,1 0 1,-1 0-1,1 0 0,-1-1 0,0 1 0,1 0 1,-1-1-1,0 1 0,1 0 0,-1-1 0,0 1 1,0-1-1,0 1 0,1-1 0,-1 0 0,0 1 1,0-1-1,0 0 0,0 1 0,0-1 0,0 0 1,0 0-1,0 0 0,0 0 0,0 0 0,-1 0 1,-37 0-4882,31 0 740</inkml:trace>
  <inkml:trace contextRef="#ctx0" brushRef="#br0" timeOffset="46398.37">23691 46 8212,'0'0'13206,"-5"9"-13019,-1 3-90,2 1 1,-1 0 0,2 0 0,0 0 0,0 1-1,1-1 1,1 1 0,1 25 0,-1-18-7,2 1 0,1-1 0,0 1 0,10 35 0,-10-50-152,0 0 1,1 0 0,-1-1 0,2 1 0,-1-1-1,1 1 1,0-1 0,0 0 0,0-1-1,1 1 1,0-1 0,0 0 0,1 0-1,-1-1 1,1 1 0,0-1 0,13 6-1,-14-8-549,-1 0 0,1-1 0,0 1 0,0-1 0,0-1 0,0 1 0,0-1 0,7 1 0,12-1-4374</inkml:trace>
  <inkml:trace contextRef="#ctx0" brushRef="#br0" timeOffset="46633.01">23890 0 6835,'0'0'14407,"87"89"-14023,-67-35-288,-1 1 48,-4 3-64,-4-5 16,-3-4-112,-4-6 16,-4-7-384,0-4-881,-12-6-1648,-10-7-801,-12-4-4738</inkml:trace>
</inkml:ink>
</file>

<file path=xl/ink/ink7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9:08.064"/>
    </inkml:context>
    <inkml:brush xml:id="br0">
      <inkml:brushProperty name="width" value="0.05" units="cm"/>
      <inkml:brushProperty name="height" value="0.05" units="cm"/>
      <inkml:brushProperty name="color" value="#F6630D"/>
    </inkml:brush>
  </inkml:definitions>
  <inkml:trace contextRef="#ctx0" brushRef="#br0">90 185 3906,'0'0'8863,"-6"-3"-8565,5 2-294,0 0-1,0 1 0,0-1 1,0 0-1,-1 0 0,1 1 0,0-1 1,-1 1-1,1-1 0,-1 1 1,1 0-1,0-1 0,-1 1 1,1 0-1,-1 0 0,1 0 1,-1 0-1,1 0 0,-1 0 0,1 1 1,0-1-1,-1 0 0,1 1 1,-1-1-1,1 1 0,0 0 1,-1-1-1,1 1 0,0 0 0,0 0 1,0-1-1,0 1 0,-1 0 1,1 0-1,0 1 0,1-1 1,-1 0-1,0 0 0,0 0 1,0 0-1,1 1 0,-1-1 0,1 0 1,-1 1-1,0 1 0,-4 9 20,0 1-1,1 1 1,0-1-1,1 0 0,0 1 1,0 16-1,1 86 291,2-73-228,0-34-81,0 0 0,1 0-1,0-1 1,0 1 0,1 0-1,0-1 1,6 15 0,-7-20-25,0 0 0,1-1 0,-1 1 0,1-1 0,0 1 0,0-1 0,0 0 0,0 0 0,0 0 0,0 0 0,1 0 0,-1 0 0,1-1 0,-1 1 0,1-1 0,0 1 0,-1-1 1,1 0-1,0 0 0,0-1 0,0 1 0,0 0 0,0-1 0,0 0 0,0 0 0,3 0 0,-1 1 14,0-1 1,0 0-1,1 0 0,-1-1 0,0 0 1,0 1-1,0-2 0,0 1 0,0-1 1,0 1-1,0-1 0,-1-1 1,1 1-1,-1-1 0,1 1 0,-1-1 1,0-1-1,0 1 0,0-1 0,5-5 1,3-7 161,0 1 0,-1-1 0,-1-1 1,0 0-1,-1-1 0,-1 1 1,-1-2-1,0 1 0,6-33 0,-13 102 178,1-19-332,-1-11 48,-1-12-196,1-1-1,0 1 1,0-1-1,1 1 1,2 10-1,-3-17 22,1-1 0,-1 1 0,1 0 0,0-1-1,-1 1 1,1-1 0,0 1 0,0-1 0,0 1-1,0-1 1,0 0 0,1 1 0,-1-1-1,0 0 1,1 0 0,-1 0 0,0 0 0,1 0-1,-1 0 1,1 0 0,0-1 0,-1 1 0,1 0-1,0-1 1,-1 1 0,1-1 0,0 0-1,-1 0 1,1 0 0,0 1 0,1-2 0,0 2 26,0-1 0,0 0 0,0 0 1,0 0-1,0 0 0,-1-1 1,1 1-1,0-1 0,0 0 0,-1 1 1,1-1-1,0 0 0,-1-1 1,1 1-1,-1 0 0,1-1 1,-1 0-1,0 1 0,1-1 0,-1 0 1,0 0-1,0 0 0,-1 0 1,1-1-1,0 1 0,-1 0 0,1-1 1,-1 1-1,0-1 0,0 0 1,2-3-1,2-9 339,-1-1 1,0 1-1,3-25 1,-5 26 1028,0 0 0,1 1 1,1-1-1,10-25 0,-8 75-1100,-4-24-148,0 0-1,1 0 0,0 0 1,1 0-1,1 0 0,7 15 1,-10-23-49,0-1 0,1 1 0,-1-1-1,1 0 1,-1 0 0,1 0 0,0 0 0,0-1 0,1 1 0,-1-1 0,0 0 0,1 0-1,-1 0 1,1 0 0,0 0 0,0-1 0,0 0 0,-1 0 0,1 0 0,0 0 0,0 0 0,1-1-1,4 0 1,-6 0-3,-1 1 0,1-1-1,0 0 1,0-1 0,-1 1-1,1 0 1,0-1 0,-1 1-1,1-1 1,0 0 0,-1 0-1,1 0 1,-1 0 0,1-1 0,-1 1-1,0-1 1,0 1 0,1-1-1,-1 0 1,0 0 0,0 0-1,-1 0 1,1 0 0,0 0-1,-1 0 1,1-1 0,-1 1-1,0-1 1,0 1 0,0-1-1,0 1 1,0-1 0,0 0-1,0-4 1,2-11 55,0-1 0,-1 1 1,-1-1-1,-3-31 0,1 9 1112,1 57-1031,-1-13-113,1 0 1,0 1-1,-1-1 0,1 0 0,1 0 1,-1 0-1,0 0 0,1 1 0,0-1 1,-1 0-1,1 0 0,0 0 0,1 0 1,-1 0-1,1-1 0,-1 1 0,1 0 1,0-1-1,0 1 0,3 3 0,-1-2-275,1 0-1,0-1 0,0 1 0,0-1 1,1 0-1,-1 0 0,1 0 1,-1-1-1,1 0 0,0 0 0,0-1 1,0 1-1,0-1 0,1-1 1,-1 1-1,0-1 0,9-1 0,-14 1 285,1 0 1,-1-1-1,1 1 0,-1-1 0,1 0 0,-1 1 0,0-1 0,1 0 0,-1 0 0,0 0 0,0 0 0,1 0 1,-1 0-1,0 0 0,0 0 0,0-1 0,0 1 0,-1 0 0,1-1 0,0 1 0,0 0 0,-1-1 1,1 1-1,-1-1 0,1 1 0,-1-1 0,0 1 0,1-3 0,6-54 2473,-5 44-950,-4 33-888,1-1 0,1 0-1,4 33 1,-3-43-690,1-1 0,0 1 0,0-1 1,0 0-1,1 0 0,4 8 0,-5-12 31,0 0 0,0 0 0,0 0 0,0-1 0,0 1 0,1-1 1,-1 1-1,1-1 0,0 0 0,-1 0 0,1 0 0,0 0 0,0-1 0,0 1 0,4 0 0,-6-1-4,1 0 1,0-1-1,0 1 0,0-1 1,-1 0-1,1 1 1,0-1-1,0 0 0,0 0 1,0 0-1,0 0 0,-1-1 1,1 1-1,0 0 0,0-1 1,0 0-1,-1 1 0,1-1 1,0 0-1,0 0 1,-1 0-1,3-1 0,-1-1 23,-1 1 0,0-1-1,1 0 1,-1 0-1,-1 0 1,1 0 0,0 0-1,-1 0 1,1-1 0,-1 1-1,1-5 1,2-8 179,-1 0 1,-1 0 0,-1 0 0,0-19-1,-1-5 1121,0 37-566,0 25-714,0-18-115,0-1 0,1 1 1,0-1-1,-1 1 1,1-1-1,0 1 0,1-1 1,-1 0-1,0 1 1,1-1-1,0 0 0,0 0 1,0 0-1,0 0 1,0-1-1,1 1 0,-1 0 1,1-1-1,0 0 1,3 3-1,-2-2-193,0-1-1,0 0 1,0 0 0,1 0-1,-1 0 1,1 0 0,-1-1 0,1 0-1,-1 0 1,1 0 0,0-1-1,-1 1 1,1-1 0,0 0 0,5-1-1,-7 0 313,-1 0-1,0-1 1,0 1 0,1-1-1,-1 1 1,0-1-1,-1 0 1,1 1-1,0-1 1,0 0 0,-1 0-1,1 0 1,-1-1-1,0 1 1,0 0 0,1 0-1,-1-1 1,-1 1-1,1-1 1,0-2 0,15-56 3047,-15 57-2593,0 135 1114,0-128-1815,0 1 0,0-1-1,0 1 1,0-1 0,0 0 0,1 1-1,-1-1 1,1 0 0,0 0-1,0 0 1,0 0 0,1 0-1,3 3 1,-6-5 127,1 0-1,0-1 0,0 1 1,-1 0-1,1-1 0,0 1 1,0-1-1,0 1 0,0-1 1,0 1-1,0-1 0,0 1 1,0-1-1,0 0 0,0 0 1,0 0-1,0 1 0,0-1 1,0 0-1,0 0 1,0 0-1,0 0 0,0-1 1,0 1-1,0 0 0,0 0 1,0 0-1,0-1 0,0 1 1,0-1-1,-1 1 0,1-1 1,0 1-1,0-1 0,0 1 1,0-1-1,-1 0 0,1 0 1,0 1-1,0-1 1,-1 0-1,1 0 0,-1 0 1,1 1-1,-1-1 0,1 0 1,-1 0-1,1-2 0,8-22 713,-2-1 0,0 0 0,4-34 0,-9 47 2500,-2 19-3206,0 2-497,0 0 1,0 1-1,3 14 1,-3-22 474,0 0-1,0 0 1,1-1 0,-1 1 0,0 0-1,0 0 1,0 0 0,1 0 0,-1-1-1,0 1 1,1 0 0,-1 0 0,1-1-1,-1 1 1,1 0 0,-1-1 0,1 1-1,-1 0 1,1-1 0,0 1 0,-1-1-1,1 1 1,0-1 0,0 1 0,-1-1-1,1 0 1,0 1 0,0-1 0,0 0-1,-1 1 1,1-1 0,0 0 0,0 0-1,0 0 1,0 0 0,0 0 0,-1 0-1,1 0 1,0 0 0,0 0 0,0 0-1,0-1 1,-1 1 0,1 0 0,0-1-1,0 1 1,1-1 0,-1-2 181,0-1 1,0 1 0,0-1-1,0 1 1,-1 0-1,1-1 1,-1 1 0,0-1-1,0 1 1,-1-1-1,0-4 1,1-2 462,0 9-482,0-6 503,0 0 0,-1 1 0,0-1 0,-2-10 0,3 16-509,0 0 0,0 0 0,-1 1-1,1-1 1,0 0 0,0 0 0,-1 1 0,1-1-1,-1 0 1,1 1 0,0-1 0,-1 0 0,1 1 0,-1-1-1,1 1 1,-1-1 0,0 1 0,1-1 0,-1 1-1,0-1 1,1 1 0,-1 0 0,0-1 0,1 1-1,-1 0 1,0-1 0,0 1 0,0 0 0,1 0-1,-1 0 1,0 0 0,0 0 0,1 0 0,-1 0-1,0 0 1,0 0 0,0 0 0,1 0 0,-1 0 0,0 1-1,0-1 1,1 0 0,-1 1 0,0-1 0,1 0-1,-1 1 1,0-1 0,1 1 0,-1-1 0,0 1-1,1-1 1,-2 2 0,0 1-29,-1 0-1,0 0 1,1 0 0,0 1 0,0-1-1,0 0 1,0 1 0,0 0-1,1-1 1,-1 1 0,1 0 0,0 0-1,0 0 1,0 6 0,-4 58 113,5-49-99,-1-11-3,1 0 1,0 0-1,0 0 1,1 0-1,3 12 1,-3-18-50,-1 0 1,1 0-1,0 0 1,0-1 0,0 1-1,0 0 1,0 0-1,0-1 1,0 1-1,1-1 1,-1 1-1,1-1 1,-1 0-1,1 1 1,0-1 0,-1 0-1,1 0 1,0 0-1,0 0 1,0-1-1,-1 1 1,1 0-1,0-1 1,0 1 0,0-1-1,0 0 1,2 1-1,-1-1 11,1 0 0,-1 1 0,0-1 0,0 0 1,0-1-1,0 1 0,0 0 0,0-1 0,0 0 0,0 0 0,0 0 0,0 0 0,0 0 0,0 0 0,-1-1 0,1 0 0,0 1 0,-1-1 0,0 0 1,1 0-1,3-5 0,0-1 262,-1 0 1,0 0 0,-1-1 0,0 0-1,6-18 1,17-79 4089,-27 106-4332,1 0 0,-1 0 0,0 0 0,0 0 0,0 0 0,0 0 0,0-1 0,1 1 0,-1 0 0,0 0 0,0 0 0,0 0 0,0 0 0,1 0 0,-1 0 0,0 0 0,0 0 0,0 1 0,0-1 0,0 0 0,1 0 0,-1 0 0,0 0 0,0 0 0,0 0 0,0 0 0,0 0 0,1 0 0,-1 0 0,0 0 0,0 1 0,0-1 0,0 0 0,0 0 0,0 0 0,0 0 0,0 0 0,0 0 0,1 1 0,-1-1 0,0 0 0,0 0 0,0 0 0,0 0 0,0 1 0,0-1 0,0 0 0,0 0 0,0 0 0,0 0 0,0 0 0,0 1 0,0-1 0,0 0 0,0 0 0,4 11-75,8 42 2,-4-20-1146,17 48 0,-25-80 1188,0-1 1,0 0-1,0 1 1,0-1-1,0 1 0,0-1 1,0 0-1,0 1 1,0-1-1,1 0 1,-1 1-1,0-1 0,0 0 1,0 1-1,1-1 1,-1 0-1,0 1 1,1-1-1,-1 0 1,0 0-1,1 1 0,-1-1 1,0 0-1,1 0 1,-1 1-1,0-1 1,1 0-1,-1 0 0,0 0 1,1 0-1,-1 0 1,1 0-1,-1 0 1,0 0-1,1 0 0,-1 0 1,1 0-1,-1 0 1,0 0-1,1 0 1,-1 0-1,1 0 0,-1 0 1,0 0-1,1 0 1,-1-1-1,0 1 1,1 0-1,-1 0 0,0 0 1,1-1-1,-1 1 1,0 0-1,1-1 1,-1 1-1,0 0 0,0-1 1,1 1-1,-1 0 1,0-1-1,0 1 1,1-1-1,13-26 409,-12 24-506,3-6 285,0-1-1,1 2 1,0-1 0,1 1-1,0 0 1,0 0 0,0 1-1,11-9 1,0 3 738,1 0-1,37-18 1,-56 30-869,1 1 0,0-1 0,-1 1 0,1 0 0,0-1-1,0 1 1,0 0 0,-1 0 0,1-1 0,0 1 0,0 0 0,0 0 0,-1 0 0,1 0-1,0 0 1,0 0 0,0 0 0,0 0 0,-1 1 0,1-1 0,0 0 0,0 0 0,-1 1 0,1-1-1,0 0 1,0 1 0,-1-1 0,1 1 0,0-1 0,-1 1 0,1-1 0,0 1 0,-1-1-1,1 1 1,-1 0 0,1-1 0,-1 1 0,1 0 0,-1 0 0,0-1 0,1 3 0,1 3-79,0 1 0,0 0 1,-1 0-1,1 10 1,3 9 169,-4-23-138,0 1-1,0-1 1,1 0 0,-1 0-1,1 0 1,0 0 0,0 0-1,0 0 1,0-1 0,0 1-1,1 0 1,-1-1 0,1 0-1,0 0 1,-1 0 0,1 0-1,0 0 1,4 1 0,-2-1-83,0 0 1,1-1-1,-1 0 1,0 0 0,0 0-1,1 0 1,-1-1 0,0 0-1,1 0 1,-1-1 0,8-1-1,-9 1 80,-1 0 1,1-1-1,-1 1 0,0-1 0,0 0 1,0 0-1,0 0 0,0 0 0,0-1 1,0 1-1,-1-1 0,1 0 0,-1 1 1,0-1-1,0 0 0,0-1 0,0 1 1,2-5-1,1-2 17,-1 0 0,0-1 0,0 1 1,3-22-1,-4 10 224,-1 0 0,0 0 1,-2 0-1,-1 0 0,-1 1 1,-1-1-1,0 0 0,-2 1 1,0-1-1,-2 1 0,-10-24 1,17 45-205,0 0 0,0-1 0,0 1 1,0 0-1,0 0 0,0 0 1,0 0-1,0-1 0,0 1 0,0 0 1,0 0-1,0 0 0,0 0 1,-1-1-1,1 1 0,0 0 0,0 0 1,0 0-1,0 0 0,0 0 1,0-1-1,0 1 0,0 0 0,0 0 1,-1 0-1,1 0 0,0 0 1,0 0-1,0 0 0,0 0 0,0-1 1,-1 1-1,1 0 0,0 0 1,0 0-1,0 0 0,0 0 0,-1 0 1,1 0-1,0 0 0,0 0 1,0 0-1,0 0 0,-1 0 0,1 0 1,0 0-1,0 0 0,0 0 1,0 0-1,-1 0 0,1 1 0,0-1 1,0 0-1,-4 12-26,1 19-200,1 12 209,2 1 1,2-1-1,2 1 1,1-1-1,14 47 1,-15-73-381,6 20-925,2-19-3434</inkml:trace>
  <inkml:trace contextRef="#ctx0" brushRef="#br0" timeOffset="152.69">1791 296 2609,'0'0'8308,"139"11"-11205,-83-1 576</inkml:trace>
  <inkml:trace contextRef="#ctx0" brushRef="#br0" timeOffset="1290.59">2346 6 4786,'0'0'9938,"-12"8"-9426,8-6-466,-1 1 24,-1 1 1,1-1-1,0 1 0,0 0 0,0 1 0,0-1 1,1 1-1,0 0 0,0 0 0,0 0 1,1 1-1,-1-1 0,1 1 0,-4 11 0,-3 18 251,1 1 0,1 0-1,3 0 1,1 1-1,1 68 1,3-101-314,0 0 0,1 0 0,-1 0 0,1 0 0,0 0 0,1 0 0,-1 0-1,1 0 1,-1-1 0,1 1 0,0 0 0,0-1 0,1 0 0,-1 1 0,1-1 0,0 0 0,-1 0 0,1 0 0,1-1 0,-1 1 0,0-1-1,1 0 1,5 3 0,-3-2-87,0 0 0,0-1 0,1 0 0,-1 0 0,1-1 0,-1 0 0,1 0 0,0 0-1,-1-1 1,1 0 0,0 0 0,-1-1 0,1 0 0,7-2 0,-10 2 47,0-1-1,0 0 1,0 0 0,0 0-1,0-1 1,-1 0 0,1 1-1,-1-1 1,0 0 0,0-1-1,0 1 1,0 0 0,0-1-1,-1 0 1,1 0 0,-1 0-1,0 0 1,0 0 0,-1 0-1,1 0 1,-1 0 0,1-7-1,3-10 91,-1 0 0,-1-1 0,0-24 0,-3 6 1146,0 39-1112,0 20-609,-2 54-1413,3-73 1838,-1 1 0,0 0 0,1-1 1,-1 1-1,1-1 0,-1 1 0,0-1 1,1 1-1,-1-1 0,1 0 0,0 1 0,-1-1 1,1 1-1,-1-1 0,1 0 0,0 0 0,-1 1 1,1-1-1,-1 0 0,1 0 0,0 0 1,-1 1-1,1-1 0,0 0 0,-1 0 0,1 0 1,0 0-1,-1-1 0,1 1 0,0 0 0,-1 0 1,1 0-1,0 0 0,-1-1 0,1 1 1,1-1-1,0 1 8,0 0-1,0-1 1,0 0 0,0 1 0,0-1-1,0 0 1,0 0 0,-1 0 0,1 0 0,0 0-1,0 0 1,1-2 0,0-3 173,-1 1-1,0-1 0,0 0 1,-1 0-1,1 0 1,-1 0-1,-1 0 1,1 0-1,-1 0 1,0-12-1,-1 8 610,1 8-639,0 1-1,0 0 0,-1 0 0,1 0 0,-1 0 1,1 0-1,-1 0 0,1 0 0,-1 0 0,0 0 1,0 0-1,1 0 0,-1 0 0,0 0 0,0 1 1,0-1-1,0 0 0,0 1 0,0-1 0,0 0 0,0 1 1,0-1-1,0 1 0,0 0 0,0-1 0,0 1 1,-1 0-1,1 0 0,0 0 0,-2-1 0,1 1-44,0 0-1,0 0 0,-1-1 0,1 1 0,0 1 1,0-1-1,0 0 0,0 0 0,-1 1 1,1-1-1,0 1 0,0 0 0,0 0 0,0 0 1,0 0-1,0 0 0,-2 2 0,0 2-11,0-1 1,0 2-1,1-1 0,-1 0 0,1 1 0,1-1 0,-1 1 0,1 0 0,0 0 1,0 0-1,1 0 0,-2 7 0,1 11 2,-1 44 1,3-67-4,0 3-23,1 0 0,-1 0 0,1 1 0,-1-1 1,1 0-1,0-1 0,1 1 0,-1 0 0,1 0 1,-1 0-1,1-1 0,0 1 0,1-1 0,-1 0 0,0 1 1,1-1-1,0 0 0,0 0 0,0-1 0,0 1 1,0-1-1,1 1 0,4 2 0,-2-2-21,0-1-1,1 1 0,-1-1 1,1 0-1,0 0 1,-1-1-1,1 0 1,0 0-1,0 0 1,0-1-1,0 0 1,0-1-1,9-1 1,-11 1 34,0-1 0,0 0 0,0 0 0,0-1 0,0 1 0,0-1 1,-1 0-1,0 0 0,1-1 0,-1 1 0,0-1 0,-1 0 0,1 0 1,-1 0-1,1-1 0,-1 1 0,-1-1 0,1 0 0,-1 0 0,3-5 0,1-6 62,0 1 0,-1-1 0,-1 0 0,0-1 0,1-21 0,-1-11 1942,-4-84 0,-4 117-1020,4 15-965,0 1 0,0 0-1,0 0 1,0 0 0,-1 0-1,1 0 1,0 0 0,0 0 0,0 0-1,0 0 1,0-1 0,-1 1-1,1 0 1,0 0 0,0 0 0,0 0-1,0 0 1,-1 0 0,1 0-1,0 0 1,0 0 0,0 0 0,0 0-1,0 0 1,-1 0 0,1 0-1,0 0 1,0 0 0,0 0 0,0 1-1,-1-1 1,1 0 0,0 0-1,0 0 1,0 0 0,0 0 0,0 0-1,0 0 1,-1 0 0,1 0-1,0 1 1,0-1 0,0 0 0,-1 2-16,-1 0 1,1 0-1,0-1 1,0 1-1,0 0 1,1 0-1,-1 1 1,0-1-1,1 0 0,-1 3 1,-3 31-22,0 72 0,5-93 23,0 0-1,1-1 1,1 1 0,0-1-1,0 1 1,2-1 0,10 23-1,-14-34-75,1 1-1,0-1 1,0 1-1,1-1 0,-1 0 1,1 0-1,0 0 1,0-1-1,0 1 1,0 0-1,0-1 0,0 0 1,1 0-1,-1 0 1,1 0-1,-1-1 1,1 1-1,0-1 0,0 0 1,6 1-1,-7-1 31,1-1-1,-1 0 1,0-1-1,1 1 0,-1 0 1,0-1-1,1 0 1,-1 0-1,0 0 1,0 0-1,1 0 0,-1-1 1,0 1-1,0-1 1,-1 0-1,1 0 1,0 0-1,-1 0 0,1-1 1,-1 1-1,1-1 1,-1 1-1,3-6 1,3-4 20,-2-1 1,1 0-1,-2 0 1,1-1 0,-2 1-1,0-1 1,-1 0 0,3-20-1,-3 5 371,-2 0 0,0-1 0,-5-30-1,4 50-86,-1 1-1,-1-1 0,0 0 0,0 0 1,-1 1-1,0 0 0,0-1 1,-8-11-1,11 20-234,0 1 0,0 0 1,0 0-1,0 0 0,0 0 0,0-1 1,0 1-1,0 0 0,0 0 1,-1 0-1,1 0 0,0-1 0,0 1 1,0 0-1,0 0 0,0 0 0,-1 0 1,1 0-1,0 0 0,0 0 1,0 0-1,0 0 0,-1-1 0,1 1 1,0 0-1,0 0 0,0 0 0,0 0 1,-1 0-1,1 0 0,0 0 1,0 0-1,0 0 0,-1 0 0,1 0 1,0 0-1,0 0 0,0 1 0,0-1 1,-1 0-1,1 0 0,0 0 1,0 0-1,-5 10 89,0 14-293,5-24 194,-4 46-36,3 84 0,2-100 71,-1-23-150,1 1 0,0-1 1,0 0-1,1 0 0,0 0 0,0-1 0,0 1 0,1 0 0,0-1 0,1 1 1,6 9-1,-6-11-361,0 0-1,0-1 1,0 1 0,1-1 0,-1 0 0,1 0 0,0-1-1,10 6 1,13 2-4056</inkml:trace>
  <inkml:trace contextRef="#ctx0" brushRef="#br0" timeOffset="1569.77">3339 1 7732,'0'0'10410,"0"17"-9754,-1-8-596,0 56 497,2 1 0,15 99 0,-1-110-250,-4-16-6168</inkml:trace>
  <inkml:trace contextRef="#ctx0" brushRef="#br0" timeOffset="2037.66">3269 251 3778,'0'0'8169,"7"5"-7894,4 0-231,0 1 0,1-1 0,0-1 0,0 0 0,0-1 0,1 0 1,12 1-1,-4-2-1503,0-1 0,-1-1 0,35-4 0,-52 4 1362,-1 0-1,0-1 0,1 1 1,-1-1-1,0 0 1,0 0-1,1 0 1,-1 0-1,0 0 1,0 0-1,0 0 1,0-1-1,2-1 1,-2 1 334,-1 0 0,1-1 1,0 1-1,-1 0 1,1-1-1,-1 1 0,0-1 1,0 0-1,2-4 1,-1-4 1892,0 1 1,-1-1-1,0 0 1,-1-18-1,-1 14 586,-11 65-2854,10-33 154,0-1 0,2 1 0,0 0 0,0 0 0,6 28 0,-5-40-115,0 1 1,0-1 0,1 1-1,0-1 1,0 0 0,0 1-1,1-1 1,-1 0 0,1 0-1,0-1 1,1 1 0,-1-1-1,1 1 1,0-1 0,0 0-1,0-1 1,1 1 0,-1-1-1,1 0 1,8 5 0,-11-7 51,0 0 0,0 0 0,0-1 0,0 1-1,0 0 1,0-1 0,0 0 0,0 1 0,0-1 0,0 0 0,0 0 0,0 0 0,0 0 0,0 0 0,1-1 0,-1 1 0,0-1 0,0 1 0,0-1 0,0 0 0,0 1 0,3-3 0,-3 0 28,0 1 1,1 0-1,-2 0 1,1-1 0,0 0-1,0 1 1,-1-1-1,1 0 1,-1 0 0,0 1-1,0-1 1,0 0-1,1-6 1,0-5 8,0 0 0,-1 0 0,-1-1-1,0 1 1,-4-24 0,3 34-61,0-1-1,0 1 1,0 0-1,-1 0 1,1 0-1,-1 0 1,0 0 0,0 0-1,-1 1 1,1-1-1,-1 1 1,0-1 0,0 1-1,-6-5 1,6 5-293,-1 0 0,0 1 0,1 0 0,-1 0 0,0 0 0,0 0 0,-1 0 0,1 1 0,-5-1 0,-24-2-5234</inkml:trace>
  <inkml:trace contextRef="#ctx0" brushRef="#br0" timeOffset="4652.72">167 1308 4386,'0'0'7753,"-1"-3"-7268,1 3-481,0 0 0,-1 1 0,1-1 0,0 0 0,0 0 0,-1 0-1,1 0 1,0 0 0,0 0 0,0 1 0,-1-1 0,1 0 0,0 0-1,0 0 1,0 0 0,0 1 0,-1-1 0,1 0 0,0 0-1,0 0 1,0 1 0,0-1 0,0 0 0,0 0 0,0 1 0,0-1-1,0 0 1,0 0 0,0 1 0,0-1 0,0 0 0,0 0 0,0 1-1,0-1 1,0 0 0,0 0 0,0 0 0,0 1 0,0-1-1,0 0 1,0 0 0,0 1 0,1-1 0,-1 1-13,0 0 1,0-1-1,0 1 0,0 0 0,1-1 1,-1 1-1,0 0 0,1-1 1,-1 1-1,0-1 0,1 1 1,-1 0-1,1-1 0,-1 1 1,1-1-1,-1 1 0,1-1 1,-1 0-1,1 1 0,-1-1 1,1 1-1,0-1 0,-1 0 1,1 1-1,0-1 0,-1 0 1,1 0-1,0 0 0,-1 0 1,1 1-1,0-1 0,-1 0 1,2 0-1,1 0-33,1 0 1,-1 0-1,0 0 0,0 0 1,0-1-1,0 1 0,0-1 1,0 1-1,0-1 0,0 0 0,0 0 1,-1-1-1,1 1 0,0 0 1,-1-1-1,1 0 0,-1 0 1,1 0-1,-1 0 0,2-2 1,2-4 34,0 0-1,-1 0 1,-1 0 0,1 0 0,3-13 0,1 0 123,-2 0-1,0-1 0,-1 0 0,4-38 1,-5-43 3192,-10 105-3012,2 1-300,1-1 0,0 1 0,0 0 0,0 0 0,0 0 0,0 0 0,0 0 0,1 0 0,0 0 0,-1 1 0,1-1 0,0 0 0,1 1 0,-1-1 0,0 5 0,-1 61-19,2-50 30,1-14-9,-1 1 0,1-1 1,0 0-1,0 0 0,0 0 1,1 0-1,-1 0 0,1 0 1,1 0-1,-1-1 0,1 1 0,-1-1 1,1 0-1,0 1 0,1-1 1,-1 0-1,1-1 0,0 1 0,0-1 1,0 0-1,0 0 0,1 0 1,-1 0-1,1-1 0,0 0 1,-1 0-1,1 0 0,0 0 0,0-1 1,0 0-1,1 0 0,-1 0 1,0-1-1,0 1 0,8-2 0,-9 2-25,1-1 0,0 0-1,0-1 1,0 1-1,-1-1 1,1 0 0,0 0-1,-1-1 1,8-3-1,-9 3 29,0 0 0,0 0-1,0-1 1,0 1 0,-1-1 0,1 0-1,-1 0 1,0 0 0,0 0-1,0 0 1,0 0 0,0-1 0,1-3-1,7-26 1091,0-1-1,4-36 0,-15 77-1121,-3 22 31,0 0-1,1 37 1,4-64-45,-1 1-1,0-1 1,1 1-1,-1-1 0,1 1 1,0-1-1,0 1 1,0-1-1,0 0 1,0 1-1,0-1 1,1 0-1,-1 0 0,1 0 1,-1 0-1,1 0 1,0 0-1,0-1 1,0 1-1,0 0 1,0-1-1,0 0 0,0 1 1,1-1-1,3 2 1,-1-2-107,1 1 0,0 0 0,-1-1 0,1 0 1,0 0-1,0-1 0,0 0 0,0 0 0,-1 0 0,9-2 1,-12 1 146,1 0 0,-1 0 0,0 0 0,1 0 0,-1-1 0,0 1 0,0-1 0,0 0 1,0 0-1,0 1 0,0-1 0,0 0 0,-1-1 0,1 1 0,-1 0 0,1 0 1,-1-1-1,0 1 0,0-1 0,0 1 0,0-1 0,-1 1 0,2-5 0,1-5 111,-1-1 0,0 0 0,1-18 0,-3-23 1813,-2 41-221,-1 37-1462,1-9-225,1 0-1,1 0 1,0 0 0,2 1 0,4 26-1,-5-39-66,0 0 0,0 1 0,0-1 0,1 0 0,-1 0 0,1 0 0,0 0 0,0 0 0,0 0 0,0 0 0,0-1 0,0 1 0,1-1 0,0 1 0,-1-1 0,1 0 0,0 0 0,0 0-1,0-1 1,0 1 0,0-1 0,1 1 0,-1-1 0,0 0 0,1 0 0,-1-1 0,1 1 0,-1-1 0,1 0 0,6 0 0,-7 0 57,-1-1 0,1 1 0,-1-1 0,1 0 0,-1 0 0,1 0 0,-1 0 0,1-1 0,-1 1 0,0 0 0,0-1 0,0 0 0,0 1 0,0-1 0,0 0 0,0 0 0,0 0 1,-1-1-1,1 1 0,-1 0 0,0 0 0,0-1 0,1 1 0,-1-4 0,6-9 53,-2 0-1,7-27 1,-11 36-38,5-28 80,-5 26 52,0 0 0,0-1 1,1 1-1,0 0 0,1 0 0,-1 0 0,2 0 0,-1 0 1,1 1-1,8-13 0,-12 20-146,1 0 1,-1-1-1,1 1 1,-1 0-1,1-1 1,-1 1-1,1 0 1,-1 0-1,1-1 1,0 1-1,-1 0 0,1 0 1,-1 0-1,1 0 1,-1 0-1,1 0 1,0 0-1,-1 0 1,1 0-1,-1 0 1,1 0-1,-1 0 1,1 1-1,0-1 1,-1 0-1,1 0 0,-1 1 1,1-1-1,-1 0 1,1 0-1,-1 1 1,1-1-1,-1 1 1,0-1-1,1 0 1,-1 1-1,0-1 1,1 1-1,-1-1 0,0 1 1,1-1-1,-1 2 1,13 21-112,-13-22 117,8 15-108,-5-9-85,0 0-1,0 0 1,0 0-1,-1 1 0,0-1 1,0 1-1,0 9 1,-2-44 211,0 25-23,0 1-1,0-1 1,-1 0-1,1 0 1,-1 0-1,1 0 1,-1 0-1,0 0 1,0 1-1,1-1 1,-1 0-1,-1 0 1,1 1 0,0-1-1,0 1 1,-1-1-1,1 1 1,0 0-1,-1-1 1,0 1-1,1 0 1,-1 0-1,0 0 1,1 0-1,-1 0 1,0 1-1,0-1 1,0 1-1,0-1 1,0 1-1,-2-1 1,1 1-5,1-1-1,-1 1 1,1 0-1,-1 0 1,1 0 0,-1 0-1,1 0 1,-1 1-1,1-1 1,-1 1 0,1 0-1,0-1 1,-1 1 0,1 0-1,0 0 1,0 1-1,0-1 1,0 0 0,0 1-1,0-1 1,0 1-1,0 0 1,0 0 0,1-1-1,-3 4 1,0 3-11,1 0-1,-1 0 1,1 1 0,1-1-1,0 1 1,0 0-1,0 0 1,1 0 0,1 0-1,-1 0 1,3 16 0,-2-22-60,1-1-1,0 0 1,0 1 0,0-1 0,0 0 0,0 0 0,1 0-1,-1 0 1,1 0 0,-1 0 0,1 0 0,0 0-1,0-1 1,-1 1 0,1-1 0,0 1 0,1-1 0,-1 0-1,0 0 1,0 0 0,0 0 0,1 0 0,-1 0-1,0 0 1,1-1 0,-1 0 0,5 1 0,-3 0-22,-1-1-1,1 1 1,-1-1 0,1 0 0,0 0 0,-1 0-1,1 0 1,-1-1 0,1 1 0,-1-1 0,0 0-1,1 0 1,-1 0 0,0-1 0,1 1 0,-1-1-1,0 0 1,5-4 0,-4 2 107,-1 0 1,0-1-1,-1 1 0,1-1 1,-1 1-1,0-1 0,0 0 1,0 0-1,-1 0 0,2-10 1,1-54 3381,-5 52-1279,1 16-1413,0 3-409,1 14-328,1 0-1,0 0 1,0 0-1,2 0 1,0 0-1,12 27 1,50 89 98,-48-100-143,-1 0 0,-2 1 1,18 55-1,-29-70-402,0 1-1,-1-1 1,0 1-1,-2 0 1,0 0-1,-4 29 1,3-47 429,0 1 1,-1 0 0,1-1 0,-1 1 0,1-1 0,-1 1-1,0-1 1,1 0 0,-1 1 0,0-1 0,0 0 0,0 1-1,0-1 1,0 0 0,-1 0 0,1 0 0,0 0 0,0 0-1,-1 0 1,1 0 0,-1 0 0,1-1 0,-1 1-1,1 0 1,-1-1 0,1 1 0,-1-1 0,1 0 0,-1 0-1,0 1 1,1-1 0,-1 0 0,1 0 0,-1 0 0,0-1-1,1 1 1,-4-1 0,2 1 38,-1-1-1,0 0 1,0 0-1,1 0 1,-1 0-1,1-1 1,-1 1-1,1-1 1,0 0-1,-1 0 1,1 0-1,0-1 1,0 1-1,1-1 1,-5-4-1,2-1 96,1-1 0,-1 0 0,2 0 0,-1-1 1,1 1-1,1-1 0,0 0 0,0 0 0,1 0 0,0 0 0,1 1 0,0-1 0,3-19 0,0 10 47,0 0-1,2 1 1,0 0-1,1-1 1,1 2-1,11-23 1,26-34 189,12-27 14,-50 87-302,0 1 1,-2-1-1,1 0 0,-2 0 1,0 0-1,1-16 1,-2-64 63,-2 93-93,0 1-1,0-1 1,0 0 0,-1 0 0,1 0-1,0 0 1,-1 0 0,1 1-1,-1-1 1,1 0 0,-1 0 0,1 1-1,-1-1 1,0 0 0,1 1-1,-1-1 1,0 1 0,0-1 0,1 1-1,-1-1 1,0 1 0,0 0-1,0-1 1,1 1 0,-2-1 0,1 1-1,1 0 0,-1 0 0,0-1 1,1 1-1,-1 0 0,1 0 0,-1 0 0,0 0 1,1 0-1,-1 0 0,0 0 0,1 0 0,-1 0 1,0 0-1,1 0 0,-1 0 0,1 0 1,-1 1-1,0-1 0,1 0 0,-1 0 0,1 1 1,-1-1-1,1 0 0,-1 1 0,1-1 1,-1 1-1,1-1 0,-1 1 0,1-1 0,-1 0 1,1 1-1,0 0 0,-1 0 0,-1 7 18,0 0 1,1-1-1,0 1 0,0 0 0,1 0 0,0 0 0,0 0 0,1 0 0,0-1 0,0 1 1,1 0-1,0-1 0,1 1 0,2 7 0,-1-6-23,0-1 1,0 1-1,1 0 1,0-1-1,0 0 0,1-1 1,0 1-1,0-1 1,1 0-1,0 0 0,10 7 1,-16-13-44,1 0 0,-1 0 0,0 0 0,1 0 0,-1 0 0,0-1 0,1 1 1,-1-1-1,1 1 0,-1-1 0,1 1 0,-1-1 0,1 0 0,0 1 0,-1-1 0,1 0 1,-1 0-1,1 0 0,-1-1 0,1 1 0,0 0 0,-1-1 0,1 1 0,-1 0 0,1-1 0,-1 0 1,0 1-1,1-1 0,-1 0 0,1 0 0,-1 0 0,0 0 0,0 0 0,0 0 0,0 0 1,1 0-1,-1 0 0,-1-1 0,2-1 0,3-5 117,0-1 0,-1 0 1,0 0-1,-1 0 0,3-12 0,0 2-154,-2 8 395,0 0-1,0 0 1,1 1-1,1-1 1,-1 1-1,2 0 1,-1 1 0,13-13-1,-19 47 20,-1-1-355,0-10 50,1-1-1,0 0 0,1 1 0,4 20 0,-5-32-26,1 1-1,-1-1 0,1 0 1,0 1-1,0-1 1,0 0-1,0 0 0,0 0 1,0 0-1,1 0 0,-1 0 1,1 0-1,-1 0 1,1-1-1,0 1 0,0 0 1,0-1-1,0 0 0,0 1 1,0-1-1,0 0 1,0 0-1,0 0 0,0 0 1,1-1-1,-1 1 0,0 0 1,1-1-1,-1 0 1,1 1-1,2-1 0,-1 0-30,-1 0 0,0 0 0,0 0 0,0-1 0,0 1 0,0-1 0,1 0 0,-1 0 0,0 0 0,0 0 0,-1 0 0,1 0 0,0-1 0,0 0 0,3-3 0,-3 2-46,0 0 0,0-1 0,-1 0 0,1 0 0,-1 1 0,0-1 0,0-1 0,0 1 0,-1 0 0,2-8 0,1-6-32,-2 0 1,0 0-1,0 0 0,-3-25 1,1 14 80,-1 23 125,1-1 0,-1 0 0,-1 1 0,1-1 0,-1 1 0,0 0 0,-3-7 0,4 11-71,1 0 0,-1 1 0,0-1 0,1 1 0,-1-1 0,0 1 0,0-1 0,0 1-1,0 0 1,0-1 0,-1 1 0,1 0 0,0 0 0,0 0 0,-1 0 0,1 0 0,-1 0-1,1 0 1,-1 0 0,1 1 0,-1-1 0,0 0 0,1 1 0,-1 0 0,0-1 0,1 1 0,-1 0-1,0 0 1,1 0 0,-1 0 0,0 0 0,0 0 0,-2 1 0,3 0-23,0-1 1,0 1-1,1-1 0,-1 1 1,0 0-1,1 0 1,-1-1-1,1 1 1,-1 0-1,1 0 1,-1 0-1,1 0 0,0-1 1,-1 1-1,1 0 1,0 0-1,0 0 1,0 0-1,-1 0 0,1 0 1,0 1-1,0 27 49,0-22-11,0 7 26,0 0 0,1 0 0,5 26 1,-4-34-47,0 1 1,1-1-1,-1 0 1,1 0-1,0-1 1,1 1-1,-1-1 1,1 1-1,0-1 1,8 8-1,-7-8-666,1 1 0,-1-1 0,1 0 0,0 0 1,1-1-1,-1 1 0,1-1 0,0-1 0,0 1 0,0-1 0,10 2 0</inkml:trace>
  <inkml:trace contextRef="#ctx0" brushRef="#br0" timeOffset="4824.19">1497 1049 960,'0'0'14215,"111"-10"-13591,-66 12-400,2 7-144,-3 1-80,-14-3-976,-19-5-2690</inkml:trace>
  <inkml:trace contextRef="#ctx0" brushRef="#br0" timeOffset="5711.65">2220 911 6307,'0'0'10813,"2"15"-9757,18 113 529,-17-109-1471,-1-3-45,1 0 1,0 0-1,1-1 1,10 25 0,-14-40-62,0 0 1,0 0 0,0 0-1,0 0 1,1 1 0,-1-1 0,0 0-1,0 0 1,0 0 0,1 0-1,-1 0 1,0 0 0,0 0 0,0 0-1,1 0 1,-1 0 0,0 0-1,0 0 1,0 0 0,1 0 0,-1 0-1,0 0 1,0 0 0,0 0-1,1 0 1,-1 0 0,0 0 0,0 0-1,0-1 1,0 1 0,1 0-1,-1 0 1,0 0 0,0 0 0,0 0-1,0 0 1,1-1 0,-1 1-1,0 0 1,0 0 0,0 0 0,0-1-1,0 1 1,0 0 0,0 0-1,0 0 1,0 0 0,0-1 0,1 1-1,-1 0 1,0 0 0,0 0-1,0-1 1,0 1 0,0 0 0,-1-1-1,7-11 64,-3-5-28,0-1 1,2-20 0,-4 23 31,0 0 0,2 0-1,7-25 1,-10 39-72,0 0-1,1 0 1,-1 1-1,1-1 1,-1 0-1,0 1 1,1-1-1,-1 0 1,1 1-1,0-1 0,-1 1 1,1-1-1,-1 1 1,1-1-1,0 1 1,-1 0-1,1-1 1,0 1-1,0 0 1,-1-1-1,1 1 0,0 0 1,0 0-1,-1 0 1,1 0-1,0-1 1,0 1-1,0 0 1,-1 0-1,1 1 1,0-1-1,0 0 1,-1 0-1,1 0 0,0 0 1,0 1-1,-1-1 1,1 0-1,0 1 1,0-1-1,-1 1 1,2 0-1,2 1 3,-1 0 0,1 1 0,-1-1-1,1 1 1,-1 0 0,4 5 0,0 2-198,0 1 1,-1-1-1,0 2 1,-1-1-1,0 1 1,-1-1-1,0 1 1,4 23-1,-3-12-24,-5-23 203,0 0-1,0 0 1,0 0 0,1 1-1,-1-1 1,0 0 0,0 0-1,0 0 1,0 0-1,0 1 1,0-1 0,0 0-1,0 0 1,1 0 0,-1 0-1,0 0 1,0 0-1,0 1 1,0-1 0,0 0-1,1 0 1,-1 0 0,0 0-1,0 0 1,0 0-1,0 0 1,1 0 0,-1 0-1,0 0 1,0 0 0,0 0-1,0 0 1,1 0-1,-1 0 1,0 0 0,0 0-1,0 0 1,1 0-1,-1 0 1,0 0 0,0 0-1,0 0 1,0 0 0,1 0-1,-1 0 1,0 0-1,0-1 1,0 1 0,0 0-1,0 0 1,1 0 0,-1 0-1,0 0 1,0-1-1,0 1 1,0 0 0,0 0-1,0 0 1,0 0 0,0-1-1,8-9 131,16-64 95,-21 59-155,1 1 1,0 1-1,1-1 0,1 1 0,0-1 0,0 2 1,13-18-1,-18 29-60,-1 0 1,1 0-1,-1 0 0,1 1 1,0-1-1,-1 0 1,1 1-1,0-1 0,0 0 1,-1 1-1,1-1 1,0 1-1,0-1 0,0 1 1,0 0-1,0-1 1,-1 1-1,1 0 0,0 0 1,0 0-1,0-1 1,0 1-1,0 0 0,0 0 1,0 0-1,0 1 0,1-1 1,0 1-11,0 0 0,-1 0 0,1 0 0,-1 0 0,1 0 0,-1 0 0,1 0 0,-1 1 0,0-1 0,0 0 0,0 1 0,0 0 0,1 1 0,4 7-104,-1 0 0,0 1 0,4 15 0,-9-25 96,7 25-803,8 25-1915,-14-49 2276,0 0 1,0 0-1,0 0 1,0 0-1,0 0 0,0 0 1,1-1-1,-1 1 1,0 0-1,1-1 1,0 0-1,-1 1 1,1-1-1,0 0 0,0 1 1,0-1-1,-1 0 1,1 0-1,4 1 1,7-2-4437</inkml:trace>
  <inkml:trace contextRef="#ctx0" brushRef="#br0" timeOffset="6710.82">2688 975 2769,'0'0'11256,"-5"-5"-10976,4 4-271,1 0 0,-1 0 0,0 0-1,0 0 1,0 0 0,-1 0 0,1 0 0,0 0-1,0 0 1,0 0 0,-1 1 0,1-1 0,0 1-1,-1-1 1,1 1 0,0-1 0,-3 1 0,2 0 9,1 1 0,-1 0 1,1 0-1,-1 0 0,1-1 1,0 2-1,-1-1 1,1 0-1,0 0 0,0 0 1,0 1-1,0-1 0,0 0 1,0 1-1,0-1 1,0 1-1,0-1 0,1 1 1,-1-1-1,0 3 0,-4 6 30,1 0 0,1 0-1,-1 0 1,2 1 0,-1-1-1,1 1 1,1 0-1,0-1 1,0 1 0,1 0-1,1 0 1,3 18-1,-3-27-51,0 0-1,0 0 0,1 0 1,-1 0-1,1 0 0,0-1 0,-1 1 1,1-1-1,0 1 0,0-1 0,0 1 1,0-1-1,0 0 0,0 0 1,1 0-1,-1 0 0,0 0 0,0-1 1,1 1-1,-1-1 0,0 1 0,1-1 1,-1 0-1,5 0 0,-3 0 9,1 0 1,-1 0-1,1 0 0,-1 0 0,0-1 0,1 0 0,-1 0 1,0 0-1,1 0 0,-1-1 0,0 0 0,7-3 0,-7 1 3,-1 1 1,1-1-1,-1 0 0,0 0 0,0 0 0,0-1 0,0 1 0,-1-1 0,0 1 0,1-1 0,-2 0 1,1 0-1,-1 0 0,2-6 0,-1-8 1168,0 1 0,-1-30 0,-1 46-607,0 5-790,0 5 211,1 1-1,-1-1 0,1 0 1,1 1-1,-1-1 1,2 0-1,4 13 1,-6-18-52,0 0 0,1 0 0,0 0 1,0 0-1,0-1 0,0 1 1,0-1-1,0 1 0,1-1 0,-1 0 1,1 1-1,-1-1 0,1-1 0,0 1 1,0 0-1,0-1 0,0 1 1,0-1-1,0 0 0,1 0 0,-1 0 1,0-1-1,5 1 0,-5 0 18,1-1 1,-1 1-1,1-1 0,-1 0 0,0 0 0,1-1 1,-1 1-1,1-1 0,-1 1 0,1-1 0,-1 0 1,0 0-1,0-1 0,1 1 0,-1-1 0,0 1 1,5-5-1,-5 3 68,0-1 0,-1 1 0,0-1 0,0 1 1,0-1-1,0 0 0,0 0 0,-1 1 0,1-1 0,-1 0 1,0-1-1,-1 1 0,1 0 0,0-8 0,1-105 4694,8 137-4853,30 31 196,-32-43-93,-1 0 0,0 0-1,0 1 1,-1 0-1,0 1 1,0-1 0,-1 1-1,5 13 1,-10-22-34,0 0 0,0 0 0,0 0 0,0 0 0,0 0 1,0 0-1,0 0 0,0 0 0,0-1 0,0 1 0,-1 0 0,1 0 0,0 0 0,-1 0 1,1 0-1,0 0 0,-1-1 0,1 1 0,-1 0 0,1 0 0,-1-1 0,0 1 0,1 0 1,-1-1-1,0 1 0,0 0 0,1-1 0,-1 1 0,0-1 0,0 0 0,0 1 0,1-1 1,-1 1-1,0-1 0,0 0 0,0 0 0,0 0 0,0 1 0,0-1 0,0 0 0,0 0 1,0 0-1,-54-1-476,37 0 246,0-3 149,15 2-120,10 1 169,18 3 206,-7 0-261,0 0 1,0-1-1,0-2 0,1 0 1,26-4-1,-40 3 129,0 1-1,-1 0 0,1-1 0,-1 0 1,0 0-1,1-1 0,-1 1 0,0-1 1,0 0-1,-1 0 0,1 0 0,-1 0 0,1-1 1,-1 1-1,0-1 0,0 0 0,-1 0 1,1 0-1,-1 0 0,0-1 0,0 1 0,0 0 1,0-1-1,-1 0 0,0 1 0,1-7 1,2-20 424,-2 1 1,-1-1 0,-3-34 0,1 48-116,-1 0 140,0 0-1,-1 1 0,-1-1 1,-1 1-1,-6-17 1,2 7 840,10 33-1218,-1 0 0,1 0 0,-1-1 0,0 1 0,-2 10 0,1 9-64,2-6 96,1-1 0,0 0-1,2 1 1,0-1-1,2-1 1,9 26 0,20 33-1109,4-7-4973</inkml:trace>
  <inkml:trace contextRef="#ctx0" brushRef="#br0" timeOffset="6849.48">3124 877 3249,'0'0'8180,"104"-11"-8068,-51 20-112,18 3-2833</inkml:trace>
  <inkml:trace contextRef="#ctx0" brushRef="#br0" timeOffset="8187.18">1789 1645 1601,'0'0'13609,"-3"-16"-12315,-7-50-233,4 48 329,-2 16-1072,-4 14-505,11-11 262,-6 10-75,0 0 0,1 1 0,0 0 0,1 0 0,1 0 0,0 1 0,-4 19 0,3-4-1,2 0 0,0 43 0,3-67-1,0 1 1,0-1-1,1 1 0,-1-1 0,1 0 0,0 0 1,0 1-1,1-1 0,-1 0 0,1 0 0,0 0 1,0 0-1,0 0 0,1-1 0,-1 1 0,1-1 1,3 4-1,-2-4-32,1 1 0,-1-1 1,1 0-1,0 0 0,0-1 1,0 1-1,0-1 0,0 0 0,0-1 1,0 1-1,1-1 0,-1 0 1,8 0-1,-2 1-134,-1-2 0,1 1 1,0-1-1,0-1 0,-1 0 1,1 0-1,0-1 0,11-3 1,-17 2 151,0 1 1,0 0-1,0-1 1,0 0-1,-1 0 1,1-1-1,-1 1 1,0-1 0,0 0-1,0 0 1,0 0-1,-1-1 1,1 1-1,-1-1 1,0 0-1,-1 0 1,4-7-1,-1-3 52,1 0-1,-2 0 0,0-1 0,-1 0 0,1-17 0,1-81 2497,-5 119-2553,0 1 0,1 0 0,0 0 0,0 0 0,1-1 0,0 1-1,0-1 1,0 1 0,0-1 0,1 0 0,0 1 0,6 7 0,-6-9-52,-1-1 1,1 0-1,0 0 1,0 0-1,0-1 0,0 1 1,1-1-1,-1 0 1,1 0-1,0 0 0,-1 0 1,1 0-1,0-1 1,0 0-1,0 1 0,0-2 1,0 1-1,0 0 0,5-1 1,-8 0 76,0 0-1,0-1 1,0 1 0,0 0-1,0-1 1,0 1 0,0-1-1,0 0 1,0 1 0,0-1 0,0 0-1,0 0 1,0 1 0,0-1-1,-1 0 1,1 0 0,0 0-1,-1 0 1,1 0 0,0 0 0,-1 0-1,1 0 1,-1 0 0,0 0-1,1 0 1,-1-1 0,0 1-1,0 0 1,1-2 0,2-37 260,-3 39-260,1-17 139,0 13-23,-1 0 0,1 0-1,-1 0 1,0 0-1,0 0 1,-1 0 0,1 1-1,-1-1 1,0 0-1,-3-9 1,3 14-116,0-1 0,1 1 0,-1-1 1,1 1-1,-1-1 0,0 1 0,1-1 0,-1 1 0,0-1 1,1 1-1,-1 0 0,0 0 0,0-1 0,1 1 0,-1 0 0,0 0 1,0 0-1,0 0 0,1 0 0,-1 0 0,0 0 0,0 0 1,0 0-1,1 0 0,-1 0 0,0 0 0,0 1 0,1-1 0,-1 0 1,0 1-1,0-1 0,1 0 0,-1 1 0,0-1 0,1 1 1,-1-1-1,1 1 0,-1-1 0,1 1 0,-1 0 0,1-1 0,-1 1 1,1 0-1,-1-1 0,1 1 0,0 0 0,-1 1 0,-18 35-96,15-18 90,0 1-1,1-1 1,1 1 0,1 0 0,2 33-1,-1-49-1,0 1 0,1-1 0,0 1 0,-1-1 0,1 0 0,1 1 0,-1-1 0,0 0 0,1 0 0,0 0 0,0 0 0,1 0 0,-1 0 0,1-1 0,-1 1 0,1-1 0,0 0 0,6 5 0,-5-4-12,1-2 1,0 1-1,-1 0 0,1-1 0,0 0 1,0 0-1,0-1 0,0 1 0,1-1 1,-1 0-1,0-1 0,1 1 0,-1-1 1,0 0-1,8-1 0,-9 0 25,-1 0 0,1 0 0,-1-1 0,1 1 0,-1-1 0,0 0 0,1 0 0,-1 0 0,0 0 0,0-1 0,-1 1 0,1-1 0,0 1 0,-1-1 0,1 0 0,-1 0 0,0-1 0,0 1 0,0 0 0,-1-1 0,1 1 0,1-7 0,4-9 67,-1-1 0,7-35 0,-7 7 606,-2 1-1,-2-66 1,-2 80 170,-2 88-1125,0-17 283,4 44 0,-1-72-62,0 0 1,1 0-1,0 0 0,1 0 0,0 0 1,0 0-1,1-1 0,0 0 0,7 12 0,-9-18-14,1-1-1,-1 1 0,0 0 1,1-1-1,0 0 0,0 1 1,-1-1-1,1 0 0,0 0 1,1-1-1,-1 1 0,0-1 0,0 1 1,1-1-1,-1 0 0,5 0 1,-5 0 51,-1-1 0,1 1 0,0-1 0,-1 0 0,1 0 1,0-1-1,-1 1 0,1 0 0,-1-1 0,1 0 0,0 1 0,-1-1 1,1 0-1,-1 0 0,0 0 0,1-1 0,-1 1 0,0-1 1,0 1-1,0-1 0,0 0 0,3-2 0,3-7 9,0-1-1,-1 0 0,0 0 1,-1 0-1,0-1 1,-1 0-1,-1 0 0,0-1 1,0 1-1,-1-1 1,0-15-1,1-21 423,-4-85 1,0 130-368,-2-20 465,1 17-43,0 17-77,1 65-714,3 0 0,3 0 0,28 130 0,-28-159-5344,-6-30-910</inkml:trace>
  <inkml:trace contextRef="#ctx0" brushRef="#br0" timeOffset="8500.4">1678 2102 8708,'0'0'13003,"16"0"-12106,-1 0-789,194-4 1134,383-66-570,-585 69-664,18-3-229,-1-1 1,0-1 0,0-1 0,-1-1-1,0-2 1,24-12 0,-25 1-1226,-22 21 1256,1-1 1,-1 1 0,0-1 0,1 0-1,-1 1 1,1-1 0,-1 0-1,0 1 1,0-1 0,1 0 0,-1 1-1,0-1 1,0 0 0,0 0 0,0 1-1,0-1 1,0 0 0,0 1-1,0-1 1,0 0 0,0 0 0,0 1-1,-1-1 1,1 0 0,0 1-1,0-1 1,-1 0 0,1 1 0,0-1-1,-1 0 1,1 1 0,-1-1 0,1 1-1,-1-1 1,1 1 0,-1-1-1,1 1 1,-2-1 0,-27-10-8012</inkml:trace>
  <inkml:trace contextRef="#ctx0" brushRef="#br0" timeOffset="8736.34">1841 2076 7283,'0'0'10725,"113"0"-8708,-39 0-528,8-4-353,9-5-703,3-3-33,0-1-192,-4 0-208,0 0 0,-9 3-416,-15 3-1841,-11-3-3426</inkml:trace>
</inkml:ink>
</file>

<file path=xl/ink/ink7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30:13.731"/>
    </inkml:context>
    <inkml:brush xml:id="br0">
      <inkml:brushProperty name="width" value="0.05" units="cm"/>
      <inkml:brushProperty name="height" value="0.05" units="cm"/>
      <inkml:brushProperty name="color" value="#F6630D"/>
    </inkml:brush>
  </inkml:definitions>
  <inkml:trace contextRef="#ctx0" brushRef="#br0">151 648 1745,'0'0'15471,"-4"-7"-14844,-15-22-275,14 22-176,8-22-2390,4-1 2205,-2 0-1,-1 0 1,-2-1 0,0 1 0,-2-1 0,-2 0 0,-1 1-1,-1 0 1,-1-1 0,-2 2 0,-1-1 0,-2 1 0,0 0-1,-2 1 1,-26-45 0,33 63 297,-10-18 512,14 27-709,1 0 0,-1 0 0,0 0 0,0 0 0,1 0 0,-1 0 0,0 0 0,0 0 0,0 0 0,0 1 0,0-1 0,0 0 0,0 0 0,0 1 0,0-1 0,0 1 1,-3-1-1,4 1-84,-1 1 1,1-1 0,-1 0 0,1 1-1,-1 0 1,1-1 0,-1 1-1,1-1 1,-1 1 0,1 0 0,0-1-1,-1 1 1,1 0 0,0-1 0,0 1-1,-1 0 1,1-1 0,0 1 0,0 0-1,0 0 1,0-1 0,0 1 0,0 0-1,0 1 1,0 26 60,0-23-25,0 14 94,0 0 1,2 0-1,0-1 1,1 1 0,1-1-1,8 23 1,127 365 534,-139-406-667,0 0-1,0 0 1,0 0-1,0 0 1,0-1-1,0 1 1,0 0-1,0 0 1,0 0 0,0 0-1,0 0 1,0 0-1,0-1 1,0 1-1,0 0 1,0 0-1,0 0 1,0 0-1,0 0 1,0 0-1,1 0 1,-1-1 0,0 1-1,0 0 1,0 0-1,0 0 1,0 0-1,0 0 1,0 0-1,0 0 1,1 0-1,-1 0 1,0 0-1,0 0 1,0 0 0,0 0-1,0 0 1,0 0-1,1 0 1,-1 0-1,0 0 1,0 0-1,0 0 1,0 0-1,0 0 1,0 0-1,1 0 1,-1 0 0,0 0-1,0 0 1,0 0-1,0 0 1,0 0-1,0 0 1,0 0-1,1 0 1,-1 0-1,0 1 1,0-1-1,0 0 1,0 0 0,0 0-1,0 0 1,0 0-1,0 0 1,0 1-1,4-34 8,-2 1-1,-4-58 1,0 21 55,2 59-59,0 6-8,0-1-1,0 0 1,0 1-1,1-1 1,-1 1-1,1-1 1,2-5-1,-2 9-3,-1-1-1,1 1 0,0 0 0,0 0 1,0-1-1,0 1 0,0 0 1,0 0-1,1 0 0,-1 0 1,0 0-1,0 0 0,1 1 1,-1-1-1,1 0 0,-1 1 0,0-1 1,1 1-1,-1-1 0,1 1 1,0-1-1,-1 1 0,1 0 1,-1 0-1,4 0 0,0 0-7,0 0 1,0 0-1,0 1 0,0-1 0,0 1 0,-1 0 1,1 1-1,0-1 0,0 1 0,-1 0 0,1 0 1,-1 0-1,1 1 0,-1 0 0,5 4 0,-3-2 4,0 1-1,-1 0 1,0 0-1,0 1 0,0-1 1,-1 1-1,0 0 0,6 14 1,-3-1-1,-1 0-1,-1 0 1,-1 1 0,0-1 0,-2 1 0,1 32-1,-3-50 10,0 1-1,0-1 0,-1 0 0,1 0 0,-1 1 0,1-1 0,-1 0 0,0 0 0,0 0 0,-1 0 0,1 0 1,0 0-1,-1 0 0,0 0 0,0 0 0,0-1 0,0 1 0,0-1 0,0 0 0,-1 1 0,1-1 0,-1 0 1,-5 3-1,3-3-163,-1 1 0,0-1 1,0 0-1,0-1 1,0 1-1,0-1 1,0-1-1,-1 1 0,1-1 1,0 0-1,-11-1 1,16 1 46,0-1 0,0 1 1,0 0-1,-1-1 0,1 1 1,0 0-1,0-1 0,0 1 1,0-1-1,0 0 0,0 1 1,0-1-1,0 0 0,0 0 1,1 1-1,-1-1 0,0 0 1,0 0-1,1 0 0,-1 0 1,1 0-1,-1 0 0,0 0 1,1 0-1,0-1 0,-1 1 1,1 0-1,0 0 0,0 0 1,-1-2-1,4-23-5532,6 11-1957</inkml:trace>
  <inkml:trace contextRef="#ctx0" brushRef="#br0" timeOffset="1290.58">516 426 4434,'0'0'13331,"-14"-11"-12653,-48-33-390,61 43-283,-1 1-1,1-1 0,0 0 1,0 0-1,0 1 0,-1-1 1,1 1-1,0-1 1,-1 1-1,1-1 0,0 1 1,-1 0-1,1 0 0,-1 0 1,1 0-1,0 0 0,-1 0 1,1 0-1,-1 0 1,1 0-1,0 1 0,-1-1 1,1 1-1,0-1 0,-1 1 1,1-1-1,0 1 0,0 0 1,-2 1-1,1 0 13,-1 1 1,1-1-1,0 1 1,0 0-1,0 0 0,1 0 1,-1 0-1,-1 5 0,1-3 14,-3 9-7,1 0 0,1-1 1,0 1-1,1 0 0,0 1 1,1-1-1,1 25 0,0-39-24,0 3 3,0-1-1,0 1 0,0-1 0,1 1 0,-1-1 0,1 1 1,-1-1-1,1 1 0,0-1 0,0 0 0,0 1 0,0-1 0,0 0 1,0 0-1,1 0 0,-1 1 0,1-1 0,0-1 0,-1 1 0,1 0 1,0 0-1,0-1 0,0 1 0,0-1 0,0 0 0,1 1 0,2 0 1,1 0 19,1 0 1,-1-1 0,0 0 0,1 0 0,-1 0-1,0-1 1,1 0 0,-1 0 0,13-3 0,-16 2-12,0 0 1,0 0 0,0 0-1,0-1 1,0 1 0,0-1 0,0 0-1,-1 0 1,1 0 0,-1 0-1,1 0 1,-1 0 0,0-1 0,0 1-1,0-1 1,0 0 0,0 1-1,0-1 1,-1 0 0,1 0 0,-1 0-1,0 0 1,0 0 0,0-1-1,-1 1 1,2-4 0,1-12 51,-1 0 1,0 1-1,-2-25 0,0 35-37,0-37 1294,-2 85-1210,1-33-116,0 0-1,0-1 1,1 1-1,-1 0 1,2 0-1,-1-1 1,1 1-1,0 0 1,0-1-1,1 1 1,0-1-1,0 1 1,0-1 0,1 0-1,0 0 1,6 9-1,-6-10-115,0-1 1,0 0-1,1 0 0,-1 0 1,1-1-1,0 1 0,0-1 0,0 0 1,1 0-1,-1-1 0,1 1 0,-1-1 1,1 0-1,0 0 0,0 0 1,0-1-1,0 1 0,0-1 0,0-1 1,0 1-1,0-1 0,0 0 1,6 0-1,-9-1 124,0 1 1,0-1 0,0 0-1,0 0 1,0 0-1,-1 0 1,1 0-1,0-1 1,-1 1-1,1-1 1,-1 1 0,0-1-1,1 1 1,-1-1-1,0 1 1,0-1-1,0 0 1,0 0 0,0 0-1,0 0 1,-1 0-1,1 0 1,0-3-1,10-50 444,-11 54-444,3-36 1074,-2-48-1,-2 41 464,1 43-1403,-1 16-251,-2 4 103,1 0 0,0 0-1,1 0 1,2 0-1,4 38 1,-4-54-20,1 1-1,-1 0 1,1-1 0,0 1 0,0-1 0,0 1 0,0-1 0,1 0 0,-1 0-1,1 0 1,0 0 0,0 0 0,0-1 0,0 1 0,1-1 0,-1 0 0,1 0 0,-1 0-1,1 0 1,0-1 0,4 2 0,-5-2 10,0 0 0,0-1 1,0 1-1,0-1 0,0 1 0,0-1 0,0 0 0,0 0 1,0-1-1,0 1 0,0 0 0,0-1 0,0 0 0,0 0 1,0 0-1,0 0 0,0 0 0,0-1 0,-1 1 0,1-1 1,-1 1-1,1-1 0,-1 0 0,0 0 0,1 0 0,-1-1 1,3-4-1,3-6 93,-2 0 1,0-1 0,0 0-1,-1 0 1,-1 0 0,0-1-1,-2 0 1,1 1 0,-1-1-1,-1 0 1,-1 0 0,0 0-1,-3-19 1,2 33-51,1 0 1,0 0 0,-1 0-1,1 0 1,-1 0-1,1-1 1,-1 1-1,1 0 1,-1 0-1,0 0 1,0 0-1,1 0 1,-1 1-1,0-1 1,0 0-1,0 0 1,0 0-1,0 1 1,0-1 0,0 1-1,0-1 1,0 1-1,-2-1 1,2 0-22,0 1 1,1 0 0,-1 0 0,0 0 0,0-1-1,1 1 1,-1 0 0,0 0 0,0 0-1,0 0 1,1 0 0,-1 1 0,0-1-1,0 0 1,0 0 0,1 0 0,-1 1-1,0-1 1,1 0 0,-1 1 0,0-1-1,0 1 1,1-1 0,-1 1 0,1-1 0,-1 1-1,1-1 1,-1 1 0,1 0 0,-1-1-1,1 1 1,-1 0 0,1-1 0,-1 1-1,1 1 1,-2 4-6,0 0 1,1 1-1,-1-1 0,1 0 1,1 1-1,-1-1 0,1 1 1,1-1-1,-1 1 0,1-1 1,0 1-1,3 10 0,0-7 6,-1-1 0,1 0 0,0 0 0,1 0 0,0-1 0,0 0 0,12 14 0,-13-17-14,1 1-1,0-1 1,0 0 0,0 0 0,1-1 0,0 0-1,0 0 1,0 0 0,0 0 0,1-1-1,-1 0 1,1-1 0,0 1 0,0-1 0,0-1-1,0 1 1,0-1 0,0 0 0,0-1 0,12 0-1,-16-1 16,-1 0 0,1 0 0,-1 0 0,0-1 0,1 1 0,-1-1 0,0 1 0,0-1-1,0 0 1,0 0 0,0 0 0,0 0 0,0 0 0,-1 0 0,1 0 0,-1-1 0,1 1 0,-1-1 0,0 1-1,1-5 1,17-55 142,-10 5 105,-8 40 71,1 0 0,9-28 0,-11 44-314,0 1 0,0-1 1,0 1-1,0-1 0,0 1 0,0 0 0,1-1 0,-1 1 1,0-1-1,0 1 0,1 0 0,-1-1 0,0 1 1,0-1-1,1 1 0,-1 0 0,0-1 0,1 1 1,-1 0-1,1 0 0,-1-1 0,0 1 0,1 0 0,-1 0 1,1 0-1,-1-1 0,1 1 0,-1 0 0,0 0 1,1 0-1,-1 0 0,1 0 0,-1 0 0,1 0 0,-1 0 1,1 0-1,-1 0 0,1 0 0,-1 0 0,1 0 1,-1 1-1,0-1 0,1 0 0,-1 0 0,1 0 1,-1 1-1,1-1 0,-1 0 0,0 0 0,1 1 0,-1-1 1,0 0-1,1 1 0,-1 0 0,17 19 214,-2 9-308,-1 1 0,-1 1-1,15 53 1,-24-68 44,-4-15 22,1-1 1,-1 1-1,0 0 1,0-1-1,0 1 1,1 0-1,-1 0 1,0-1-1,1 1 1,-1-1-1,0 1 1,1 0-1,-1-1 1,1 1-1,-1-1 1,1 1-1,-1-1 1,1 1-1,0-1 1,0 1-1,7-7-25,5-26 247,-12 29-219,6-18 39,29-81 46,-31 89-49,2 0-1,0 0 0,0 1 1,1 0-1,12-15 0,-19 26-16,-1 1-1,1-1 1,-1 1 0,1 0-1,-1-1 1,1 1-1,-1-1 1,1 1-1,-1 0 1,1-1 0,-1 1-1,1 0 1,0 0-1,-1-1 1,1 1-1,0 0 1,-1 0-1,1 0 1,-1 0 0,1 0-1,0 0 1,-1 0-1,1 0 1,0 0-1,-1 0 1,1 0 0,0 0-1,-1 0 1,1 1-1,0-1 1,-1 0-1,1 0 1,-1 1-1,1-1 1,-1 0 0,1 1-1,0-1 1,-1 1-1,0-1 1,1 1-1,-1-1 1,1 1 0,-1-1-1,1 1 1,-1-1-1,0 1 1,0-1-1,1 1 1,-1 0-1,0-1 1,1 2 0,14 36-111,-14-34 135,8 29-285,-7-21-33,1-1 0,0 1 0,1-1 0,7 14 0,-9-22-99,-1-1-1,1 0 0,-1 1 0,1-1 1,-1 0-1,1 0 0,0 0 0,0 0 0,0-1 1,0 1-1,1 0 0,-1-1 0,0 0 1,1 1-1,-1-1 0,1 0 0,-1 0 0,1 0 1,-1-1-1,1 1 0,0-1 0,-1 1 1,6-1-1,15 0-3648,3-2-232</inkml:trace>
  <inkml:trace contextRef="#ctx0" brushRef="#br0" timeOffset="1710.8">1630 337 3265,'0'0'10485,"1"-17"-8017,1-52-336,-2 67-2036,1 1 0,-1 0 0,-1-1 0,1 1 0,0-1-1,0 1 1,0-1 0,-1 1 0,1 0 0,-1-1 0,1 1 0,-1 0 0,0-1 0,1 1 0,-1 0 0,0 0 0,0 0 0,0-1 0,0 1 0,0 0 0,0 0 0,0 1 0,0-1 0,0 0 0,-1 0 0,1 0 0,-3 0 0,1 0 19,-1 0 1,0 0 0,1 1 0,-1 0 0,0 0 0,1 0 0,-7 1 0,1-1 122,4 0-214,1 0 0,0 0-1,0 1 1,0-1 0,-1 1-1,1 0 1,0 0 0,0 1-1,0-1 1,1 1 0,-1 0-1,0 0 1,0 0 0,1 0-1,0 1 1,-1-1 0,1 1 0,0 0-1,0 0 1,0 0 0,1 0-1,-1 1 1,1-1 0,0 1-1,0 0 1,-2 4 0,-1 4-13,1 0 1,1 0-1,0 0 0,1 1 1,0-1-1,1 1 1,0 19-1,1-29-11,1 0 1,-1 0-1,0 0 0,1 0 0,0-1 1,0 1-1,0 0 0,0 0 0,0-1 1,0 1-1,0-1 0,1 1 0,0-1 1,-1 1-1,1-1 0,0 0 0,0 0 1,0 0-1,0 0 0,1 0 0,-1-1 1,0 1-1,1-1 0,-1 1 0,1-1 1,0 0-1,-1 0 0,7 2 0,1-1-62,1 1 0,0-1-1,0-1 1,0 0-1,0-1 1,16 0 0,-24-1 52,0 1 1,0 0-1,0-1 1,0 0 0,0 0-1,0 0 1,0 0-1,0 0 1,0 0 0,-1-1-1,1 0 1,-1 1-1,1-1 1,-1 0 0,1 0-1,-1 0 1,2-3 0,0 0 7,-1 0 1,1 0-1,-1-1 1,-1 1-1,1-1 1,-1 1-1,0-1 1,2-7-1,0-10 30,-1 0 0,-1 0 1,0-36-1,-2 58-28,-2-23 201,-1 0 0,0 0 0,-2 1-1,-1-1 1,-1 1 0,-1 0 0,-11-22-1,16 42 382,1 12-507,1 16-199,1-25 152,2 32-178,0 0 0,2-1 0,2 0 0,0 0 0,3 0 0,0-1 0,2 0 0,14 28 0,-22-52-223,-1-1 0,2 1 0,-1-1 0,0 0 0,1 0 0,0 0 0,5 4 1,-7-6-154,1-1-1,0-1 1,-1 1 0,1 0 0,0 0 0,0-1 0,0 0 0,0 0 0,5 2 0,21 0-5581</inkml:trace>
  <inkml:trace contextRef="#ctx0" brushRef="#br0" timeOffset="3049.77">1918 241 4978,'0'0'14164,"-17"-9"-13537,-53-29-315,69 37-303,-1 0 0,1 1 0,0-1 0,-1 0 0,1 1 0,-1-1 0,1 1 0,-1 0 0,1 0 0,-1-1-1,1 1 1,-1 0 0,1 0 0,-1 0 0,1 1 0,-1-1 0,1 0 0,-3 1 0,-8 14 81,10-10-59,-3 4-14,1 0 0,0 1 1,0 0-1,1-1 0,0 1 0,1 0 1,0 0-1,1 1 0,0-1 0,0 0 0,2 16 1,0-18-44,-1 0 0,1 0 0,0-1 0,1 1 0,0 0 0,0-1 0,1 1 0,0-1 0,0 0 0,0 0 1,1 0-1,0-1 0,1 1 0,-1-1 0,9 9 0,-10-13-45,-1 1 0,1-1 0,-1 0 0,1 0 0,0 0 0,0-1 1,0 1-1,0-1 0,0 0 0,0 1 0,1-1 0,-1 0 0,0-1 0,1 1 0,-1-1 0,0 1 0,1-1 1,-1 0-1,0 0 0,1-1 0,-1 1 0,1-1 0,-1 0 0,0 1 0,0-1 0,1-1 0,-1 1 1,0 0-1,0-1 0,0 0 0,0 1 0,-1-1 0,1 0 0,0-1 0,-1 1 0,0 0 0,1-1 0,-1 1 1,0-1-1,0 0 0,0 0 0,-1 0 0,1 0 0,1-3 0,2-12 409,0-1-1,-2 1 1,0-1 0,-1 0-1,-1 0 1,-2-34-1,1 20 728,0 31-949,0-1 53,0 1 0,0-1 0,0 0 0,0 1 0,0-1 0,-1 1-1,1-1 1,-1 0 0,0 1 0,1-1 0,-1 1 0,0 0 0,-1-1 0,-1-3 0,0 16 7,3 0-176,0 0-1,1 0 1,1 0 0,0 0 0,0 0 0,0-1 0,2 1 0,-1-1 0,1 1 0,0-1 0,10 15 0,-7-13-82,0-1 0,1 0 0,0 0 0,0-1 1,1 0-1,1-1 0,-1 0 0,1 0 0,15 8 1,-24-15 57,0 0 1,1 0-1,-1 0 1,1 0-1,-1 0 1,1 0-1,-1-1 1,1 1-1,-1-1 1,1 1 0,0-1-1,-1 0 1,1 1-1,0-1 1,-1 0-1,1 0 1,0 0-1,-1 0 1,1-1-1,0 1 1,-1 0-1,1-1 1,-1 1 0,1-1-1,0 0 1,-1 1-1,1-1 1,-1 0-1,0 0 1,1 0-1,-1 0 1,0 0-1,1 0 1,-1 0-1,0 0 1,0-1 0,0 1-1,0 0 1,0-1-1,0 1 1,0-1-1,-1 1 1,1-1-1,-1 1 1,1-1-1,-1 0 1,1 1 0,-1-4-1,3-10 102,0 0 0,-2 0 1,1 0-1,-3-21 0,1 25-120,1-11 148,-1-31 324,0 50-356,0-1 0,0 1 0,-1 0 0,0 0 0,1 0 0,-1 0 0,0 0 0,-1 0 0,1 0 0,0 1 0,-1-1 0,0 0 0,-2-2 0,4 4-77,0 1 0,0 0 1,-1 0-1,1 0 0,0 0 1,0 0-1,0-1 0,-1 1 1,1 0-1,0 0 0,0 0 1,-1 0-1,1 0 0,0 0 1,0 0-1,-1 0 0,1 0 1,0 0-1,0 0 0,-1 0 1,1 0-1,0 0 0,0 0 0,-1 0 1,1 0-1,0 1 0,0-1 1,0 0-1,-1 0 0,1 0 1,0 0-1,0 0 0,0 1 1,-1-1-1,1 0 0,0 0 1,0 0-1,0 0 0,0 1 1,0-1-1,-1 0 0,1 0 1,0 1-1,0-1 0,0 0 1,0 0-1,0 0 0,0 1 1,0-1-1,0 0 0,0 0 1,0 1-1,0-1 0,0 0 1,-3 15-67,2-5 25,1 0 1,0 1-1,0-1 1,1 0-1,1 0 1,0 1-1,0-1 1,4 10-1,-3-14-89,-1 0-1,1 0 0,0 0 1,0 0-1,1-1 0,-1 0 1,1 0-1,1 0 1,-1 0-1,1 0 0,-1-1 1,1 0-1,1 0 0,6 4 1,-10-7 92,-1 0 0,1 0 0,0 0 0,0 0 0,0 0 0,0-1 0,0 1 0,0-1 0,0 1 0,0-1 0,0 0 0,0 1-1,0-1 1,0 0 0,0-1 0,0 1 0,0 0 0,0 0 0,0-1 0,0 1 0,0-1 0,3-1 0,-2 0 36,-1 0 1,1-1-1,0 1 0,-1 0 0,0-1 0,0 0 0,1 1 0,-2-1 1,1 0-1,0 0 0,0 0 0,1-5 0,1-4 274,0 0-1,-1 0 0,0-1 1,-1 1-1,0-1 1,0-16-1,-2 25-253,-1-31 1746,0 31-875,-2 22-888,1-3-17,1 0 0,0 0 0,1 0-1,1 0 1,1 0 0,5 24 0,-6-34-105,0 1 0,1-1 0,0 0-1,0 0 1,0 0 0,1 0 0,0 0 0,0-1 0,0 1-1,0-1 1,1 0 0,-1 0 0,1 0 0,0 0 0,1-1 0,-1 1-1,0-1 1,1 0 0,0-1 0,0 1 0,9 3 0,-11-5 62,1 0 0,0 0 0,-1 0 0,1-1 0,0 1 1,0-1-1,0 0 0,-1 0 0,1 0 0,0-1 0,0 1 0,-1-1 0,1 0 1,0 0-1,-1 0 0,1-1 0,-1 1 0,1-1 0,-1 0 0,0 0 0,1 0 1,-1 0-1,0 0 0,0-1 0,-1 0 0,1 1 0,-1-1 0,1 0 1,-1 0-1,0 0 0,0-1 0,3-6 0,1-1 306,-1-1-1,-1 0 0,0 0 1,-1 0-1,0-1 1,-1 0-1,0 1 1,0-23-1,-2 31-95,-2-20 1081,2 24-1212,0-1 0,0 1-1,0 0 1,-1-1 0,1 1 0,0-1-1,0 1 1,-1 0 0,1-1 0,0 1-1,0 0 1,-1-1 0,1 1 0,0 0 0,-1-1-1,1 1 1,0 0 0,-1 0 0,1-1-1,-1 1 1,1 0 0,0 0 0,-1 0-1,1 0 1,-1-1 0,1 1 0,-1 0-1,1 0 1,-1 0 0,1 0 0,0 0-1,-1 0 1,1 0 0,-1 0 0,1 0-1,-1 1 1,1-1 0,-1 0 0,1 0-1,0 0 1,-1 0 0,1 1 0,-1-1-1,1 0 1,-1 1 0,0 0-17,0 0 0,0 0 0,0 0 0,0 0 0,0 0 0,0 0 0,1 0 0,-1 0 0,0 1 0,1-1 0,-1 0 0,1 1 0,-1-1 0,1 0 0,0 1 0,0-1 0,-1 0 0,1 1 0,0 2 0,1 32-1,-1-28-1,1-2-57,0 0-1,1 0 1,0-1-1,0 1 1,0 0-1,0-1 1,1 1-1,0-1 1,0 0-1,1 0 0,-1 0 1,1 0-1,0-1 1,1 0-1,5 5 1,-7-6-128,0 0-1,0 0 1,1 0 0,-1-1 0,1 1 0,0-1-1,-1 0 1,1 0 0,0-1 0,0 1-1,0-1 1,1 0 0,-1 0 0,0 0 0,0-1-1,0 1 1,1-1 0,-1 0 0,0 0-1,1 0 1,-1-1 0,7-1 0,-9 0 177,1 1 0,-1-1 0,0 0 0,0 0 0,1 0 0,-1 0 0,-1 0 0,1 0 0,0-1 0,0 1 0,-1-1 0,1 1 0,-1-1 0,0 1 0,1-5 0,15-48 480,-13 41-159,3-13 990,-1-1 0,-1 0 0,-2 0 0,1-39 552,-10 87-1714,2 3-95,1 1 0,1-1 0,1 1 1,2 0-1,0-1 0,1 1 1,10 40-1,55 161 179,-54-187-195,12 28-54,-16-46-144,0 1-1,-2 1 1,0-1-1,-2 1 1,0 0-1,2 36 1,-7-57 148,-1-1 1,1 1-1,-1-1 0,1 1 0,0-1 1,-1 0-1,1 1 0,-1-1 0,1 1 1,-1-1-1,1 0 0,-1 1 1,0-1-1,1 0 0,-1 0 0,1 0 1,-1 1-1,1-1 0,-1 0 0,0 0 1,1 0-1,-1 0 0,0 0 1,1 0-1,-1 0 0,1 0 0,-1 0 1,0-1-1,0 1 0,-20-3-206,17 2 73,1 0 0,-1 0 0,1-1 1,-1 0-1,1 1 0,0-1 0,0 0 0,0-1 1,0 1-1,0-1 0,0 1 0,1-1 1,-5-5-1,5 4-432,-1 0 1,1 0 0,-1 0-1,1 0 1,1-1-1,-1 1 1,1-1 0,-1 1-1,1-1 1,0-7-1,0-22-5543</inkml:trace>
  <inkml:trace contextRef="#ctx0" brushRef="#br0" timeOffset="3269.72">3181 405 8260,'0'0'15591,"-4"-2"-15591,0 2 0,-7 0-896,-8 6-1890,-4-2-5442</inkml:trace>
</inkml:ink>
</file>

<file path=xl/ink/ink7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30:09.138"/>
    </inkml:context>
    <inkml:brush xml:id="br0">
      <inkml:brushProperty name="width" value="0.05" units="cm"/>
      <inkml:brushProperty name="height" value="0.05" units="cm"/>
      <inkml:brushProperty name="color" value="#F6630D"/>
    </inkml:brush>
  </inkml:definitions>
  <inkml:trace contextRef="#ctx0" brushRef="#br0">2 395 3153,'0'0'11355,"-1"7"-10403,2-2-841,0 0 0,1 0-1,0-1 1,-1 1-1,2-1 1,-1 1-1,0-1 1,1 0-1,0 0 1,0 0 0,0 0-1,0-1 1,1 1-1,0-1 1,-1 0-1,9 6 1,-10-8-91,0 1-1,0-1 1,0 0 0,0 0 0,0 1-1,0-1 1,1 0 0,-1-1-1,0 1 1,1 0 0,-1-1 0,0 1-1,1-1 1,-1 0 0,1 0 0,-1 0-1,1 0 1,-1 0 0,0 0-1,1-1 1,-1 1 0,1-1 0,-1 0-1,0 0 1,1 0 0,-1 0-1,0 0 1,0 0 0,0 0 0,0-1-1,0 1 1,0-1 0,0 1-1,-1-1 1,1 0 0,1-2 0,6-9 53,-1-1 0,-1 0 0,0 0 0,-1-1 0,-1 0 1,0 0-1,-1 0 0,0-1 0,1-17 0,0-23 996,-2-68 1,-3 111-808,1 7-90,-1-1 1,0 1 0,0-1 0,-1 1 0,0-1-1,0 1 1,0-1 0,-1 1 0,0 0 0,0 0-1,0 0 1,-1 0 0,0 0 0,0 0-1,-1 1 1,-4-6 0,8 11-168,-1 1-1,1-1 0,-1 1 1,1-1-1,0 1 1,-1-1-1,1 1 1,-1-1-1,1 1 1,0 0-1,-1-1 0,1 1 1,0-1-1,0 1 1,0 0-1,0-1 1,-1 1-1,1 0 1,0-1-1,0 1 0,0 0 1,0-1-1,1 2 1,-3 11-18,1 0 1,0 0 0,1 0 0,1 0-1,0 0 1,1 0 0,0 0 0,1 0-1,8 21 1,56 101-93,-33-82-2356,-32-52 2094,-27-4-15989</inkml:trace>
  <inkml:trace contextRef="#ctx0" brushRef="#br0" timeOffset="902.61">30 233 3602,'0'0'9420,"3"-1"-9156,10-1 107,1 0-1,-1 1 1,1 1-1,-1 0 1,15 2-1,15 0-189,-33-2-210,-1 0 1,1-1 0,0 0-1,0-1 1,-1 0-1,1 0 1,-1-1-1,13-5 1,-18 6-27,0-1 1,0 1-1,0 0 1,-1-1-1,1 0 1,-1 0-1,1 0 1,-1 0-1,0-1 1,-1 1-1,1-1 1,0 0-1,-1 0 1,0 0-1,0 0 1,0 0-1,-1 0 1,1 0-1,-1-1 1,1-6-1,1-8 368,-2 0 0,0 0 0,-3-37-1,0 53 2622,0 10-2442,0 14-727,3-2 368,0 1 0,1 0-1,2-1 1,-1 0 0,2 0 0,1 0-1,12 29 1,0-4-21,4 11-38,56 103-1,-65-145 19,-13-13-82,0 0 0,1 0 1,-1 0-1,0 0 0,1 0 1,-1 0-1,0 0 0,1-1 0,-1 1 1,0 0-1,1 0 0,-1 0 1,0 0-1,0-1 0,1 1 1,-1 0-1,0 0 0,0-1 0,0 1 1,1 0-1,-1-1 0,0 1 1,0 0-1,0 0 0,0-1 0,0 1 1,0 0-1,0-1 0,1 1 1,-1-1-1,3-36 522,-3 30-565,-2-47 551,1-21-9,1 68-452,1 0 1,0 0-1,0 1 0,1-1 0,-1 0 0,2 1 0,-1-1 0,4-6 1,-6 13-61,0-1 1,1 1-1,-1-1 1,0 1-1,1-1 0,-1 1 1,1-1-1,-1 1 1,1-1-1,0 1 1,-1-1-1,1 1 1,-1 0-1,1 0 1,0-1-1,-1 1 1,1 0-1,0 0 1,-1-1-1,1 1 0,0 0 1,-1 0-1,1 0 1,0 0-1,-1 0 1,1 0-1,0 0 1,0 0-1,-1 1 1,1-1-1,0 0 1,-1 0-1,1 0 1,-1 1-1,1-1 0,0 0 1,-1 1-1,1-1 1,-1 1-1,1-1 1,-1 0-1,1 1 1,-1-1-1,1 1 1,-1 0-1,1 0 1,20 26-69,-13-9 64,0 1-1,7 29 0,-12-35-274,1 1-1,0-1 1,1-1-1,0 1 0,1-1 1,0 0-1,1 0 0,11 13 1,-17-23 221,0-1-1,0 0 1,0 0 0,0 1 0,0-1 0,0 0 0,1 0 0,-1-1 0,0 1-1,1 0 1,-1 0 0,1-1 0,-1 1 0,1 0 0,-1-1 0,1 0 0,-1 1-1,1-1 1,-1 0 0,1 0 0,0 0 0,-1 0 0,1 0 0,-1 0 0,1 0-1,0 0 1,-1-1 0,1 1 0,-1-1 0,1 1 0,-1-1 0,1 0 0,-1 1-1,0-1 1,1 0 0,-1 0 0,0 0 0,2-2 0,1 0 93,0-1 0,-1-1 0,0 1 0,1 0 1,-1-1-1,-1 0 0,1 0 0,-1 0 0,4-10 0,-2-6 627,0 0-1,-1 0 0,-1-1 0,-1 1 0,-1-1 1,-3-31-1,1 81-243,1-20-427,1-1-1,-1 1 1,1 0 0,0 0-1,3 14 1,-2-20-22,-1 0 1,1 0 0,0 0-1,-1 0 1,1 0 0,0 0-1,1 0 1,-1 0 0,0-1-1,0 1 1,1 0 0,-1-1 0,1 1-1,-1-1 1,1 1 0,0-1-1,0 0 1,0 1 0,-1-1-1,1 0 1,0 0 0,0-1-1,1 1 1,-1 0 0,0-1-1,0 1 1,2-1 0,-1 1 1,0 0 1,-1-1 0,1 0 0,0 1-1,-1-1 1,1 0 0,0-1-1,-1 1 1,1 0 0,0-1 0,-1 1-1,1-1 1,-1 0 0,1 0 0,-1 0-1,1 0 1,-1 0 0,1-1-1,-1 1 1,0-1 0,0 1 0,0-1-1,0 0 1,0 0 0,2-2 0,-1-1 30,-1 0 0,1 0 0,-1 0 0,0-1 0,-1 1 0,1 0 0,-1-1 0,0 0 0,0 1 0,-1-1 0,1-6 0,-1 5 14,1 0 0,-1 0-1,-1 0 1,1 0 0,-1 1-1,0-1 1,-1 0 0,-2-7-1,3 12 1,0 0 0,-1 0 0,1 0 0,0 0 0,-1 1 0,1-1 0,-1 0-1,0 1 1,1-1 0,-1 1 0,0 0 0,0 0 0,0-1 0,0 1 0,0 1 0,0-1 0,0 0-1,0 0 1,-1 1 0,1-1 0,0 1 0,0 0 0,-1-1 0,1 1 0,0 0 0,0 0 0,-1 1 0,-1 0-1,2-1-14,0 1 0,0 0 0,1-1-1,-1 1 1,0 0 0,1 0-1,-1 0 1,1 0 0,0 1 0,-1-1-1,1 0 1,0 1 0,-1-1-1,1 1 1,0-1 0,0 1 0,0-1-1,1 1 1,-1 0 0,0-1-1,0 1 1,1 0 0,-1 0 0,1-1-1,0 1 1,-1 4 0,-4 52-51,5-49-25,-1 6 99,1 1 0,0-1 0,1 0 0,6 30 0,-5-40-258,-1 0 0,1-1 0,0 1-1,0-1 1,1 1 0,-1-1 0,1 0-1,0 0 1,0 0 0,1-1 0,-1 1 0,1-1-1,-1 1 1,1-1 0,0-1 0,0 1 0,1 0-1,-1-1 1,10 4 0,31 7-5155,11-4-4564</inkml:trace>
  <inkml:trace contextRef="#ctx0" brushRef="#br0" timeOffset="3596.79">1556 321 8452,'0'0'6240,"11"17"-6069,36 51-102,-46-65-52,1 0-1,0 0 0,0-1 1,0 1-1,0-1 1,0 0-1,0 1 1,1-1-1,-1 0 0,1 0 1,0-1-1,-1 1 1,1 0-1,0-1 0,0 0 1,6 2-1,-7-3-8,-1 0-1,1 0 0,0 0 0,0 0 0,0-1 1,-1 1-1,1-1 0,0 1 0,-1-1 1,1 0-1,0 1 0,-1-1 0,1 0 1,-1 0-1,1 0 0,-1-1 0,0 1 0,1 0 1,-1 0-1,0-1 0,1-1 0,5-7 22,0-1 0,-1 0-1,0 0 1,-1-1 0,6-22-1,-8 26-3,33-127 2147,-23 82 530,-13 53-2663,0-1 0,0 1-1,0 0 1,0-1-1,0 1 1,0-1 0,0 1-1,1 0 1,-1-1 0,0 1-1,0 0 1,0-1-1,0 1 1,1 0 0,-1-1-1,0 1 1,0 0-1,1-1 1,-1 1 0,0 0-1,1 0 1,-1-1 0,0 1-1,1 0 1,-1 0-1,0 0 1,1 0 0,-1-1-1,1 1 1,-1 0 0,1 0-1,11 7 226,10 22-549,-19-25 404,10 15-86,-9-12-118,0 0 1,0-1-1,1 1 1,0-1-1,1 0 1,-1 0 0,1 0-1,0-1 1,0 0-1,15 8 1,-21-13 87,0 1 1,0-1-1,1 0 0,-1 0 1,0 0-1,0 0 1,1 0-1,-1 0 1,0 0-1,1 0 0,-1 0 1,0 0-1,0 0 1,1 0-1,-1-1 0,0 1 1,0 0-1,1 0 1,-1 0-1,0 0 0,0 0 1,1 0-1,-1-1 1,0 1-1,0 0 0,0 0 1,1 0-1,-1 0 1,0-1-1,0 1 0,0 0 1,0 0-1,1-1 1,-1 1-1,0 0 0,0 0 1,0-1-1,3-15 74,-4-15 64,0 28-136,0 1 0,1 0 1,-1 0-1,-1 0 0,1 1 0,0-1 1,0 0-1,-1 0 0,1 1 1,-1-1-1,1 0 0,-1 1 1,0 0-1,1-1 0,-1 1 0,0 0 1,0 0-1,0 0 0,0 0 1,0 0-1,0 0 0,-1 1 1,1-1-1,-3 0 0,-7-1 3,0 1 0,0 0 0,-15 1 0,21 0-2,2 0-1,1 0 0,-1 0-1,1 1 1,-1-1-1,0 1 1,1 0-1,0 0 1,-1 1-1,1-1 1,0 1 0,-1-1-1,1 1 1,0 0-1,0 0 1,-3 4-1,1-2-1,1 1-1,0 0 0,0 0 1,1 0-1,-1 0 1,1 0-1,0 1 0,-2 8 1,-1 1-2,2 1 0,0 0 0,1 0 0,1 0 0,0 0 0,1 19 0,1-33 1,0 0 1,0 0-1,0 1 0,1-1 1,-1 0-1,1 0 0,0 0 1,0 0-1,-1 0 0,1 0 1,0 0-1,1 0 0,-1 0 1,0 0-1,1 0 1,-1-1-1,1 1 0,2 2 1,0-1 4,0 0 1,0-1 0,0 0 0,0 0 0,0 0 0,0 0 0,1-1-1,-1 0 1,6 2 0,-5-2-4,1 0-1,-1-1 0,0 1 1,1-1-1,-1 0 0,0 0 1,0-1-1,1 0 1,-1 0-1,0 0 0,0 0 1,0-1-1,0 0 0,0 0 1,0 0-1,-1 0 1,7-5-1,-5 1 0,-1 0 1,0 0 0,0 0-1,-1 0 1,0-1-1,0 0 1,0 0-1,-1 0 1,0 0-1,0 0 1,-1-1-1,3-14 1,-2-5 477,0 0 0,-2-38 0,-2 46 108,-2 6 120,0 11-280,1 11-345,0 15-95,2 0-1,0 0 1,2 0 0,0 0-1,2 0 1,1-1 0,0 1-1,16 36 1,9 12 128,54 91 0,-51-103-886,-2 0-1,29 82 0,-59-136 566,1-3 24,-1 0 1,0 0-1,0 0 1,0 0-1,0 0 1,-1 0 0,0 0-1,1 1 1,-1-1-1,0 0 1,0 0-1,-1 6 1,-1-9 105,1 1 1,-1-1-1,1 0 1,-1 1-1,1-1 1,-1 0-1,1 0 0,-1 0 1,1 0-1,-1 0 1,1 0-1,-1-1 1,-1 1-1,0-1-22,-3 0 88,-1-1 0,0 0 0,1-1 0,-1 1 0,1-1 0,0-1 0,0 1 0,0-1 0,0 0 0,1 0 0,0-1 0,0 0 0,0 0 0,-8-10 0,4 4 164,0-1 0,1 0 1,1-1-1,0 1 0,0-1 1,-5-19-1,7 17 86,2-1 0,0 0 0,0-1 1,1 1-1,2 0 0,-1-1 0,2 1 0,4-29 1,4-4-129,25-73 0,3-12-20,-34 121 63,-1 0 0,-1 0 1,0 0-1,-1 0 0,-1-13 0,0 20-76,1 1 1,-1-1-1,-1 1 1,1 0-1,-1-1 1,0 1-1,0 0 1,0 0-1,-1 0 1,0 0-1,0 1 1,0-1-1,-6-6 1,8 14-129,0 0 0,0 0 0,0 0 0,1 0 0,-1 0 0,1 0 0,0 0 0,0 0 0,0 5 0,0 14-117,1-1 0,1 0 0,1 1 0,7 25 0,-8-40 76,-1-1 1,2 1-1,-1-1 1,1 0-1,0 0 1,0 0-1,0 0 1,1 0-1,0-1 1,0 1-1,0-1 1,1 0-1,0-1 1,0 1-1,0-1 1,1 0-1,10 7 1,-13-10 72,0 0 0,-1 1 0,1-1 0,0-1 0,-1 1 0,1 0 0,0-1 0,0 1 0,0-1 0,0 0 0,0 0 0,0 0 1,-1 0-1,1 0 0,0-1 0,0 1 0,0-1 0,0 0 0,-1 0 0,6-2 0,-5 1 15,1-1 0,-1 0 0,0 0 0,0 0 0,0 0 0,0 0-1,0-1 1,-1 1 0,1-1 0,-1 0 0,0 0 0,2-5 0,2-9 197,0 1 1,-2-1-1,0 0 1,-1 0-1,2-26 0,-5-27 1369,-2 68-1284,-4 9-287,-3 8-141,5 1 133,0 0 0,1 1 0,0-1 1,1 1-1,1 0 0,1-1 0,0 1 0,1 0 0,1-1 0,0 1 0,7 21 0,-6-29-79,0 0 0,1 1-1,0-1 1,1-1-1,0 1 1,0-1 0,0 0-1,1 0 1,0 0-1,10 8 1,-12-12-13,0 1 0,0-1 0,0 0 0,1-1 1,-1 1-1,1-1 0,-1 0 0,1 0 0,0 0 0,0-1 1,0 0-1,0 0 0,0 0 0,0 0 0,0-1 0,0 0 1,0 0-1,0 0 0,9-2 0,-11 1 103,-1-1 0,1 1 0,0-1-1,-1 0 1,1 1 0,-1-1 0,0 0 0,0 0 0,0-1 0,0 1-1,0 0 1,0-1 0,0 1 0,-1-1 0,1 1 0,-1-1-1,0 0 1,1 0 0,-1 0 0,-1 0 0,1 1 0,0-1 0,0-6-1,1-8 86,0-1-1,0-28 0,-1 13 326,0 21-118,-1 0 0,1-1 0,-2 1 1,0 0-1,0 0 0,-1 0 0,0 0 0,-1 0 0,-1 0 0,-9-21 0,11 76-184,3-34-189,0 1 0,0-1 0,2 0 0,-1 0 0,1 0 0,0 0 0,1-1 0,0 1 0,0-1 0,1 0 0,0 0 0,1 0 0,-1-1 0,2 1 0,6 6 0,-12-13 66,0 0 1,0 0-1,1 0 1,-1 0-1,0 0 1,1 0-1,-1 0 1,0 0-1,1-1 1,-1 1-1,1 0 1,-1-1 0,1 1-1,0-1 1,-1 0-1,1 1 1,-1-1-1,1 0 1,0 0-1,-1 0 1,1 0-1,2-1 1,-2 0 13,-1 0 1,1 0-1,-1 0 1,0 0 0,1 0-1,-1 0 1,0 0-1,0-1 1,0 1 0,0 0-1,0-1 1,0 1-1,0-1 1,0 1 0,-1-1-1,1 0 1,0-2-1,2-7 37,-1 0 0,0 0 0,0-1 0,-1-21-1,-1 27-43,1-4 97,-2 1 1,1-1 0,-1 1 0,0-1 0,-4-10-1,5 18-80,0 1 0,-1-1 0,0 1 0,1-1 0,-1 1 0,0-1 0,1 1 0,-1 0-1,0-1 1,0 1 0,0 0 0,0 0 0,-1-1 0,1 1 0,0 0 0,0 0 0,-1 0 0,1 1 0,0-1 0,-1 0-1,1 0 1,-1 1 0,1-1 0,-1 1 0,1-1 0,-1 1 0,0 0 0,1 0 0,-1-1 0,1 1 0,-1 0-1,0 0 1,1 1 0,-1-1 0,1 0 0,-1 1 0,0-1 0,1 0 0,-2 2 0,1-1-12,1-1 0,0 1 0,-1 1 1,1-1-1,0 0 0,-1 0 0,1 0 0,0 1 1,0-1-1,0 0 0,0 1 0,0-1 0,1 1 1,-1 0-1,0-1 0,1 1 0,-1-1 0,1 1 1,-1 0-1,1-1 0,0 3 0,-4 40-34,4-43 37,-1 13 11,0 8-1,1-1 1,0 1-1,2-1 0,7 38 0,-8-54-8,0-1 0,0 0 1,1 0-1,-1 1 0,1-1 0,0 0 0,0 0 1,1-1-1,-1 1 0,1 0 0,0-1 0,0 0 1,0 1-1,0-1 0,0 0 0,1-1 0,-1 1 1,1-1-1,0 1 0,0-1 0,0 0 0,0 0 1,0-1-1,0 1 0,1-1 0,-1 0 0,0 0 1,1-1-1,7 1 0,-11-1 1,9 1-9,1-1 1,-1 0-1,0 0 1,18-4 0,-24 3 1,-1 0 1,1-1 0,-1 1 0,0-1 0,0 1 0,0-1 0,1 0 0,-2-1 0,1 1 0,0 0 0,0-1 0,-1 1-1,1-1 1,-1 0 0,0 0 0,0 0 0,2-3 0,1-6-16,0 1-1,0-1 1,-1 0 0,-1 0-1,0 0 1,-1 0 0,1-21 0,-1 16 349,1-1 0,8-28 0,-7 18 28,-5 22-570,-2 19 122,2-8 89,0 0 0,0 0 0,1 0 0,0 0 0,0 1 0,0-1 0,0 0 0,1 0 0,1 8 0,-1-11 3,0 0 1,0 0-1,0 0 1,0-1-1,1 1 1,-1 0-1,0 0 1,1-1-1,-1 1 1,1 0-1,0-1 1,-1 0-1,1 1 1,0-1-1,0 0 1,0 0-1,0 0 1,0 0-1,0 0 1,0 0-1,0-1 1,0 1-1,4 0 1,-2 0-4,-1-1-1,0 1 1,1-1 0,-1 1 0,0-1 0,1 0 0,-1 0 0,1 0 0,-1-1-1,0 1 1,1-1 0,-1 0 0,0 0 0,5-2 0,-6 2 7,-1-1-1,1 1 1,0-1 0,-1 0-1,0 0 1,1 0 0,-1 1 0,0-1-1,0-1 1,0 1 0,0 0-1,0 0 1,-1 0 0,1 0-1,-1-1 1,1 1 0,-1 0 0,0 0-1,0-1 1,0 1 0,0-4-1,0-1-12,0 0-1,-1 0 0,0 0 0,0 0 0,0 0 1,-1 0-1,1 1 0,-2-1 0,-3-8 0,5 12 4,-1 1-1,0-1 1,0 1-1,0-1 1,0 1-1,-1-1 1,1 1-1,-1 0 1,1 0-1,-1 0 1,0 1-1,0-1 1,1 1-1,-1-1 1,0 1-1,0 0 0,-1 0 1,1 0-1,0 0 1,0 1-1,0-1 1,-6 1-1,8 0 2,-1-1-1,1 1 0,-1 0 0,1 0 0,-1 0 1,1 0-1,-1 0 0,1 0 0,-1 0 1,1 1-1,-1-1 0,1 0 0,-1 1 1,1-1-1,0 1 0,-1 0 0,1-1 1,-1 1-1,1 0 0,0 0 0,0 0 1,0 0-1,0 0 0,-1 0 0,1 0 1,0 0-1,1 0 0,-1 1 0,0-1 0,0 0 1,0 1-1,1-1 0,-1 0 0,1 1 1,-1-1-1,1 1 0,0-1 0,-1 1 1,1-1-1,0 1 0,0-1 0,0 1 1,0 2-1,-1 11-4,1 0-1,0 0 1,0 0 0,2 0 0,0 0-1,0 0 1,2 0 0,5 17 0,-5-22-25,0 0 0,1-1 0,0 1 1,0-1-1,1 0 0,0 0 0,1-1 0,-1 1 1,2-2-1,-1 1 0,1-1 0,13 9 1,-18-14-36,-1 0 0,1 0 0,0 0 0,-1-1 1,1 1-1,0-1 0,0 0 0,0 1 1,0-1-1,0-1 0,1 1 0,-1 0 0,0-1 1,0 0-1,0 0 0,1 0 0,-1 0 1,0 0-1,6-2 0,-6 1 58,0-1 1,0 0-1,-1 0 1,1 0 0,0 0-1,-1 0 1,0 0-1,1 0 1,-1-1-1,0 0 1,0 1-1,0-1 1,-1 0-1,1 0 1,-1 0-1,1 0 1,-1 0-1,1-5 1,4-14 109,-1-1 1,-1 0-1,-1 0 1,1-30 0,-3 28 481,1-1 0,1 1 1,7-28-1,-10 53-563,0 0 0,0 0 0,0 0-1,0 0 1,0 0 0,0-1 0,0 1 0,1 0 0,-1 0-1,0 0 1,0 0 0,0 0 0,0-1 0,0 1 0,0 0 0,0 0-1,0 0 1,0 0 0,0 0 0,1 0 0,-1-1 0,0 1-1,0 0 1,0 0 0,0 0 0,0 0 0,0 0 0,1 0-1,-1 0 1,0 0 0,0 0 0,0 0 0,0 0 0,1 0-1,-1 0 1,0 0 0,0 0 0,0 0 0,0 0 0,0 0-1,1 0 1,-1 0 0,0 0 0,0 0 0,0 0 0,0 0-1,1 0 1,7 8 109,5 14-309,-13-21 241,87 169-616,-86-169 546,-1-1 1,0 1 0,0-1-1,0 0 1,0 1-1,0-1 1,1 1-1,-1-1 1,0 0 0,0 1-1,1-1 1,-1 0-1,0 1 1,0-1-1,1 0 1,-1 1-1,0-1 1,1 0 0,-1 0-1,1 1 1,-1-1-1,0 0 1,1 0-1,-1 0 1,1 0-1,-1 1 1,0-1 0,1 0-1,-1 0 1,1 0-1,-1 0 1,1 0-1,-1 0 1,0 0-1,1 0 1,-1 0 0,1 0-1,-1-1 1,1 1-1,-1 0 1,0 0-1,1 0 1,-1 0 0,1-1-1,-1 1 1,0 0-1,1 0 1,-1-1-1,0 1 1,1 0-1,-1-1 1,0 1 0,0 0-1,1-1 1,-1 1-1,0 0 1,1-1-1,12-30 312,-9 20-352,4-7 69,-1 1 36,0 1-1,1 0 1,0 0-1,2 0 1,0 1-1,0 1 1,15-16-1,-24 29-55,0 0-1,0 0 0,0 1 0,0-1 1,0 0-1,0 0 0,0 1 1,0-1-1,0 1 0,0-1 1,0 1-1,0-1 0,0 1 0,1 0 1,-1-1-1,0 1 0,0 0 1,0 0-1,1 0 0,-1 0 1,0 0-1,0 0 0,0 0 0,2 1 1,-1 0-5,0 0 0,-1 0 0,1 0 1,0 0-1,-1 0 0,1 0 0,-1 1 1,0-1-1,1 1 0,-1-1 0,0 1 0,0 0 1,2 2-1,2 7-30,0 0 0,-1 1 0,5 21 0,-7-28 34,18 100-444,2 7-4928,-15-95 5</inkml:trace>
</inkml:ink>
</file>

<file path=xl/ink/ink7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30:02.682"/>
    </inkml:context>
    <inkml:brush xml:id="br0">
      <inkml:brushProperty name="width" value="0.05" units="cm"/>
      <inkml:brushProperty name="height" value="0.05" units="cm"/>
      <inkml:brushProperty name="color" value="#F6630D"/>
    </inkml:brush>
  </inkml:definitions>
  <inkml:trace contextRef="#ctx0" brushRef="#br0">99 208 6435,'0'0'14940,"-8"-8"-14035,3 3-802,-17-16 82,21 20-182,1 1 1,0 0-1,-1 0 0,1 0 0,0 0 1,-1-1-1,1 1 0,0 0 0,-1 0 0,1 0 1,0 0-1,-1 0 0,1 0 0,0 0 1,-1 0-1,1 0 0,0 0 0,-1 0 1,1 0-1,0 0 0,-1 0 0,1 0 0,0 1 1,0-1-1,-1 0 0,1 0 0,0 0 1,-1 1-1,-3 16 148,4 14-4,-1-1 40,1 0-1,1 0 1,2 0 0,13 57 0,37 49 366,-5-16-2907,-59-122-5959,-6-13 3769,-4-3-610</inkml:trace>
  <inkml:trace contextRef="#ctx0" brushRef="#br0" timeOffset="891.72">26 573 2881,'0'0'10405,"-7"-5"-10050,6 4-338,-1 0 1,1 0 0,-1 0-1,1 0 1,-1-1-1,1 1 1,0 0 0,-1-1-1,1 1 1,0-1-1,0 1 1,-1-4-1,11 2 117,17 6 59,-12-1-162,-1 0-1,1-1 1,0 0 0,-1-1 0,1-1-1,0 0 1,17-4 0,-25 4-25,0-1 0,-1 0 0,0 0 0,1-1 0,-1 0 0,0 0 1,0 0-1,0 0 0,-1-1 0,1 1 0,-1-1 0,0 0 0,0-1 0,0 1 0,-1-1 1,1 0-1,-1 0 0,0 0 0,4-10 0,-3 3 8,0-1 1,0 0-1,-1 0 0,-1 0 0,2-23 1,-4-69 157,-2 70-64,3 30 77,-1-1 1,-1 0-1,1 0 1,-1 1-1,0-1 1,0 0-1,-1 1 1,1-1-1,-1 1 1,-4-8-1,6 13-161,-1 0-1,1 0 0,0-1 0,0 1 0,0 0 0,0 0 0,0 0 0,-1 0 1,1 0-1,0-1 0,0 1 0,0 0 0,-1 0 0,1 0 0,0 0 0,0 0 1,0 0-1,-1 0 0,1 0 0,0 0 0,0 0 0,0 0 0,-1 0 0,1 0 0,0 0 1,0 0-1,0 0 0,-1 0 0,1 0 0,0 0 0,0 0 0,0 0 0,-1 0 1,1 1-1,0-1 0,0 0 0,0 0 0,0 0 0,-1 0 0,1 0 0,0 0 1,0 1-1,0-1 0,0 0 0,0 0 0,0 0 0,-1 0 0,1 1 0,0-1 1,0 0-1,0 0 0,0 0 0,0 1 0,0-1 0,0 0 0,0 1 0,-2 11 12,0 0 0,1 0 0,1 0 1,0 0-1,1 13 0,0 12 165,0-16-81,1 0-1,1 0 0,1-1 0,0 1 1,2-1-1,0 0 0,18 38 1,-6-23-49,1 0 0,2-2 0,34 42 0,-52-122 1502,-3 32-1500,4-72 370,-3 78-400,0 1 0,1-1 1,1 1-1,0-1 0,0 1 0,0 0 0,9-15 0,-12 22-46,1 0 0,-1 0 0,1-1 0,0 1-1,-1 0 1,1 0 0,0 0 0,0 0 0,0 0 0,-1 0 0,1 0 0,0 0 0,0 0 0,1 0 0,-1 1 0,0-1 0,0 0-1,0 1 1,0-1 0,1 1 0,-1-1 0,0 1 0,0 0 0,1-1 0,-1 1 0,0 0 0,1 0 0,-1 0 0,0 0-1,1 0 1,-1 0 0,0 0 0,1 0 0,-1 1 0,0-1 0,1 1 0,-1-1 0,0 1 0,0-1 0,0 1 0,1-1-1,-1 1 1,0 0 0,0 0 0,0 0 0,0 0 0,0 0 0,0 0 0,-1 0 0,1 0 0,0 0 0,0 0 0,0 2-1,6 6-17,-1 1-1,-1 0 1,1 0-1,5 19 0,-1 1-26,-7-19-163,0-1-1,1 1 0,0-1 1,0 0-1,1 0 0,1-1 0,0 1 1,12 14-1,-17-23 145,0 1 0,1-1 0,-1 0 1,1 0-1,0 0 0,-1 0 0,1 0 0,0-1 1,0 1-1,0 0 0,-1-1 0,1 1 0,0-1 1,0 0-1,0 0 0,0 1 0,0-1 0,0-1 1,0 1-1,0 0 0,-1 0 0,1-1 0,0 1 1,0-1-1,0 1 0,0-1 0,1-1 0,1 0 71,-1 0 0,0 0-1,0 0 1,0 0-1,0-1 1,0 1-1,-1-1 1,1 0 0,-1 0-1,0 0 1,1 0-1,1-4 1,0-4 119,0 0 0,-1 0 0,0 0 0,-1-1 0,-1 1 1,1-1-1,-2 0 0,0 1 0,-1-15 0,0-1 933,2 26-1001,-1 0 0,0 0 0,0 0 0,0 0 0,0 0-1,-1 0 1,1 0 0,0 0 0,0 0 0,-1 0 0,1 0 0,0 0 0,-1 1 0,1-1 0,-1 0 0,1 0 0,-1 0 0,1 0 0,-1 1 0,0-1 0,1 0 0,-2 0 0,1 1-50,1 0 0,-1 0 0,1 0 0,-1 0 0,1 0-1,0 0 1,-1 0 0,1 1 0,-1-1 0,1 0 0,-1 0 0,1 0 0,0 1 0,-1-1 0,1 0 0,0 1 0,-1-1 0,1 0 0,0 1-1,-1-1 1,1 0 0,0 1 0,0-1 0,-1 1 0,1-1 0,0 0 0,0 1 0,0-1 0,-1 1 0,1-1 0,0 1 0,0-1 0,0 1-1,0-1 1,0 0 0,0 1 0,0-1 0,0 1 0,0-1 0,0 1 0,0-1 0,1 1 0,-1 0 0,0 3-6,-1 0-1,1 0 1,0 1 0,1-1 0,-1 0 0,1 1 0,0-1 0,0 0 0,0 0 0,0 0 0,1 0-1,2 4 1,-3-6-32,1 0-1,-1 0 0,1 0 1,0 0-1,0-1 0,0 1 1,0-1-1,0 1 0,0-1 1,0 0-1,1 0 1,-1 0-1,0 0 0,1 0 1,-1 0-1,1-1 0,-1 1 1,1-1-1,-1 0 0,1 0 1,-1 0-1,4 0 0,-5 0 26,1 1 0,0-1-1,0 0 1,-1 0 0,1 0 0,0 0-1,0 0 1,-1-1 0,1 1 0,0 0-1,0-1 1,-1 1 0,1-1-1,-1 0 1,1 1 0,0-1 0,-1 0-1,1 0 1,-1 0 0,0 0-1,1 0 1,-1-1 0,0 1 0,0 0-1,0-1 1,1 1 0,-1 0 0,-1-1-1,1 1 1,0-1 0,0 0-1,-1 1 1,1-1 0,0 0 0,-1 1-1,0-1 1,1 0 0,-1 0 0,0 1-1,0-1 1,0 0 0,0 0-1,-1-2 1,2-6 17,0-2 27,-1 0-1,0 0 1,-1-1-1,-4-23 0,5 34-25,-1 0 0,1 0-1,-1 0 1,0 0 0,1 0-1,-1 0 1,0 0-1,0 0 1,0 1 0,-1-1-1,1 0 1,0 1-1,-1-1 1,1 0 0,-1 1-1,1 0 1,-1-1-1,0 1 1,0 0 0,1 0-1,-1 0 1,0 0 0,0 0-1,0 1 1,0-1-1,0 0 1,0 1 0,0 0-1,-1-1 1,1 1-1,0 0 1,0 0 0,0 0-1,0 0 1,0 1-1,-3-1 1,3 1-10,0 0 1,-1 0-1,1 0 0,0 0 1,0 0-1,0 1 0,0-1 1,0 1-1,0-1 0,0 1 1,1 0-1,-1-1 0,0 1 1,1 0-1,0 0 0,-1 0 1,1 0-1,0 1 0,0-1 0,0 0 1,0 0-1,1 1 0,-2 3 1,-1 7-14,0-1 0,1 1 0,0 15 0,1-15 27,0 0 0,1 0-1,0 0 1,2 0 0,-1 0 0,1-1-1,7 22 1,-7-29-234,1 1-1,-1-1 1,1 0 0,0 0-1,1 0 1,-1-1 0,1 1-1,0-1 1,0 0 0,0 0-1,1 0 1,-1 0 0,1-1-1,0 0 1,0 0 0,0 0-1,1 0 1,-1-1 0,8 2-1,29 6-4836,6-7-4277</inkml:trace>
  <inkml:trace contextRef="#ctx0" brushRef="#br0" timeOffset="2055.95">1525 251 8820,'0'0'14879,"-3"-12"-14089,-12-34-513,15 45-276,0 1 0,0 0-1,0-1 1,0 1 0,0 0 0,-1 0-1,1-1 1,0 1 0,0 0 0,0-1-1,-1 1 1,1 0 0,0 0 0,-1 0-1,1-1 1,0 1 0,0 0 0,-1 0-1,1 0 1,0-1 0,-1 1 0,1 0 0,0 0-1,-1 0 1,1 0 0,0 0 0,-1 0-1,1 0 1,0 0 0,-1 0 0,1 0-1,-1 0 1,1 0 0,0 0 0,-1 0-1,1 0 1,0 0 0,-1 1 0,1-1-1,0 0 1,0 0 0,-1 0 0,1 0 0,0 1-1,-1-1 1,1 0 0,0 0 0,0 1-1,-1-1 1,1 0 0,0 0 0,0 1-1,0-1 1,-1 0 0,1 1 0,-13 20-5,12-19 10,-8 15 13,1 0-1,0 1 0,2 0 0,0 0 1,1 0-1,1 1 0,1-1 0,0 1 1,2 0-1,0 0 0,1 0 1,3 30-1,-2-44-15,1 0 0,-1 0 0,1-1 0,0 1 0,0 0 0,0-1 0,0 0 0,1 1 1,0-1-1,0 0 0,0 0 0,0-1 0,1 1 0,-1-1 0,1 1 0,0-1 0,0 0 0,0-1 0,1 1 0,-1-1 0,1 0 1,4 2-1,1 0-64,-1-1 0,1-1 0,-1 0 1,1 0-1,0-1 0,-1 0 0,1 0 0,0-1 1,0-1-1,13-1 0,-19 1 37,-1-1 0,1 1 0,0 0 0,-1-1 0,0 1 0,1-1 0,-1 0 0,0-1 0,0 1 0,0 0 0,0-1 0,0 0 0,0 1 0,-1-1 0,1 0 0,-1 0 0,0-1 0,0 1 1,0 0-1,-1-1 0,1 1 0,-1-1 0,1 0 0,-1 1 0,0-1 0,0-4 0,2-12 71,0-1-1,-1 1 1,-2-34 0,0 37-3,0 15-34,0 1 11,1 0 0,-1 0-1,0 0 1,0 0 0,0 0 0,0 0 0,0 0-1,0 0 1,0 0 0,0 0 0,-1 0-1,1 0 1,0 0 0,-1 0 0,1 0-1,0 0 1,-1 0 0,1 0 0,-1 1 0,1-1-1,-1 0 1,0 0 0,1 0 0,-1 1-1,0-1 1,-1-1 0,0 25-283,2-17 240,0-1-1,0 0 0,1 1 0,0-1 0,0 1 1,0-1-1,1 0 0,-1 0 0,1 0 0,1 0 1,4 8-1,-6-11-49,1 0 1,0 0 0,0 0-1,0 0 1,0 0 0,0 0-1,0-1 1,1 1 0,-1-1-1,0 0 1,1 0-1,-1 1 1,1-1 0,-1-1-1,1 1 1,0 0 0,-1-1-1,1 1 1,0-1 0,0 0-1,-1 0 1,1 0 0,0 0-1,-1-1 1,6 0 0,-7 0 63,1 0 1,-1 1 0,0-1 0,0 0 0,1 0 0,-1 0 0,0 0-1,0-1 1,0 1 0,0 0 0,0 0 0,-1 0 0,1-1 0,0 1-1,-1-1 1,1 1 0,-1 0 0,1-1 0,-1 1 0,1-1 0,-1 1-1,0-1 1,0 1 0,0-3 0,2-46 44,-2 43-24,0 0 59,0 0 0,-1 0 0,0 0-1,0 0 1,0 0 0,-1 0 0,-4-10-1,5 15-36,0 0-1,0 0 0,0 0 1,0 0-1,-1 1 0,1-1 1,0 0-1,-1 1 0,1-1 1,-1 1-1,1-1 0,-1 1 0,0 0 1,0 0-1,0-1 0,1 1 1,-1 0-1,0 1 0,0-1 1,-1 0-1,1 1 0,0-1 1,0 1-1,0 0 0,0-1 1,0 1-1,0 0 0,-1 0 1,-3 1-1,5 0-33,-1 0 1,0 0-1,1 0 1,-1 0-1,0 0 1,1 0-1,0 0 1,-1 1-1,1-1 1,0 0-1,-1 1 1,1 0-1,0-1 1,0 1-1,0-1 1,1 1-1,-1 0 1,0 0-1,1 0 1,-1-1-1,1 1 1,-1 0-1,1 0 1,0 3-1,-5 53-4,5-55 6,-1 9 10,1-1 0,1 0 0,0 0 0,0 0 0,1 0 1,0 0-1,1 0 0,6 13 0,-6-18-12,0-1 1,0 1-1,0-1 1,1 0 0,0 0-1,0 0 1,1-1-1,-1 1 1,1-1-1,0 0 1,0 0-1,0-1 1,1 1 0,-1-1-1,1 0 1,7 2-1,-6-2-69,0 0 0,1-1-1,0 0 1,0 0 0,0 0-1,-1-1 1,1-1 0,0 1-1,0-1 1,0 0 0,0-1 0,15-3-1,-18 3 65,0-1 0,0 0 0,0-1 0,0 1 0,0-1 0,0 0 0,-1 0-1,1-1 1,-1 1 0,0-1 0,0 0 0,0 0 0,-1 0 0,1 0 0,-1-1 0,0 0 0,-1 1 0,5-11 0,0-3 27,-1 1 1,0-1-1,-2 0 1,0 0-1,2-35 1,-5 16 332,-5-72 0,2 98-232,0 0-1,0 0 1,-1 1 0,-6-16-1,7 21-10,0 0-1,0 1 1,0 0-1,-1-1 1,1 1 0,-1 0-1,0 0 1,-1 0-1,1 1 1,-1-1-1,1 1 1,-6-4-1,8 6-106,1 1 0,0 0 0,0 0 1,0 0-1,-1 0 0,1 0 0,0 0 0,0 0 0,-1 0 0,1-1 0,0 1 0,0 0 0,-1 0 1,1 0-1,0 0 0,0 0 0,-1 0 0,1 1 0,0-1 0,0 0 0,-1 0 0,1 0 0,0 0 1,0 0-1,-1 0 0,1 0 0,0 0 0,0 1 0,0-1 0,-1 0 0,1 0 0,0 0 0,0 0 1,0 1-1,0-1 0,-1 0 0,-3 13 190,2 19 26,2-28-215,-1 31 19,2 1 0,1 0 0,9 37 0,-8-58-21,0 0 1,1 0 0,1 0 0,1-1 0,0 0 0,1 0 0,1 0 0,0-1 0,16 22 0,-21-32-60,0 0 0,0 0 1,0 0-1,0 0 0,1 0 1,-1-1-1,1 0 0,-1 1 0,1-1 1,0-1-1,0 1 0,0 0 1,0-1-1,0 0 0,0 0 0,0 0 1,0 0-1,0-1 0,1 0 0,-1 0 1,7 0-1,-9-1 54,0 1-1,1-1 1,-1 0 0,0 0-1,0 0 1,0 0 0,0 0-1,0 0 1,0-1 0,0 1-1,-1 0 1,1-1 0,0 0-1,-1 1 1,1-1 0,-1 0-1,1 0 1,-1 0 0,0 0-1,0 0 1,0 0 0,0 0-1,1-4 1,2-6 22,0 1 0,-1-1 0,2-15 0,0-15 15,-3-1 0,-3-63 0,0 79-4,-2-4 369,-1 0-1,-1 0 1,-16-49-1,22 131 434,30 140-829,-11-92 23,-13-58-122,5 31-546,31 106 0,-35-164-792,-2-20-724,-1-23-1583,-2-7-1896,3-9-4496</inkml:trace>
  <inkml:trace contextRef="#ctx0" brushRef="#br0" timeOffset="2618.46">2818 185 6947,'0'0'14596,"-3"-4"-14204,-3-7-318,5 16 12,9 35 130,0-1 27,4 54 230,11 52 11,-20-130-538,1 1 0,1-2 0,1 1 1,0 0-1,1-1 0,0 0 0,11 14 0,-13-22-169,-13-28-17608</inkml:trace>
  <inkml:trace contextRef="#ctx0" brushRef="#br0" timeOffset="3169.81">2729 415 2769,'0'0'11035,"-7"-8"-10691,88 32 854,-67-21-1176,0-2 0,0 1 0,0-2 0,0 0 0,23-3 0,-32 2-47,-1 0 1,1 0 0,-1 0-1,1-1 1,-1 1 0,0-1 0,0 0-1,0-1 1,0 1 0,0-1-1,-1 0 1,1 1 0,-1-2-1,0 1 1,1 0 0,-1-1-1,-1 1 1,1-1 0,-1 0-1,1 0 1,2-5 0,0-10 25,0 1-1,0-1 1,-2 0 0,0 0-1,-2-1 1,0 1 0,-2-32 0,0 16 126,-2 1 440,3 33-484,0 0 0,0 0 0,0 0 0,-1 0 0,1 0 0,0 0 0,-1 0 0,1 0 0,0 0 0,-1 0 0,1 0 0,-1 1 0,0-1 0,1 0 0,-1 0 0,0 1 0,1-1 0,-1 0 0,0 0 0,0 1 0,0-1 0,1 1 0,-1-1 0,0 1 1,0-1-1,0 1 0,0 0 0,0-1 0,-2 1 0,3 0-60,-1 0 0,0 1 1,0-1-1,1 1 0,-1-1 1,0 0-1,1 1 0,-1 0 1,0-1-1,1 1 0,-1-1 1,1 1-1,-1 0 1,1-1-1,-1 1 0,1 0 1,-1-1-1,1 1 0,0 0 1,-1 0-1,1-1 0,0 1 1,0 0-1,0 0 0,0 0 1,-1-1-1,1 1 0,0 0 1,1 1-1,-3 32-126,2-28 162,-1 26 78,2-1 0,1 1 0,2-1 0,1 0 0,1 0 0,2-1 0,1 0 0,1 0 0,1-1-1,2 0 1,25 41 0,-36-67-64,12 17-108,-14-20 74,1 0 0,-1 0 0,0 0-1,0 1 1,0-1 0,1 0 0,-1 0 0,0 0 0,0 0-1,1 1 1,-1-1 0,0 0 0,0 0 0,1 0 0,-1 0 0,0 0-1,0 0 1,1 0 0,-1 0 0,0 0 0,1 0 0,-1 0-1,0 0 1,0 0 0,1 0 0,-1 0 0,0 0 0,1 0-1,-1 0 1,0 0 0,0 0 0,1 0 0,-1-1 0,0 1-1,0 0 1,1 0 0,-1 0 0,0 0 0,0-1 0,0 1-1,1 0 1,-1 0 0,0-1 0,0 1 0,0 0 0,0 0-1,0-1 1,1 1 0,-1 0 0,0 0 0,0-1 0,0 1-1,0 0 1,0 0 0,0-1 0,0 1 0,0 0 0,0-1-1,0 1 1,0 0 0,0 0 0,0-1 0,0 1 0,0 0-1,0-1 1,-1 1 0,1-1 0,3-40 394,-3-58 0,-1 39-320,1 59-116,0 0 0,0 1 0,0-1 0,0 0 0,0 0 1,1 1-1,-1-1 0,0 0 0,0 0 0,1 0 0,-1 1 0,0-1 0,1 0 0,-1 1 0,1-1 0,-1 0 0,1 1 1,-1-1-1,1 1 0,0-1 0,-1 1 0,1-1 0,-1 1 0,1-1 0,0 1 0,0 0 0,-1-1 0,1 1 0,0 0 0,0-1 1,-1 1-1,1 0 0,0 0 0,0 0 0,0 0 0,-1 0 0,1 0 0,2 0 0,-1 0-27,0 0 1,1 1-1,-1-1 0,0 1 0,0-1 0,1 1 1,-1 0-1,0 0 0,0 0 0,0 0 0,0 0 1,0 0-1,3 3 0,2 4-194,-1 1-1,1 1 1,-1-1 0,-1 1 0,0 0-1,0 0 1,-1 1 0,0-1-1,3 16 1,1-3-974,-8-21 861,1 0 0,-1-1 0,1 1 0,0-1 0,0 1 0,-1-1 1,1 1-1,1-1 0,-1 0 0,0 1 0,0-1 0,0 0 1,1 0-1,-1 0 0,0 0 0,1 0 0,-1 0 0,1 0 1,-1 0-1,1 0 0,0-1 0,-1 1 0,1-1 0,0 1 0,-1-1 1,1 0-1,0 0 0,-1 0 0,1 0 0,3 0 0,14 0-5241</inkml:trace>
  <inkml:trace contextRef="#ctx0" brushRef="#br0" timeOffset="3808.25">3416 385 5619,'0'0'13254,"-7"-7"-12862,3 4-365,-18-14 22,21 17-47,0 0-1,1 0 1,-1 0 0,0-1-1,1 1 1,-1 0-1,0 0 1,0 0-1,1 0 1,-1 0-1,0 0 1,0 0-1,1 1 1,-1-1-1,0 0 1,1 0-1,-1 0 1,0 1-1,1-1 1,-1 0-1,0 1 1,1-1-1,-1 1 1,1-1 0,-1 1-1,1-1 1,-1 1-1,1-1 1,-1 1-1,1-1 1,-1 1-1,1 0 1,0-1-1,-1 1 1,1 0-1,0-1 1,-1 1-1,1 1 1,-6 15 29,0 0 0,1 1 1,1 0-1,1 0 0,1 0 0,0 0 0,1 0 1,1 0-1,3 21 0,-3-38-31,0 0 0,0-1 0,0 1 0,1 0 0,-1 0 0,0-1 0,1 1 0,-1 0 0,0 0 0,1-1 0,-1 1 0,1-1 0,-1 1 0,1 0 0,0-1 0,-1 1 0,1-1 1,-1 1-1,1-1 0,0 1 0,0-1 0,-1 0 0,1 1 0,0-1 0,1 0 0,26 2 101,-23-3-65,1 0 0,0 0-1,0 0 1,-1-1-1,1 0 1,0 0-1,4-3 1,-4 1-12,-1-1-1,1 1 1,-1-1 0,-1 0-1,1 0 1,-1 0 0,0-1-1,0 1 1,0-1 0,-1 0 0,0 0-1,4-10 1,-3 4 558,-1 0 0,-1 0-1,0 0 1,0-1 0,-1-24 341,-1 52-896,0-3-37,0 1-1,1-1 0,0 1 1,1-1-1,0 0 1,4 13-1,-4-21-20,-1 0-1,1-1 0,0 1 0,0-1 1,0 0-1,1 0 0,-1 1 1,1-2-1,-1 1 0,1 0 0,0 0 1,0-1-1,0 1 0,1-1 1,-1 0-1,1 0 0,-1-1 0,1 1 1,-1 0-1,1-1 0,0 0 0,0 0 1,7 1-1,-5-1-64,1 0-1,-1-1 1,0 1 0,1-1-1,-1-1 1,0 1 0,11-3-1,-14 2 97,0 0 0,0 0 0,0 0 0,0-1 0,0 1 0,-1-1 0,1 0 0,0 0 0,-1 0 0,0 0 0,1 0 0,-1 0 0,0-1 0,0 1 0,0-1 0,-1 1 0,3-4 0,1-5 19,0 0-1,-1 0 1,0 0-1,-1-1 1,0 1 0,2-24-1,-2-73 222,-3 80-156,1 12 47,-2-1 1,0 1-1,0 0 1,-2-1 0,0 1-1,0 0 1,-2 0 0,0 1-1,-1-1 1,0 1-1,-15-23 1,14 32 441,4 11-392,3 19-276,0-18 135,0 34 16,2 1-1,14 77 1,-10-94-41,0-1 0,2-1 0,0 1 0,2-1 0,0-1 0,20 30 0,-4-11-1824</inkml:trace>
  <inkml:trace contextRef="#ctx0" brushRef="#br0" timeOffset="3962.51">3643 381 5491,'0'0'9572,"128"6"-9572,-82 5-208,10-2-2065,8-3-5075</inkml:trace>
  <inkml:trace contextRef="#ctx0" brushRef="#br0" timeOffset="4617.35">4349 324 10165,'0'0'11549,"0"4"-11434,0 16-67,-1-6-20,1 0 0,0 0 0,2 1 0,-1-1 0,5 14-1,-5-25-20,0 0 0,0 0 0,0 0 0,0 0 0,1 0 0,-1 0-1,1-1 1,0 1 0,-1-1 0,1 1 0,1-1 0,-1 0 0,0 1-1,0-1 1,1 0 0,-1-1 0,1 1 0,0 0 0,-1-1 0,1 1-1,0-1 1,0 0 0,0 0 0,0 0 0,0-1 0,0 1 0,0-1-1,0 1 1,4-1 0,-3 0-4,0 1 0,0-1 0,0 0 0,0 0 0,1 0 0,-1-1 0,0 0 0,0 0 0,0 0 0,0 0 0,-1 0 0,1-1 0,0 1 0,0-1 0,-1 0 0,1-1 0,-1 1 0,0 0 0,0-1 0,0 0 0,0 0 0,0 0 0,0 0 0,-1 0 0,1 0 0,-1-1 0,0 1 1,0-1-1,0 0 0,1-5 0,4-10 189,-2 1 0,0-1 1,-2 0-1,0-1 0,0 1 1,-2 0-1,-2-35 0,1 31 577,-11 99-577,10-59-187,1 0 0,1 1-1,0-1 1,1 0-1,8 28 1,-9-41-37,0 0 0,0 0 0,1 0 0,0-1 0,0 1 0,0 0 0,0-1 0,1 0 0,-1 1 0,1-1 0,0 0 1,0 0-1,0 0 0,0-1 0,1 1 0,-1-1 0,1 0 0,-1 0 0,1 0 0,0 0 0,0-1 0,-1 1 0,1-1 0,0 0 0,1 0 0,-1-1 0,0 1 0,0-1 0,6 0 0,-7 0 30,0 1-1,0-1 0,0 0 0,0-1 1,0 1-1,0 0 0,0-1 0,-1 0 1,1 1-1,0-1 0,0 0 0,0-1 1,-1 1-1,1 0 0,-1-1 0,1 0 1,-1 1-1,0-1 0,1 0 0,-1 0 1,0 0-1,0 0 0,0-1 0,-1 1 1,1 0-1,0-1 0,-1 0 0,0 1 1,1-1-1,-1 0 0,0 1 0,0-6 1,5-7 36,-2-1 0,0 0 1,-1 0-1,-1-1 1,0 1-1,-2-1 1,1 1-1,-2-1 1,0 1-1,-1 0 1,-5-18-1,6 30 36,0 0 0,0 0 0,0 0 0,-1 0 0,1 1 0,-1-1 0,0 0 0,0 1 0,-1 0-1,1-1 1,-1 1 0,1 0 0,-5-4 0,6 24 10,2-9-50,0 0-1,0 0 1,0 0 0,1 0-1,1-1 1,-1 1-1,1-1 1,0 1-1,8 11 1,7 9 87,22 27 1,-8-11-123,-19-17-407,-13-27 332,1 1 0,-1 0 0,0-1 0,0 1 0,1-1 0,-1 1 0,0 0 0,0-1 0,0 1 0,0 0 1,0-1-1,0 1 0,0 0 0,0-1 0,0 1 0,-1-1 0,1 1 0,0 0 0,0-1 0,0 1 0,-1-1 0,1 1 0,0 0 0,-1-1 0,1 1 0,-1-1 0,1 1 0,0-1 0,-1 1 0,1-1 0,-1 0 0,1 1 0,-1-1 0,1 0 1,-1 1-1,0-1 0,1 0 0,-1 1 0,1-1 0,-1 0 0,0 0 0,1 0 0,-1 0 0,0 0 0,-72 1-9596,27-4-1498</inkml:trace>
  <inkml:trace contextRef="#ctx0" brushRef="#br0" timeOffset="4754.68">4458 182 2385,'0'0'13414,"98"41"-14790,-74-15-4291</inkml:trace>
  <inkml:trace contextRef="#ctx0" brushRef="#br0" timeOffset="5617.39">5363 370 14407,'0'0'9335,"-1"-5"-8933,-2-8-377,0 13-18,1 23-32,2-11 3,1-1 0,0 1 1,4 19-1,-3-27-27,1 1-1,0-1 1,0 0-1,1 0 1,-1 0-1,1-1 0,0 1 1,0-1-1,0 0 1,1 0-1,-1 0 1,1-1-1,-1 1 0,1-1 1,0 0-1,8 2 1,-8-3-27,0 1 0,0-1 0,0 0 0,0-1 0,0 1 0,0-1 1,0 0-1,6-1 0,-9 1 61,0-1 0,0 1 0,0-1 0,0 1 0,1-1 0,-1 0 0,0 0 1,0 0-1,0 0 0,-1 0 0,1 0 0,0-1 0,0 1 0,-1-1 0,1 1 0,-1-1 0,1 1 0,1-3 1,1-5 24,0 1 0,0-1 1,-1 0-1,0-1 1,-1 1-1,0 0 0,0-1 1,-1 1-1,1-15 1,-2-12 402,-5-39 1,-4 33 239,9 41-624,-1-1 0,1 1-1,0-1 1,-1 1 0,0 0 0,1-1 0,-1 1-1,0 0 1,0-1 0,0 1 0,1 0 0,-1 0 0,-1 0-1,1 0 1,0 0 0,0 0 0,0 0 0,0 0 0,-1 0-1,1 1 1,0-1 0,-1 0 0,1 1 0,-2-1 0,2 1-33,0 0 1,1 0 0,-1 0 0,0 1 0,0-1 0,1 0-1,-1 1 1,1-1 0,-1 1 0,0-1 0,1 0 0,-1 1-1,1-1 1,-1 1 0,1-1 0,-1 1 0,1 0 0,-1-1-1,1 1 1,0 0 0,-1-1 0,1 1 0,0 0 0,0-1-1,-1 1 1,1 0 0,0 0 0,-4 23-33,3-21 41,0 11-11,0 0 0,1 0 0,0 0 1,1 1-1,0-1 0,1 0 0,1 0 1,6 17-1,-7-24-24,1 0 1,0-1-1,0 0 1,0 1-1,1-1 0,0 0 1,0-1-1,1 1 1,0-1-1,0 0 1,0 0-1,0 0 0,1-1 1,0 1-1,0-1 1,0-1-1,0 1 0,11 3 1,-13-5-22,1-1-1,-1 1 1,0-1 0,0 0 0,1-1 0,-1 1-1,0-1 1,1 0 0,-1 0 0,0 0-1,1 0 1,-1-1 0,5-1 0,-6 1 59,-1 0 0,1 0 0,0 0 1,-1-1-1,1 0 0,-1 1 0,0-1 1,1 0-1,-1 0 0,0 0 0,0 0 1,0-1-1,-1 1 0,1 0 0,0-1 1,-1 1-1,0-1 0,1 0 0,0-4 1,2-7 150,0 1 0,-2-1 0,0 0 0,0 0 0,-1-14 0,-1 12 354,2 0-1,0 0 0,4-20 1,-6 36-497,1 0 0,-1 0 0,0-1 1,0 1-1,0 0 0,0-1 0,0 1 1,0 0-1,0 0 0,1 0 0,-1-1 0,0 1 1,0 0-1,0 0 0,1 0 0,-1-1 1,0 1-1,0 0 0,1 0 0,-1 0 0,0 0 1,0-1-1,1 1 0,-1 0 0,0 0 1,0 0-1,1 0 0,-1 0 0,0 0 0,0 0 1,1 0-1,-1 0 0,0 0 0,1 0 1,-1 0-1,0 0 0,0 0 0,1 0 1,-1 0-1,0 0 0,0 1 0,1-1 0,-1 0 1,0 0-1,0 0 0,1 0 0,-1 0 1,0 1-1,0-1 0,0 0 0,1 0 0,11 12-136,28 56 86,-32-51 28,1 0 1,1-1-1,20 25 1,-30-40-2,1 0 1,0-1 0,-1 1-1,1 0 1,0 0-1,0-1 1,0 1 0,-1 0-1,1-1 1,0 1-1,0-1 1,0 1 0,0-1-1,0 1 1,0-1 0,0 0-1,0 1 1,0-1-1,0 0 1,0 0 0,0 0-1,0 0 1,0 0-1,1 0 1,-1 0 0,2-1-1,-2 1 10,1-1-1,-1 0 0,1-1 0,-1 1 0,1 0 0,-1 0 1,1-1-1,-1 1 0,0-1 0,0 1 0,0-1 0,0 1 1,2-4-1,2-6 30,-1-1-1,1 0 1,2-17 0,-6 25-44,9-38 62,-4 11 158,2 2 1,21-55-1,-29 84-194,0-1 1,0 1-1,1-1 1,-1 1-1,0-1 1,0 1-1,0-1 0,1 1 1,-1-1-1,0 1 1,1-1-1,-1 1 1,0-1-1,1 1 1,-1 0-1,0-1 0,1 1 1,-1 0-1,1-1 1,-1 1-1,1 0 1,-1 0-1,1-1 1,-1 1-1,1 0 0,-1 0 1,1 0-1,-1 0 1,1 0-1,-1-1 1,1 1-1,-1 0 1,1 0-1,-1 0 0,1 1 1,-1-1-1,1 0 1,-1 0-1,1 0 1,-1 0-1,1 0 1,-1 1-1,1-1 0,-1 0 1,1 0-1,-1 1 1,1-1-1,-1 0 1,1 1-1,0 0 1,17 22-136,-17-21 135,16 28 63,22 50 0,-33-67-431,-1 1-1,0 0 1,-2 0 0,1 0-1,-2 0 1,2 23-1,-4-36 246,0 0-1,0-1 0,0 1 1,0 0-1,0-1 0,0 1 1,-1-1-1,1 1 0,0 0 0,0-1 1,-1 1-1,1-1 0,0 1 1,-1-1-1,1 1 0,0-1 1,-1 1-1,1-1 0,-1 1 1,1-1-1,-1 1 0,1-1 1,-1 0-1,1 1 0,-1-1 1,1 0-1,-1 1 0,0-1 1,1 0-1,-1 0 0,1 0 1,-1 0-1,0 0 0,1 1 1,-1-1-1,0 0 0,1 0 1,-1 0-1,0-1 0,1 1 1,-1 0-1,1 0 0,-2-1 1,-3 2-650,-30-1-5404</inkml:trace>
  <inkml:trace contextRef="#ctx0" brushRef="#br0" timeOffset="5805.1">5088 1 12950,'0'0'5811</inkml:trace>
</inkml:ink>
</file>

<file path=xl/ink/ink7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9:50.832"/>
    </inkml:context>
    <inkml:brush xml:id="br0">
      <inkml:brushProperty name="width" value="0.05" units="cm"/>
      <inkml:brushProperty name="height" value="0.05" units="cm"/>
      <inkml:brushProperty name="color" value="#F6630D"/>
    </inkml:brush>
  </inkml:definitions>
  <inkml:trace contextRef="#ctx0" brushRef="#br0">21 803 2353,'0'0'12360,"-4"0"-11525,-13 0-160,38 0 545,34 1-322,85-12-1,-13-11-951,74-10 161,-69 23-6373,-125 9 524</inkml:trace>
  <inkml:trace contextRef="#ctx0" brushRef="#br0" timeOffset="251.06">152 1010 4034,'0'0'12213,"-3"0"-11562,3 0-641,-7 0 451,10 0-29,88-3 1160,137-43-1054,-83 0-3896,-101 28-516,-8 0-2182</inkml:trace>
  <inkml:trace contextRef="#ctx0" brushRef="#br0" timeOffset="576.3">519 679 7555,'0'0'11809,"-5"-3"-11468,-12-4-282,26 21 11,36 28 415,17 1 201,17 13-269,-71-49-411,1 0 0,-2 1 1,1 0-1,-1 0 0,0 1 1,8 13-1,-13-19 2,0 1 0,-1-1 0,1 0 0,-1 1 0,1-1 0,-1 1 0,0 0 0,0-1 0,-1 1 0,1 0 0,-1-1 0,0 1 0,0 0 0,0 0 0,0-1-1,-1 1 1,1 0 0,-1-1 0,0 1 0,0 0 0,0-1 0,-1 1 0,1-1 0,-1 0 0,0 1 0,0-1 0,0 0 0,0 0 0,-1 0 0,1 0 0,-1-1 0,-5 5 0,-3 1-401,1-1 1,-1 0-1,-1-1 0,0 0 1,1 0-1,-2-2 0,1 1 1,-15 2-1</inkml:trace>
  <inkml:trace contextRef="#ctx0" brushRef="#br0" timeOffset="1089.12">1110 692 10325,'0'0'9385,"-3"11"-8507,1-2-805,1-1-1,-1 1 1,1 0-1,1 0 1,0-1-1,0 1 1,1 0 0,0 0-1,3 13 1,9 21 75,-4-16-70,-1 0 0,-2 0 0,-1 0 1,4 50-1,-9-76-12,-1-15 265,-22-86-194,11 52-78,-10-76 1,22 118-60,-4-28 4,2 0 0,1 0 0,5-45 0,-4 78-9,0 0-1,0 0 1,0 0 0,0 0-1,1-1 1,-1 1-1,0 0 1,1 0-1,-1 0 1,0 0 0,1 0-1,-1 0 1,1 0-1,0 0 1,-1 0-1,1 0 1,0 0 0,-1 0-1,1 0 1,0 1-1,0-1 1,0 0-1,0 1 1,0-1 0,0 0-1,0 1 1,0-1-1,0 1 1,0 0-1,0-1 1,0 1 0,0 0-1,1-1 1,-1 1-1,0 0 1,0 0-1,0 0 1,0 0-1,1 0 1,-1 0 0,2 1-1,0 0-8,0 0-1,0 1 0,0-1 1,0 0-1,0 1 1,0 0-1,-1 0 1,1 0-1,-1 0 0,1 0 1,-1 0-1,0 1 1,3 3-1,11 20 77,-1 0 0,-1 1 0,13 37 0,23 91 153,0-1-312,-49-153-42,-1-1 0,0 0-1,0 0 1,0 1 0,1-1 0,-1 0 0,0 1 0,0-1 0,0 0 0,0 1 0,0-1 0,0 0 0,0 1 0,0-1 0,0 0 0,0 1 0,0-1 0,0 0 0,0 1 0,0-1 0,0 0 0,0 1-1,0-1 1,0 0 0,0 1 0,0-1 0,0 0 0,0 1 0,-1-1 0,1 0 0,0 0 0,0 1 0,0-1 0,-1 0 0,1 0 0,0 1 0,0-1 0,-1 0 0,1 0 0,0 0 0,-1 1-1,1-1 1,-1 0 0,-15-1-6295,-5-7-2124</inkml:trace>
  <inkml:trace contextRef="#ctx0" brushRef="#br0" timeOffset="1243.52">1133 920 5747,'0'0'6963,"101"-19"-6915,-54 15-48,4-1-96,4-5-1617,-1-3-1777,-3-2-720</inkml:trace>
  <inkml:trace contextRef="#ctx0" brushRef="#br0" timeOffset="1709.51">1586 745 1377,'0'0'15772,"-12"-12"-14371,-38-37-542,50 48-833,-1 0-1,1 0 1,-1 1 0,1-1 0,-1 0-1,0 1 1,0-1 0,1 0 0,-1 1 0,0-1-1,0 1 1,0-1 0,1 1 0,-1 0-1,0-1 1,0 1 0,0 0 0,0-1-1,0 1 1,0 0 0,0 0 0,0 0-1,0 0 1,0 0 0,0 0 0,0 0 0,0 0-1,0 1 1,0-1 0,1 0 0,-1 0-1,0 1 1,0-1 0,0 1 0,-1 0-1,0 1 2,1 0 0,-1 0 0,1 0 0,0 0 0,0 0 0,0 0-1,0 1 1,1-1 0,-2 4 0,1-3 39,-3 13 9,0 1 1,1 0 0,1-1-1,0 1 1,1 0-1,1 0 1,1 0 0,4 29-1,-3-41-88,0 1 0,1-1 0,-1 1 0,1-1-1,0 0 1,1 0 0,-1 0 0,1 0 0,0-1 0,0 0 0,0 0-1,1 0 1,0 0 0,-1 0 0,1-1 0,1 0 0,-1 0 0,0 0 0,1-1-1,-1 0 1,8 2 0,-8-2-22,0-1 0,1 1 0,-1-1 0,1 0 0,-1-1-1,1 1 1,-1-1 0,1 0 0,-1-1 0,1 1 0,-1-1 0,1 0 0,-1 0 0,0-1 0,1 0-1,-1 0 1,0 0 0,0 0 0,0-1 0,0 0 0,-1 0 0,7-5 0,-4 0 34,0 0 0,-1 0 0,0-1 0,0 1 0,-1-1 0,0-1 1,-1 1-1,0-1 0,0 0 0,-1 0 0,0 0 0,2-15 0,-2-8 70,0-1 0,-4-50-1,0 65 154,0 1-1,-2 0 1,0 0-1,-1 0 1,-1 0-1,0 1 0,-2-1 1,0 1-1,-1 1 1,-13-22-1,13 30 563,4 12-292,3 19-381,1-21-164,0 25 116,1 1 1,1-1-1,2 0 1,1 1-1,1-2 0,1 1 1,15 34-1,-11-31-219,2 0 1,1-2-1,1 0 0,1 0 1,21 25-1,-32-48-3131,-16-20-8403,-8 0 3579</inkml:trace>
  <inkml:trace contextRef="#ctx0" brushRef="#br0" timeOffset="2035.11">1701 815 80,'0'0'14145,"4"-5"-13865,-2 3-249,1 0-1,0-1 0,0 1 0,0 0 1,0 1-1,0-1 0,1 1 1,-1-1-1,0 1 0,1 0 0,-1 0 1,1 1-1,6-2 0,58 1-14,-14 1-120,-43 0 19,0-2-1,1 1 1,-1-1-1,0-1 1,0 0-1,20-9 1,-28 10 227,1 1 1,-1-1 0,0 0-1,0 0 1,0 0 0,0-1-1,-1 1 1,1-1-1,-1 0 1,1 0 0,-1 1-1,0-1 1,0-1-1,0 1 1,0 0 0,-1 0-1,1-1 1,-1 1-1,0-1 1,0 1 0,0-1-1,-1 0 1,1 1 0,-1-11 2800,-1 18-1355,-3 20-878,0 35-975,3-41 263,1-4 75,0 1 1,3 21 0,-3-33-108,1 0 1,0-1-1,-1 1 1,1 0-1,0 0 1,0 0-1,0 0 1,1-1-1,-1 1 1,1 0-1,0-1 1,-1 1 0,1-1-1,0 0 1,0 0-1,0 0 1,5 4-1,3-3-1312</inkml:trace>
  <inkml:trace contextRef="#ctx0" brushRef="#br0" timeOffset="2203.96">1911 455 9284,'0'0'5891,"72"100"-17160</inkml:trace>
  <inkml:trace contextRef="#ctx0" brushRef="#br0" timeOffset="2640">2175 604 5026,'0'0'15946,"4"9"-15740,5 20 194,9 41 0,-12-42-309,2 0 0,0 0-1,18 38 1,-26-64-92,1 0 1,0-1-1,0 1 1,0 0-1,0 0 0,1-1 1,-1 1-1,0-1 1,1 1-1,-1-1 0,1 0 1,0 1-1,-1-1 1,1 0-1,0 0 0,0 0 1,-1 0-1,1 0 1,0-1-1,0 1 0,0-1 1,0 1-1,0-1 1,0 0-1,0 1 0,0-1 1,0 0-1,0 0 1,1-1-1,-1 1 0,0 0 1,0-1-1,0 1 1,0-1-1,-1 0 1,5-1-1,-2 0-60,1-1 0,-1 0 1,0 1-1,1-2 0,-2 1 0,1 0 1,0-1-1,-1 1 0,1-1 0,-1 0 1,0-1-1,0 1 0,3-7 1,-2 1 19,-1 0 0,0-1 1,-1 1-1,0-1 1,0 1-1,-1-1 0,-1 0 1,0 0-1,0 1 1,-1-1-1,-1 0 1,1 0-1,-2 1 0,1 0 1,-2-1-1,1 1 1,-1 0-1,-7-12 0,11 22 38,0 0-1,0 0 1,0 0-1,0 1 1,0-1-1,0 0 0,0 0 1,0 0-1,0 0 1,0 0-1,0 0 0,-1 1 1,1-1-1,0 0 1,0 0-1,0 0 0,0 0 1,0 0-1,0 0 1,0 0-1,0 0 1,0 1-1,-1-1 0,1 0 1,0 0-1,0 0 1,0 0-1,0 0 0,0 0 1,0 0-1,0 0 1,-1 0-1,1 0 0,0 0 1,0 0-1,0 0 1,0 0-1,0 0 0,-1 0 1,1 0-1,0 0 1,0 0-1,0 0 1,0 0-1,0 0 0,0 0 1,-1 0-1,1 0 1,0 0-1,1 13-155,1-8-81,-1 0 0,1 0 0,1 0 0,-1-1 0,1 1 0,0-1 1,6 8-1,28 25-6248,-18-21-342</inkml:trace>
  <inkml:trace contextRef="#ctx0" brushRef="#br0" timeOffset="3064.42">2510 660 6451,'0'0'8513,"-2"3"-8382,1 0-121,0-1 1,0 1 0,0 0-1,0 0 1,1 0-1,-1 0 1,1 0 0,0 0-1,-1 0 1,1 0-1,1 0 1,-1 0-1,0-1 1,1 1 0,0 0-1,-1 0 1,1 0-1,0 0 1,0 0-1,1-1 1,-1 1 0,2 2-1,-2-3-31,1 0-1,-1-1 1,0 1-1,0 0 1,1-1-1,-1 1 1,1-1-1,-1 1 1,1-1-1,0 0 1,-1 0-1,1 0 1,0 0-1,0 0 1,0 0-1,0 0 1,0-1-1,0 1 1,0-1-1,0 1 0,0-1 1,0 0-1,0 0 1,0 0-1,0 0 1,0 0-1,0 0 1,1 0-1,-1-1 1,0 1-1,0-1 1,0 0-1,0 1 1,2-3-1,-1 1-4,0 0-1,-1 0 1,1-1-1,-1 1 1,0-1-1,0 1 1,0-1 0,0 0-1,0 0 1,0 0-1,-1 0 1,0 0-1,1 0 1,-1 0-1,1-5 1,9-53 273,-11 61-244,2-12 680,-1-1 1,0 0-1,-1 0 1,-2-13-1,1 25-611,0 0-1,0 0 1,-1 0-1,1 0 1,0 0-1,0 1 0,-1-1 1,1 0-1,0 1 1,-1-1-1,1 1 0,-1-1 1,1 1-1,-1 0 1,1 0-1,-1 0 0,1 0 1,-1 0-1,1 0 1,-1 0-1,1 0 1,0 0-1,-1 1 0,1-1 1,-1 0-1,1 1 1,0 0-1,-1-1 0,-1 2 1,-1 3-56,-1 1 0,1 0 0,1 0 0,-1 0 0,1 0 0,0 0 0,0 1 0,1-1-1,0 1 1,0 0 0,0 0 0,1 0 0,-1 9 0,0 17 51,1 48-1,1-78-65,0 1-22,1 0 1,-1-1-1,0 1 0,1 0 0,0-1 0,0 1 0,0-1 0,1 1 0,-1-1 0,1 0 0,-1 1 1,1-1-1,0 0 0,0 0 0,1 0 0,-1 0 0,1-1 0,-1 1 0,1-1 0,0 1 0,0-1 1,0 0-1,0 0 0,0-1 0,1 1 0,-1 0 0,0-1 0,1 0 0,4 1 0,9 2-1572,0-1-1,1 0 1,-1-1-1,32-2 1,-48 0 1383,41 0-4896</inkml:trace>
  <inkml:trace contextRef="#ctx0" brushRef="#br0" timeOffset="4296.25">3364 331 9124,'0'0'12638,"-12"-15"-11958,-36-45-290,47 59-382,1 0 0,-1 0 0,1 0 0,-1 1 0,1-1 0,-1 0 0,0 0 0,0 1 0,1-1 0,-1 0 0,0 1 1,0-1-1,0 1 0,0-1 0,0 1 0,1-1 0,-1 1 0,0 0 0,0-1 0,0 1 0,0 0 0,0 0 0,0 0 0,0 0 0,-2 0 0,-5 13 125,7-9-91,-4 8 4,1-1 0,1 1 1,0 0-1,0 0 0,-1 24 0,3 66 210,1-61-202,0-26-48,1-1 0,0 1 0,1-1 0,1 1 0,0-1 0,1 0 0,1 0 0,0-1 0,0 1 0,2-1 0,0 0 0,0-1 0,1 1 0,0-1 0,19 19 0,-22-27-71,0 0 1,0 0-1,1-1 0,0 1 0,0-1 1,0 0-1,0-1 0,0 0 1,0 1-1,1-2 0,-1 1 1,1-1-1,-1 0 0,1-1 1,-1 1-1,1-1 0,0-1 0,-1 1 1,12-3-1,-15 2 54,0 0 0,0-1 0,-1 1 0,1-1 0,0 1 0,-1-1 0,1 0 0,-1 0 0,0 0 0,0 0 0,0 0 0,0 0 0,0-1 0,0 1 0,-1-1 0,1 1 0,-1-1 0,1 0 0,-1 0 0,0 1 0,0-1 0,-1 0 0,1 0 0,0-6 0,2-9 28,-1 0 0,-2 0 0,0-19 0,0 18-10,0 14 63,0 0 1,0 0-1,0 0 1,0 0-1,-1 0 1,0 0-1,0 0 1,0 0 0,-1 0-1,1 0 1,-1 1-1,0-1 1,-6-8-1,8 13-68,0-1 0,0 1 1,0 0-1,0 0 0,0 0 0,-1 0 0,1-1 1,0 1-1,0 0 0,0 0 0,0 0 0,0 0 1,0-1-1,-1 1 0,1 0 0,0 0 0,0 0 1,0 0-1,-1 0 0,1 0 0,0 0 0,0 0 1,0 0-1,0 0 0,-1-1 0,1 1 0,0 0 1,0 0-1,0 0 0,-1 0 0,1 0 0,0 0 1,0 1-1,0-1 0,-1 0 0,1 0 0,0 0 1,0 0-1,-1 0 0,-3 9-61,2 11-32,2-20 92,-1 4-69,1 0 0,0 0 0,0 0 0,0 0 0,1 0 0,-1 0 0,1 0 0,0-1 1,0 1-1,0 0 0,1 0 0,-1 0 0,1-1 0,0 1 0,0-1 0,0 0 0,1 1 0,-1-1 0,1 0 0,-1 0 1,1-1-1,0 1 0,0 0 0,1-1 0,-1 0 0,0 0 0,1 0 0,-1 0 0,1 0 0,0-1 0,-1 0 1,7 2-1,-6-2-196,-1 0 0,1 0 1,0 0-1,-1 0 0,1-1 1,0 0-1,0 1 0,-1-1 1,1-1-1,0 1 0,0-1 1,-1 1-1,1-1 0,0 0 1,-1 0-1,7-4 0,-7 4 224,-1-1 0,0 0 0,0 0-1,0 0 1,0 0 0,0-1 0,0 1-1,0-1 1,-1 1 0,1-1 0,-1 1-1,0-1 1,0 0 0,0 1 0,0-1-1,0 0 1,-1 0 0,1 0 0,-1 0-1,0 0 1,0-4 0,1 0 378,-1-1-1,0 1 1,0 0-1,-1-1 1,0 1 0,-1-1-1,1 1 1,-6-13 0,6 17-209,-1 0 1,0 0-1,0 0 0,0 1 1,0-1-1,-1 0 0,1 1 1,-1 0-1,1-1 1,-1 1-1,0 0 0,0 0 1,0 1-1,0-1 1,0 1-1,0-1 0,0 1 1,-1 0-1,1 0 0,0 0 1,-5 0-1,5 0-99,0 1 0,0-1 0,0 1-1,0 0 1,1 0 0,-1 0 0,0 0 0,0 0-1,0 0 1,0 1 0,1-1 0,-1 1-1,0 0 1,0 0 0,1 0 0,-1 0 0,1 1-1,-1-1 1,1 1 0,0-1 0,-1 1 0,1 0-1,0 0 1,0 0 0,-2 3 0,0 0-21,1 1 0,1 0 1,-1 0-1,1 0 1,0 1-1,0-1 0,1 0 1,0 1-1,0-1 1,0 9-1,0 2 9,0-1 1,1 1-1,0 0 1,2-1-1,3 21 0,-3-31-31,-1-1 0,1 1 0,0-1 0,1 1 0,-1-1 0,1 0 1,0 0-1,1 0 0,-1-1 0,1 1 0,0-1 0,0 0 0,0 0 0,0 0 0,1 0 0,0-1 0,-1 0 0,9 4 0,-7-3-20,1-1 0,-1 0 0,1-1 0,0 1 1,0-1-1,0-1 0,0 1 0,0-1 0,0 0 0,0-1 0,1 0 0,-1 0 0,0 0 1,0-1-1,0 0 0,1-1 0,-1 1 0,-1-1 0,1-1 0,0 1 0,0-1 1,-1 0-1,0-1 0,1 0 0,-1 0 0,-1 0 0,1 0 0,0-1 0,-1 0 1,0-1-1,0 1 0,-1-1 0,6-8 0,-4 2 258,0 1 0,-1-1 0,0 0 0,0-1 0,-2 1-1,0-1 1,0 0 0,1-13 0,-1-17 446,-3-47-1,0 44-329,-1 23-163,0 0 0,-1 0 0,-6-25 0,6 37-25,-1 0-1,-1 1 0,0-1 1,0 1-1,-1-1 0,0 2 1,-1-1-1,-9-12 0,15 22-143,0 0 0,0-1 0,0 1 0,-1 0 0,1 0 0,0-1 0,0 1 0,0 0-1,-1 0 1,1 0 0,0-1 0,0 1 0,-1 0 0,1 0 0,0 0 0,0-1 0,-1 1-1,1 0 1,0 0 0,-1 0 0,1 0 0,0 0 0,0 0 0,-1 0 0,1 0 0,0 0 0,-1 0-1,1 0 1,0 0 0,-1 0 0,1 0 0,0 0 0,-1 0 0,1 0 0,0 0 0,0 0-1,-1 0 1,1 0 0,0 1 0,-1-1 0,1 0 0,0 0 0,0 0 0,-1 1 0,1-1-1,0 0 1,0 0 0,0 0 0,-1 1 0,1-1 0,0 0 0,0 1 0,0-1 0,0 0 0,0 0-1,-1 1 1,1-1 0,0 0 0,0 1 0,0-1 0,0 0 0,0 1 0,0-1 0,0 0-1,0 0 1,0 1 0,0 0 0,-3 28-142,2-24 166,-1 31-17,1 1 1,1-1-1,2 0 1,9 48-1,-6-60-54,1 0-1,1-1 0,1 1 1,1-2-1,1 1 0,1-1 1,19 29-1,-26-46-116,0 0-1,0 0 1,1 0 0,-1-1 0,1 0-1,0 0 1,0 0 0,0 0 0,1-1 0,-1 0-1,1 0 1,7 3 0,-10-5 116,0 0 1,0 0-1,0-1 1,0 1-1,0-1 0,1 1 1,-1-1-1,0 0 1,0 0-1,0 0 0,0-1 1,0 1-1,0-1 1,0 0-1,0 0 0,0 0 1,0 0-1,0 0 1,0-1-1,-1 1 0,1-1 1,0 1-1,-1-1 1,1 0-1,-1 0 0,3-4 1,1-2 3,0 0-1,0-1 1,-1 0 0,0 0 0,0-1 0,-1 1 0,-1-1 0,1 0 0,-2 0-1,1 0 1,-1 0 0,0-12 0,0-10 102,-1 0 0,-5-52 0,1 59 235,-1 0 1,0 0-1,-2 1 1,-1 0-1,-1 0 0,-1 0 1,-22-40-1,21 53 148,4 15-152,2 22-195,3 2-33,1 1 0,1-1 0,1 0-1,2 0 1,1 0 0,8 26 0,78 188 157,-42-144-2562,-46-93 1781,4 14-3886</inkml:trace>
  <inkml:trace contextRef="#ctx0" brushRef="#br0" timeOffset="5727.91">1193 1339 304,'0'0'11264,"-4"-3"-9727,0-1-2677,-6-6 7223,10 10-6007,0 0 0,0-1 0,0 1 0,0 0 0,0 0 0,0-1 1,0 1-1,0 0 0,0 0 0,0-1 0,1 1 0,-1 0 0,0 0 0,0-1 0,0 1 1,0 0-1,0 0 0,0 0 0,1-1 0,-1 1 0,0 0 0,0 0 0,0 0 1,1 0-1,-1-1 0,0 1 0,0 0 0,0 0 0,1 0 0,-1 0 0,0 0 1,0 0-1,1 0 0,-1 0 0,0 0 0,0 0 0,1 0 0,-1 0 0,0 0 1,0 0-1,1 0 0,-1 0 0,0 0 0,0 0 0,1 0 0,-1 0 0,0 0 0,0 0 1,1 0-1,-1 0 0,0 0 0,1 1 0,42-1 538,1-2-1,60-11 1,104-10 79,-34 6-394,-45-5-125,-47 7-98,99-6 0,380-32 417,-160 9 9,-143 16-397,90-7 102,7-9 616,-245 26-293,194-8 1,-220 24-413,-32 0 62,81 7-1,-122-2-1282,-18-1-1859,-19-1-6438,-3-1-4699</inkml:trace>
  <inkml:trace contextRef="#ctx0" brushRef="#br0" timeOffset="7924.17">5159 482 3426,'0'0'14017,"-9"-4"-12942,-28-8-355,28 9-309,17 4-343,1 0 0,-1 0 0,0-1 0,0 0 0,12-2 0,11 1 66,28 1-82,13 1-785,1-2-1,125-20 1,-190 19 120,36-9-1464,-42 10 1701,-1 1-1,1-1 1,-1 1-1,1-1 1,-1 0-1,1 1 1,-1-1-1,0 0 1,1 0-1,-1 0 1,0 0-1,0-1 1,0 1-1,1 0 0,-1 0 1,0-1-1,-1 1 1,1 0-1,0-1 1,0 1-1,0-3 1,0-11-6182</inkml:trace>
  <inkml:trace contextRef="#ctx0" brushRef="#br0" timeOffset="8112.78">5490 322 1713,'0'0'13526,"19"13"-12838,11 9-127,0 3-529,-6 1 112,-3 1-144,-12-1 0,-9 0-96,0 1-48,-15-3-849,-15-1-127,-4-1-1554,6-5-2112</inkml:trace>
  <inkml:trace contextRef="#ctx0" brushRef="#br0" timeOffset="8736.79">6111 203 12070,'0'0'11549,"-1"11"-11498,2 11 16,1-1 1,0 0 0,1 1-1,2-2 1,11 36 0,50 112 346,-12-34-255,-49-127 120,-4-21-219,-3-25-77,-9-7-81,-1-1 0,-20-47 0,-6-20-69,29 86 149,3-1-1,0 0 1,2-1 0,1 1 0,1-47 0,2 74 12,0 0 0,0 1 1,1-1-1,-1 1 1,1-1-1,-1 1 1,1-1-1,0 1 0,0-1 1,-1 1-1,1 0 1,0-1-1,0 1 0,1 0 1,-1 0-1,0 0 1,0 0-1,0 0 1,1 0-1,-1 0 0,0 0 1,1 0-1,-1 1 1,1-1-1,-1 0 1,1 1-1,-1-1 0,1 1 1,2-1-1,0 1-6,-1-1-1,1 1 1,0 0-1,0 0 0,0 0 1,0 0-1,0 1 1,-1-1-1,1 1 0,0 0 1,0 0-1,3 2 1,0 1 2,0 1 0,0 0-1,-1 1 1,0-1 0,0 1 0,0 0 0,-1 0 0,0 1 0,0 0 0,0 0 0,-1 0 0,0 0 0,4 12 0,-1-3 7,-1 0 0,-1 0 0,0 1 1,-1-1-1,3 30 0,-6-31-7,0 1 0,-1 0-1,-1 0 1,0 0-1,-1-1 1,-6 24 0,6-33 13,0-1 1,0 1-1,-1 0 1,1-1-1,-1 0 1,-1 0-1,1 0 1,-1 0-1,1 0 1,-2-1-1,1 1 1,0-1-1,-1 0 1,0-1-1,0 1 1,0-1-1,0 0 1,0 0-1,-9 3 1,13-5 2,0 0 1,0-1-1,-1 1 1,1-1 0,0 1-1,0-1 1,0 1-1,0-1 1,0 0 0,0 0-1,-1 0 1,1 1 0,0-1-1,0 0 1,0 0-1,-1-1 1,1 1 0,0 0-1,0 0 1,0-1-1,0 1 1,0 0 0,-1-1-1,0 0 1,1-1 12,0 0-1,0 0 1,0 0 0,1 1-1,-1-1 1,1 0 0,-1 0-1,1 0 1,0 0 0,0 0-1,0 0 1,0-4 0,1 6-23,-1-1 0,1 1 1,-1-1-1,0 1 0,1-1 1,-1 1-1,1 0 1,-1-1-1,1 1 0,-1-1 1,1 1-1,0 0 0,-1-1 1,1 1-1,-1 0 0,1 0 1,0 0-1,-1-1 0,1 1 1,-1 0-1,1 0 0,0 0 1,-1 0-1,1 0 0,0 0 1,-1 0-1,1 0 0,1 1 1,24 2-86,-14 2 9,1 1 0,-1 0 0,-1 0 0,1 1 1,-1 1-1,0 0 0,-1 0 0,0 1 0,14 17 0,-10-12-1548,0-1 0,0 0-1,2-1 1,20 13 0,-8-13-3743</inkml:trace>
  <inkml:trace contextRef="#ctx0" brushRef="#br0" timeOffset="10565.3">6545 497 3666,'0'0'14115,"-2"-6"-12962,0 2-1066,-4-9 39,3 32-102,3-15-10,0 0 0,0-1 0,0 1-1,0 0 1,1 0 0,0 0 0,0 0-1,0-1 1,0 1 0,0 0-1,1-1 1,3 8 0,-3-9-47,0-1 0,1 1 0,-1 0 0,0 0 0,1-1 0,-1 1 0,0-1 0,1 0 1,0 0-1,-1 0 0,1 0 0,0 0 0,-1-1 0,1 1 0,0-1 0,0 0 0,0 1 0,0-1 0,3-1 0,-3 2-20,0-1 0,-1 0-1,1 0 1,0 0 0,0 0 0,-1 0-1,1-1 1,0 1 0,0-1-1,-1 0 1,1 0 0,-1 0 0,1 0-1,-1 0 1,1 0 0,-1-1-1,0 1 1,1-1 0,-1 0 0,0 1-1,0-1 1,0 0 0,0 0-1,-1-1 1,1 1 0,0 0 0,-1 0-1,0-1 1,1 1 0,-1-1-1,0 1 1,0-1 0,-1 0 0,1 1-1,0-1 1,-1-5 0,2 2 134,-1-1 1,-1 1-1,1-1 1,-1 1-1,0-1 1,-1 1-1,0-1 1,0 1 0,-3-13-1,3 17-1,-1-1 0,1 1 0,0 0 0,-1 0-1,1-1 1,-1 1 0,1 0 0,-1 1 0,0-1 0,0 0 0,0 0 0,0 1 0,0-1-1,-1 1 1,1 0 0,0-1 0,0 1 0,-1 0 0,1 1 0,-1-1 0,1 0-1,-1 1 1,0-1 0,1 1 0,-1 0 0,1 0 0,-5 0 0,4 0-62,1 0 0,-1 0 1,1 0-1,-1 0 1,1 1-1,-1-1 0,1 1 1,-1 0-1,1-1 0,-1 1 1,1 0-1,0 1 1,-1-1-1,1 0 0,0 1 1,0-1-1,0 1 0,0-1 1,0 1-1,0 0 1,1 0-1,-1 0 0,0 0 1,1 0-1,0 0 0,-1 1 1,1-1-1,0 0 0,0 1 1,1-1-1,-1 1 1,0-1-1,1 1 0,-1 3 1,-1 1-49,1 0 0,0 0 0,0 0 0,1 0 0,0 0-1,0 0 1,0 0 0,1 0 0,0 0 0,1 0 0,-1-1 0,1 1 0,1 0 0,-1-1 0,1 1 0,0-1 0,1 0 0,-1 0 0,1 0 0,0 0 0,1-1 0,-1 0 0,1 0 0,0 0 0,1 0 0,-1-1 0,1 0 0,0 0 0,0 0 0,0-1 0,0 0 0,1 0 0,-1 0 0,1-1 0,0 0 0,-1-1 0,1 1 0,12 0-1,-16-1-27,1-1 0,0 1 0,0-1 0,-1 0-1,1 0 1,0 0 0,0 0 0,0-1 0,-1 0-1,1 1 1,0-1 0,-1-1 0,1 1 0,-1 0-1,1-1 1,-1 0 0,0 0 0,0 0 0,1 0-1,-1 0 1,-1-1 0,1 1 0,0-1-1,-1 0 1,1 0 0,-1 0 0,0 0 0,0 0-1,0 0 1,0-1 0,-1 1 0,2-4 0,6-15 130,-2 0 0,-1-1 0,0 0 0,-2 0 0,0 0 1,0-28-1,-8-143 1752,-1 146-638,-2 0 0,-17-62 1,24 110-1153,0 0 0,0 0 0,0 0 0,0-1 0,0 1 0,0 0 0,0 0 0,0-1 0,0 1 0,0 0 1,0 0-1,0-1 0,0 1 0,0 0 0,0 0 0,0 0 0,0-1 0,0 1 0,0 0 0,0 0 0,0 0 0,0-1 1,-1 1-1,1 0 0,0 0 0,0 0 0,0-1 0,0 1 0,-1 0 0,1 0 0,0 0 0,0 0 0,0 0 0,0 0 1,-1-1-1,1 1 0,0 0 0,0 0 0,-1 0 0,1 0 0,0 0 0,0 0 0,0 0 0,-1 0 0,-2 12 292,0 24-361,1 25 348,3-1 0,3 0 0,18 95 0,-20-144-282,32 133 273,54 145 1,-55-211-229,-30-72-103,1 1 1,0-1-1,0 0 1,0 0-1,1 0 1,-1-1-1,1 0 1,12 10-1,-16-14 25,0-1-1,-1 1 1,1-1 0,0 1-1,0 0 1,1-1 0,-1 0-1,0 1 1,0-1-1,0 0 1,0 1 0,0-1-1,0 0 1,0 0-1,1 0 1,-1 0 0,0 0-1,0 0 1,0 0-1,0-1 1,0 1 0,0 0-1,1-1 1,0 0-1,0 0 3,0 0-1,-1-1 1,1 1-1,0-1 1,-1 1-1,1-1 1,-1 0-1,0 1 1,0-1-1,0 0 1,0 0-1,1-2 1,2-6 5,-1 0 1,0 0 0,0 0 0,1-12 0,-1 1-57,-1 0 1,-1 0-1,-1-1 1,-1 1-1,-4-28 0,2 36 16,0 0-1,-1 0 1,0 1-1,0-1 1,-2 1-1,1 0 1,-2 1-1,1 0 0,-16-19 1,17 23 17,-35-39-106,37 43 105,-1 0 0,1 0 0,0 1-1,-1-1 1,1 0 0,-1 1 0,0 0 0,0 0 0,0 0 0,-8-2 0,12 4-35,-1 1 1,1-1 0,-1 1-1,1-1 1,0 0 0,-1 1-1,1-1 1,0 1 0,-1-1-1,1 1 1,0-1 0,0 1-1,-1-1 1,1 1 0,0-1-1,0 1 1,0 0 0,0-1-1,0 1 1,0-1 0,0 1-1,0-1 1,0 1 0,0 0-1,0-1 1,0 1-1,1 0 1,1 20-174,-1-18 146,1 1 1,0 0-1,0 0 1,0-1-1,1 0 1,-1 1-1,1-1 1,0 0-1,0 0 1,0 0-1,0 0 1,1-1-1,-1 0 1,1 1-1,-1-1 0,1 0 1,0 0-1,0-1 1,-1 1-1,7 0 1,-3 1-198,1-1 0,0-1 1,-1 1-1,1-1 0,0-1 0,-1 1 1,1-2-1,0 1 0,0-1 1,10-2-1,-16 2 258,1 0 1,0 0-1,-1-1 0,1 0 1,-1 1-1,0-1 0,1 0 1,-1 0-1,0 0 0,0 0 1,0-1-1,-1 1 1,1-1-1,0 1 0,-1-1 1,0 1-1,1-1 0,-1 0 1,0 1-1,-1-1 0,1 0 1,0 0-1,0-4 1,1-9 423,0 0 1,-1-30-1,-1 41-220,0-51 2185,0 55-1913,0 19-566,0-11 88,0 0 0,1 0 0,-1 0 0,1 0 0,1 0 0,-1 0 0,4 9 0,-4-14-43,0 0 0,1 0-1,-1 0 1,0 0 0,1 0-1,-1 0 1,1-1 0,-1 1-1,1 0 1,0-1 0,-1 0 0,1 1-1,0-1 1,0 0 0,0 0-1,0 0 1,1 0 0,-1 0-1,0 0 1,0-1 0,1 1-1,-1-1 1,0 1 0,0-1 0,1 0-1,3 0 1,-5 0 46,1-1 0,0 1 0,-1 0 0,1-1 0,-1 1-1,1-1 1,-1 0 0,1 1 0,-1-1 0,1 0 0,-1 0 0,0 0 0,1 0 0,-1 0 0,0 0 0,0 0 0,0 0 0,0 0-1,0-1 1,0 1 0,0 0 0,0-1 0,0 1 0,-1-1 0,1 1 0,-1-1 0,1 1 0,-1-1 0,1 0 0,-1 1 0,0-1-1,0-2 1,2-10 50,-1 0 0,-1 0 0,-2-15 0,1 5-16,1 18 103,0 0 0,0 1 0,-1-1-1,0 1 1,0-1 0,-1 1 0,0-1 0,1 1 0,-5-7-1,5 10-77,0 1-1,0-1 0,0 0 0,0 1 0,0-1 1,-1 1-1,1-1 0,-1 1 0,1 0 1,-1-1-1,1 1 0,-1 0 0,0 0 0,0 0 1,1 0-1,-1 1 0,0-1 0,0 0 1,0 1-1,0-1 0,0 1 0,0 0 0,0-1 1,0 1-1,0 0 0,0 0 0,0 1 1,-3 0-1,3 0-37,-1 0 0,1 0 0,0 0 0,0 0 0,0 1 1,0-1-1,1 1 0,-1 0 0,0-1 0,1 1 0,-1 0 0,1 0 1,-1 0-1,1 0 0,0 0 0,0 0 0,0 0 0,0 1 0,0-1 1,1 0-1,-1 1 0,1-1 0,-1 4 0,-6 59-3,6-51-10,1-1-1,1 1 1,0 0-1,1 0 0,1-1 1,0 1-1,0-1 0,7 15 1,-7-22-5,0 1 1,0-1 0,0 0-1,1 0 1,0-1-1,0 1 1,1-1-1,0 0 1,0 0 0,0 0-1,0-1 1,1 0-1,0 0 1,-1 0 0,1 0-1,1-1 1,-1 0-1,8 2 1,-11-4-17,0 0 1,0 0-1,1 0 0,-1 0 1,1 0-1,-1-1 1,1 0-1,-1 1 0,1-2 1,-1 1-1,0 0 0,1 0 1,-1-1-1,1 0 0,-1 0 1,0 0-1,1 0 1,-1 0-1,0-1 0,0 1 1,0-1-1,0 0 0,4-3 1,-3 0 43,-1 1 1,1 0 0,-1-1 0,0 0-1,0 0 1,-1 0 0,0 0-1,1 0 1,-2-1 0,1 1-1,-1-1 1,1 1 0,0-12-1,0-6 234,0-1 0,-2 0 0,0 0 0,-4-24 0,-2 31 105,6 16-330,0 0 0,0 1 0,-1-1 1,1 0-1,0 1 0,0-1 0,-1 0 1,1 1-1,0-1 0,-1 1 0,1-1 0,-1 1 1,1-1-1,0 1 0,-1-1 0,1 1 0,-1-1 1,0 1-1,1-1 0,-1 1 0,1 0 1,-1-1-1,0 1 0,1 0 0,-1 0 0,1 0 1,-1-1-1,-1 1 0,1 3-36,0 0 1,0 0-1,1 1 0,-1-1 0,1 0 1,-1 0-1,1 1 0,0-1 0,0 0 1,1 6-1,-1-5-12,0 1-39,0 0 0,0 0 1,0 0-1,1 0 1,-1 0-1,1 0 1,0 0-1,1 0 1,-1-1-1,1 1 1,0 0-1,0-1 0,0 1 1,1-1-1,0 0 1,0 0-1,0 0 1,0 0-1,0 0 1,1-1-1,0 0 0,0 1 1,0-1-1,0-1 1,0 1-1,0-1 1,6 3-1,-8-4 35,-1 0 1,1 0-1,0-1 0,1 1 1,-1 0-1,0-1 0,0 0 1,0 1-1,0-1 0,0 0 0,0 0 1,0 0-1,0 0 0,1-1 1,-1 1-1,0-1 0,0 1 1,0-1-1,0 0 0,0 1 1,0-1-1,0 0 0,-1 0 1,1-1-1,0 1 0,0 0 0,-1 0 1,1-1-1,-1 1 0,1-1 1,-1 0-1,0 1 0,1-1 1,-1 0-1,0 0 0,0 0 1,0 0-1,0 0 0,-1 0 0,1 0 1,-1 0-1,1-3 0,3-11 447,-2 0-1,0 0 1,-1 0-1,-2-26 1,1 23 389,-1 44-259,0-4-462,1-1 1,0 1-1,2 0 0,7 40 1,-8-57-176,0 0 0,0 1 1,1-1-1,0 1 0,-1-1 1,1 0-1,1 0 0,-1 0 1,0 0-1,1-1 0,0 1 1,0-1-1,0 1 0,1-1 1,-1 0-1,1 0 0,-1 0 1,1-1-1,0 0 0,0 1 1,0-1-1,0 0 0,1-1 1,-1 1-1,0-1 0,1 0 1,-1 0-1,1 0 0,-1-1 1,9 1-1,-11-2 87,1 1 1,-1-1-1,0 1 0,1-1 1,-1 0-1,0 0 0,0 0 0,0 0 1,0 0-1,0 0 0,0-1 1,0 1-1,0-1 0,0 1 1,-1-1-1,1 0 0,-1 1 1,1-1-1,-1 0 0,0 0 1,1 0-1,-1 0 0,0-1 1,0 1-1,0-3 0,4-8 98,-1-1 0,6-27-1,-9 36-35,2-21 417,0 0 0,-3-45 0,0 39-113,1 29-292,-1 0 0,0-1 0,0 1-1,0 0 1,-1 0 0,1-1 0,-1 1-1,1 0 1,-1 0 0,0 0 0,0 0-1,0 0 1,-1 0 0,1 0 0,-1 0-1,0 1 1,0-1 0,0 0 0,-2-2 0,2 13 18,2 1-90,1 0 1,0 0-1,0 0 1,1 1 0,1-2-1,-1 1 1,2 0 0,-1 0-1,1-1 1,0 0-1,10 14 1,4 3-96,2-2-1,27 27 1,-3-3-731,-42-45 707,0 0 1,-1 1-1,1-1 1,0 1-1,-1-1 1,1 1-1,-1-1 0,0 1 1,0 0-1,1 4 1,-2-6 62,0 0 1,0 0-1,0 0 1,0-1-1,0 1 1,0 0-1,0 0 1,0 0 0,0 0-1,0-1 1,-1 1-1,1 0 1,0 0-1,-1-1 1,1 1-1,-1 0 1,1-1 0,-1 1-1,1 0 1,-1-1-1,1 1 1,-1 0-1,1-1 1,-1 1-1,0-1 1,0 0-1,1 1 1,-1-1 0,0 1-1,1-1 1,-1 0-1,0 1 1,0-1-1,0 0 1,1 0-1,-1 0 1,0 0-1,-1 0 1,-51 3-4897,26-3-27</inkml:trace>
  <inkml:trace contextRef="#ctx0" brushRef="#br0" timeOffset="10877.5">8444 218 14903,'0'0'11813,"1"6"-11623,28 115-137,-11-40-553,29 80 0,-24-99-4028</inkml:trace>
  <inkml:trace contextRef="#ctx0" brushRef="#br0" timeOffset="11331.12">8380 421 4610,'0'0'8180,"15"3"-8097,1-1 3,107 14-1192,-36-10-2445,-84-6 3584,-1 0 0,1 0 0,0-1 0,-1 1 0,1-1 0,0 1-1,-1-1 1,1 0 0,0 0 0,-1 0 0,1 0 0,-1 0 0,0-1-1,1 1 1,-1-1 0,0 0 0,0 1 0,0-1 0,0 0-1,0 0 1,-1 0 0,1-1 0,0 1 0,-1 0 0,0-1 0,1 1-1,-1 0 1,0-1 0,1-4 0,1-6 1797,-1 1 0,0-1 0,-1 0 0,0 0 1,-1-12-1,0 17-460,0 8-1333,0 0 0,0-1 0,0 1 0,0 0 0,-1-1 0,1 1-1,0 0 1,0-1 0,0 1 0,0 0 0,-1 0 0,1-1 0,0 1 0,0 0 0,0 0-1,-1-1 1,1 1 0,0 0 0,0 0 0,-1-1 0,1 1 0,0 0 0,-1 0 0,1 0-1,0 0 1,-1 0 0,1-1 0,0 1 0,-1 0 0,1 0 0,0 0 0,-1 0 0,1 0-1,0 0 1,-1 0 0,1 0 0,0 0 0,-1 0 0,1 0 0,0 1 0,-1-1 0,1 0-1,0 0 1,-1 0 0,1 0 0,0 0 0,-1 1 0,1-1 0,0 0 0,0 0 0,-1 0 0,1 1-1,0-1 1,0 0 0,-1 1 0,1-1 0,0 1 0,-3 3-26,1 0 0,0 0 0,0 1 0,1-1 0,-1 1 0,1-1 0,0 1 0,0-1 0,0 9 1,0 48 36,1-43-44,0-10-55,1-1 0,0 1 0,0-1 0,1 1 0,0-1-1,0 0 1,1 0 0,0 0 0,0 0 0,1 0 0,0-1 0,0 1 0,0-1 0,1 0 0,0-1 0,0 1 0,0-1 0,1 0 0,-1 0 0,1 0 0,1-1 0,-1 0 0,1 0 0,-1-1 0,1 0 0,0 0 0,0 0 0,1-1 0,-1 0 0,0-1 0,14 2 0,-20-3 50,1 0 0,-1 0 1,1 0-1,-1-1 0,1 1 1,-1 0-1,1-1 0,-1 1 0,1-1 1,-1 1-1,0-1 0,1 0 1,-1 0-1,0 0 0,0 1 0,1-1 1,-1 0-1,0-1 0,0 1 0,1-2 1,0 0 11,0 0-1,-1 0 1,1 0 0,-1 0 0,0 0-1,0-1 1,0 1 0,1-7 0,-1-1 26,0 0 0,-1-1 0,0 1 0,-3-20 0,2 28-31,1 0 1,-1-1-1,0 1 1,0 0 0,-1 0-1,1 0 1,-1 0-1,1 0 1,-1 0-1,0 0 1,0 1 0,0-1-1,0 0 1,-1 1-1,1 0 1,-1-1 0,1 1-1,-1 0 1,0 1-1,0-1 1,0 0 0,0 1-1,0-1 1,0 1-1,-5-1 1,-5-1-775,-1 0 1,1 1 0,-1 1-1,-24 1 1,8 0-4329</inkml:trace>
</inkml:ink>
</file>

<file path=xl/ink/ink80.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30:33.132"/>
    </inkml:context>
    <inkml:brush xml:id="br0">
      <inkml:brushProperty name="width" value="0.05" units="cm"/>
      <inkml:brushProperty name="height" value="0.05" units="cm"/>
      <inkml:brushProperty name="color" value="#F6630D"/>
    </inkml:brush>
  </inkml:definitions>
  <inkml:trace contextRef="#ctx0" brushRef="#br0">40 161 4338,'0'0'8876,"-6"4"-8703,3-3-184,1 0-1,0 0 1,0 0-1,0 0 1,0 1-1,1-1 0,-1 1 1,0-1-1,0 1 1,1 0-1,-1 0 0,1 0 1,0 0-1,-1 0 1,1 0-1,0 0 1,0 0-1,0 0 0,1 0 1,-1 1-1,0-1 1,1 0-1,0 1 0,-1-1 1,1 0-1,0 1 1,0-1-1,0 0 1,1 1-1,-1-1 0,0 0 1,1 1-1,0-1 1,-1 0-1,1 0 0,0 0 1,0 0-1,0 1 1,0-1-1,3 3 1,-1-3-201,0 1 0,0 0 1,1-1-1,-1 1 1,1-1-1,-1 0 0,1 0 1,0-1-1,0 1 1,0-1-1,0 1 1,0-1-1,0-1 0,0 1 1,0 0-1,5-1 1,-7 0 36,1 1 1,0-1-1,0 0 1,-1 0-1,1-1 1,0 1-1,0-1 1,-1 1 0,1-1-1,0 0 1,-1 0-1,1 0 1,-1 0-1,1 0 1,-1-1-1,0 1 1,1-1-1,-1 1 1,0-1 0,0 0-1,0 0 1,0 0-1,0 0 1,2-4-1,-2 1 64,0 0-1,-1 0 1,1-1-1,-1 1 1,0 0-1,0-11 0,-1-16 4367,0 15 2332,0 19-5792,0 25-709,2 1-1,1-1 1,8 37-1,-8-52-141,0 0 0,1 0 0,0 0 0,1-1 0,1 1 0,0-1 0,0-1-1,1 1 1,14 17 0,-2-13-2396,0-8-2107</inkml:trace>
  <inkml:trace contextRef="#ctx0" brushRef="#br0" timeOffset="278.27">433 199 7347,'0'0'14997,"5"12"-14893,15 48 488,18 85 1,10 38-3718</inkml:trace>
  <inkml:trace contextRef="#ctx0" brushRef="#br0" timeOffset="625.49">475 461 3522,'0'0'12443,"-2"-6"-12022,1 6-416,1-1-1,-1 0 1,1 0 0,-1 1-1,1-1 1,0 0 0,-1 0-1,1 0 1,0 0-1,0 0 1,0 1 0,-1-1-1,1 0 1,0 0-1,0 0 1,0 0 0,1 0-1,-1 0 1,0 0 0,0 0-1,0 1 1,1-1-1,-1 0 1,1-1 0,22-8 214,-6 5-191,-11 4-102,0-1 0,-1-1 0,1 1-1,-1-1 1,1 0 0,-1-1 0,0 1 0,0-1 0,0 0 0,0 0 0,-1 0-1,0-1 1,0 0 0,0 1 0,0-1 0,-1-1 0,0 1 0,0 0 0,0-1-1,-1 0 1,3-10 0,0-6 786,-1 0-1,-2 1 0,0-1 1,-2-39-1,0 30 2531,0 48-3085,-1 17-150,2 0-1,1 1 1,2-1 0,1-1-1,17 59 1,-17-77-350,1 0-1,0 0 0,1 0 1,16 25-1,-9-31-3643,-3-8-3234</inkml:trace>
  <inkml:trace contextRef="#ctx0" brushRef="#br0" timeOffset="1463.13">781 380 5555,'0'0'7755,"0"7"-7696,0 0-104,1-1 0,-1 1 0,1-1-1,0 0 1,0 1 0,3 7 0,-3-12-168,0 0 1,0 0-1,0 0 0,0 0 1,0 0-1,0 0 0,1-1 0,-1 1 1,0 0-1,1-1 0,-1 1 0,1-1 1,0 0-1,0 0 0,-1 1 0,1-1 1,0 0-1,0 0 0,0-1 0,0 1 1,0 0-1,0-1 0,0 1 1,0-1-1,0 0 0,0 1 0,4-1 1,-4 0 27,0 0 1,-1 0-1,1 0 1,0 0-1,-1 0 1,1-1-1,0 1 1,-1-1 0,1 1-1,0-1 1,-1 1-1,1-1 1,-1 0-1,1 0 1,-1 0-1,1 0 1,-1 0 0,0 0-1,1 0 1,-1 0-1,0 0 1,2-2-1,-1-2 203,0 1 0,-1 0 0,1-1 1,-1 1-1,0-1 0,0 1 0,1-8 0,0-3 1343,0 1 0,-1-1 0,0 0 0,-1 0 0,-4-27 0,4 41-1288,0 0 1,-1-1-1,1 1 0,-1 0 0,0 0 1,1-1-1,-1 1 0,0 0 0,1 0 1,-1 0-1,0 0 0,0 0 0,0 0 1,0 0-1,0 0 0,0 1 0,-1-1 1,1 0-1,0 0 0,0 1 0,0-1 1,-1 1-1,1-1 0,0 1 0,-1 0 1,1-1-1,0 1 0,-1 0 0,1 0 1,0 0-1,-1 0 0,1 0 0,-2 1 1,1-1-49,0 0 1,-1 1 0,1-1-1,0 1 1,0-1-1,-1 1 1,1 0 0,0 0-1,0 0 1,0 0 0,0 1-1,0-1 1,1 0-1,-1 1 1,0-1 0,1 1-1,-1 0 1,-1 2-1,-3 9 95,1 0 0,1 1 0,0-1 0,0 1 0,2 0 0,0 0 0,0 0-1,1 0 1,2 28 0,-1-36-123,0-3-10,0 1 0,1-1 0,-1 1 0,0-1 1,1 1-1,0-1 0,0 0 0,0 0 0,0 1 0,1-1 1,-1 0-1,1 0 0,0 0 0,0 0 0,0-1 0,0 1 1,0 0-1,1-1 0,-1 1 0,1-1 0,0 0 1,-1 0-1,1 0 0,0 0 0,5 2 0,-1-2-106,0 1 0,0-1 0,0 0 0,1-1 1,-1 0-1,0 0 0,1 0 0,-1-1 0,0 0 0,1-1 0,9-1 0,-13 1 151,0-1-1,0 1 1,0-1 0,0 0 0,0 0 0,-1 0-1,1-1 1,-1 0 0,1 1 0,-1-1 0,0 0-1,0 0 1,0-1 0,-1 1 0,1-1 0,-1 1-1,0-1 1,0 0 0,0 0 0,0 0 0,-1 0-1,2-6 1,2-7 420,0 0-1,-1-1 0,-1 0 1,1-18-1,0-9 980,-3 0 0,-5-63 0,-4 78-581,8 28-782,0 1 0,0 0 0,-1 0 1,1 0-1,-1 0 0,1-1 0,-1 1 0,1 0 1,-1 0-1,0 0 0,0 0 0,1 0 0,-1 0 0,0 0 1,0 1-1,0-1 0,0 0 0,0 0 0,0 1 1,0-1-1,-2 0 0,2 1-68,0 1 0,0 0-1,0 0 1,0 0 0,0 0 0,1 1 0,-1-1 0,0 0 0,1 0-1,-1 0 1,1 1 0,-1-1 0,1 0 0,-1 0 0,1 1-1,0-1 1,0 0 0,0 1 0,0-1 0,0 0 0,0 1-1,0 1 1,0 1-4,-4 27 2,2-1 0,1 1-1,4 42 1,-2-61-30,1-1 0,0 0 0,0 0 0,1-1 0,1 1 0,0 0 0,0-1 1,1 0-1,0 0 0,1 0 0,0-1 0,13 16 0,-15-21-87,0-1 1,1 1-1,0-1 1,0 1-1,0-1 1,0-1 0,1 1-1,-1-1 1,1 0-1,-1 0 1,1-1-1,0 1 1,0-1-1,-1 0 1,1-1 0,0 0-1,0 0 1,0 0-1,9-2 1,-12 2 117,-1-1 1,1 0-1,-1 0 1,1-1-1,-1 1 0,0 0 1,1-1-1,-1 0 1,0 1-1,0-1 1,0 0-1,0 0 1,0 0-1,0 0 1,-1-1-1,1 1 1,-1 0-1,0-1 1,1 1-1,-1-1 0,1-3 1,2-6 46,0 1 1,-1 0-1,2-20 0,-1-17 922,-3-84 0,-2 120-772,1 7-12,0 1-19,0 0 0,0 0 0,0 0 0,0 0 0,-1 0 0,0 0-1,0 0 1,0 0 0,0 1 0,-3-7 0,1 28-104,2 3-341,-1 22 316,7 87 0,-3-115-389,1 0 1,0-1-1,10 26 1,-9-32-235,-1 0 0,1 0 0,1-1 0,-1 0-1,1 0 1,0 0 0,11 10 0,6-1-3422,3-6-2402</inkml:trace>
  <inkml:trace contextRef="#ctx0" brushRef="#br0" timeOffset="1801.65">1500 378 4130,'0'0'16535,"-10"-3"-16257,7 2-271,0-1 7,0 1 0,0 0 0,1 1 0,-1-1 1,0 0-1,-1 1 0,1 0 0,0 0 0,0 0 0,-3 0 1,4 1-13,0 0 1,1-1 0,-1 1-1,0 0 1,1 0 0,-1 1-1,1-1 1,-1 0 0,1 0-1,-1 1 1,1-1 0,0 1-1,0-1 1,0 1 0,0-1-1,0 1 1,0 0 0,0-1-1,0 1 1,1 0 0,-1 0-1,1 0 1,-1 3 0,-2 4-13,1 1 0,0 0 1,1 0-1,0 0 0,0 0 1,1 0-1,2 12 0,-2-19-44,0-1 1,0 1-1,1-1 0,-1 0 0,1 1 0,0-1 0,-1 0 1,1 1-1,0-1 0,0 0 0,1 0 0,-1 0 0,0 0 1,1 0-1,-1 0 0,1 0 0,0-1 0,-1 1 0,1-1 1,0 1-1,0-1 0,0 1 0,0-1 0,0 0 1,1 0-1,-1 0 0,0 0 0,0 0 0,1-1 0,-1 1 1,0-1-1,1 0 0,4 1 0,-5-1 35,1 1 0,-1-1 0,0 0 0,0 0 0,1 0 0,-1 0-1,0-1 1,1 1 0,-1-1 0,0 1 0,0-1 0,0 0 0,0 1 0,1-1 0,-1 0 0,0-1-1,0 1 1,-1 0 0,1 0 0,0-1 0,0 1 0,-1-1 0,1 0 0,-1 1 0,1-1 0,-1 0 0,0 0-1,1 0 1,-1 0 0,0 0 0,-1 0 0,1 0 0,0-1 0,0 1 0,-1 0 0,1 0 0,-1-3-1,2-6 76,0-1-1,-1 1 1,-1-1-1,0 0 1,0 1-1,-4-18 0,3 23-146,0 1 0,0 0-1,-1 0 1,0 1 0,0-1-1,0 0 1,-5-6-1,5 9-160,1-1 0,-1 1 0,0 0 0,0 1 0,0-1-1,0 0 1,0 0 0,0 1 0,0-1 0,-1 1-1,1 0 1,0 0 0,-1 0 0,1 0 0,-4-1-1,-1 2-3820</inkml:trace>
  <inkml:trace contextRef="#ctx0" brushRef="#br0" timeOffset="2255.75">1609 52 8148,'0'0'11224,"-2"54"-11635,2-52 335,1-1 1,-1 0-1,1 0 0,0 1 1,-1-1-1,1 0 1,0 0-1,0 0 0,0 0 1,0 0-1,0 0 1,0 0-1,0-1 0,0 1 1,0 0-1,0-1 1,0 1-1,1 0 0,-1-1 1,0 1-1,0-1 1,1 0-1,-1 1 1,0-1-1,1 0 0,-1 0 1,0 0-1,1 0 1,-1 0-1,0 0 0,1 0 1,-1 0-1,0-1 1,1 1-1,-1-1 0,0 1 1,0 0-1,1-1 1,-1 0-1,0 1 1,0-1-1,0 0 0,0 0 1,0 0-1,0 1 1,0-1-1,0 0 0,0 0 1,0-1-1,-1 1 1,1 0-1,0 0 0,-1 0 1,1 0-1,-1-1 1,1 0-1,4-13 636,-2 1 1,1 0-1,-2-1 0,0 0 0,0-17 1,0 78 377,14 81 0,9-10-8785,-18-95 510</inkml:trace>
  <inkml:trace contextRef="#ctx0" brushRef="#br0" timeOffset="2487.6">1984 432 9973,'0'0'12149,"-4"0"-12181,0 0-1152</inkml:trace>
</inkml:ink>
</file>

<file path=xl/ink/ink8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30:26.067"/>
    </inkml:context>
    <inkml:brush xml:id="br0">
      <inkml:brushProperty name="width" value="0.05" units="cm"/>
      <inkml:brushProperty name="height" value="0.05" units="cm"/>
      <inkml:brushProperty name="color" value="#F6630D"/>
    </inkml:brush>
  </inkml:definitions>
  <inkml:trace contextRef="#ctx0" brushRef="#br0">33 249 6243,'0'0'14788,"-5"-4"-14238,5 4-545,-1-1-3,0 1-1,0-1 1,0 0 0,0 1 0,1-1 0,-1 0-1,0 1 1,0-1 0,0 1 0,0-1-1,0 1 1,-1 0 0,1-1 0,0 1-1,0 0 1,0 0 0,0 0 0,-2 0 0,2 2-13,0 0 0,0 0 0,0-1 0,1 1 0,-1 0 0,1 0 0,-1 1 0,1-1 0,0 0 0,-1 0 0,1 0 0,0 0 0,1 0 0,-1 3 0,0 91 235,7 212 270,-2-282-492,-5-26 60,0-3 215,0-571 756,0 574-1038,0 0 0,0-1 0,0 1 0,0 0 1,0-1-1,0 1 0,1 0 0,-1-1 0,0 1 0,0 0 0,0-1 1,1 1-1,-1 0 0,0 0 0,0-1 0,1 1 0,-1 0 0,0 0 1,0 0-1,1-1 0,-1 1 0,0 0 0,1 0 0,-1 0 0,0 0 1,1 0-1,-1 0 0,0 0 0,1-1 0,-1 1 0,0 0 0,1 0 1,-1 0-1,0 1 0,1-1 0,-1 0 0,0 0 0,1 0 1,-1 0-1,0 0 0,1 0 0,-1 0 0,0 0 0,1 1 0,-1-1 1,0 0-1,1 0 0,-1 0 0,0 1 0,0-1 0,1 1 0,18 11-92,-3 4 99,0 2 0,-1 0-1,-1 0 1,-1 2 0,-1-1 0,16 33-1,49 141 55,-46-110-46,-21-62-112,-8-16-38,1 1 0,-1-1 0,1 0 0,-2 1 0,1-1 0,0 1 0,0 6 0,-12-13-6423,-11-6 541,-3-5-2566</inkml:trace>
  <inkml:trace contextRef="#ctx0" brushRef="#br0" timeOffset="171.11">46 490 3057,'0'0'12246,"6"-32"-12246,26 32 160,10 0-144,3 0-16,4 0-992,-1-4-801,1 0-1040,-3-5-1553</inkml:trace>
  <inkml:trace contextRef="#ctx0" brushRef="#br0" timeOffset="623.29">470 347 4626,'0'0'12907,"-10"-7"-12008,-31-16-597,41 23-300,-1 0 1,1-1-1,0 1 1,-1 0-1,1 0 0,0 0 1,-1 0-1,1 0 1,-1 0-1,1-1 0,0 1 1,-1 0-1,1 0 1,0 0-1,-1 0 0,1 0 1,-1 1-1,1-1 1,0 0-1,-1 0 0,1 0 1,0 0-1,-1 0 1,1 0-1,0 1 0,-1-1 1,1 0-1,0 0 1,-1 1-1,1-1 0,0 0 1,-1 0-1,1 1 1,0-1-1,0 0 0,0 1 1,-1-1-1,1 0 1,0 1-1,0-1 0,0 0 1,0 1-1,-1-1 1,1 0-1,0 1 1,-1 19 74,1-17-52,0 12 36,-1 0 0,2 0 0,0 0-1,1 0 1,1 0 0,6 21 0,-8-31-58,1-1 1,0 0-1,0 1 1,0-1-1,0 0 0,1 0 1,0-1-1,-1 1 1,2 0-1,-1-1 1,0 0-1,1 0 1,-1 0-1,1 0 0,0-1 1,0 1-1,0-1 1,0 0-1,0 0 1,1 0-1,-1-1 0,1 1 1,-1-1-1,1 0 1,6 0-1,-6 0-8,-1-1 1,1 1-1,-1-1 0,1 0 0,-1 0 0,1-1 0,0 0 0,-1 1 1,0-1-1,1-1 0,-1 1 0,0-1 0,1 0 0,6-4 1,-7 3-3,-1 0 0,1 0 0,-1-1 1,0 1-1,0-1 0,-1 0 1,1 0-1,-1 0 0,0 0 0,0-1 1,0 1-1,-1 0 0,1-1 1,0-8-1,3-8 217,-2 0 1,-1-1-1,0 0 0,-2 1 1,0-1-1,-2 0 1,0 1-1,-2-1 1,0 1-1,-1 0 0,-1 0 1,-1 1-1,-1 0 1,-17-33-1,22 86 251,5-1-470,1-1-1,2 0 1,1 0-1,1 0 1,2-1-1,1 0 1,1 0-1,1-1 0,2-1 1,1 0-1,19 26 1,-32-51-383,6 8-349,-3-7-3497</inkml:trace>
  <inkml:trace contextRef="#ctx0" brushRef="#br0" timeOffset="1808.46">592 386 1889,'0'0'8724,"18"-3"-8665,19-3-285,71-4 1,-104 11 148,0-1 0,0 0 0,0-1 0,0 1 0,0-1 0,0 1 0,0-1 0,0 0 0,-1-1 0,1 1 1,0-1-1,-1 1 0,1-1 0,5-4 0,-7 3 285,0 1 1,0-1 0,0 0-1,0 0 1,0 0 0,-1 0-1,1 0 1,-1 0-1,0 0 1,0 0 0,0-1-1,0 1 1,-1 0-1,1-1 1,-1 1 0,0-1-1,0-5 1,0-4 1501,1 9-1112,-1 0 0,1 1 0,-1-1-1,0 0 1,0 1 0,-1-1 0,1 0 0,-1 1 0,-1-7 0,2 10-580,0 0 1,-1 0 0,1-1 0,0 1-1,0 0 1,0 0 0,0 0 0,0 0-1,0-1 1,-1 1 0,1 0 0,0 0-1,0 0 1,0 0 0,0 0 0,-1-1-1,1 1 1,0 0 0,0 0-1,0 0 1,-1 0 0,1 0 0,0 0-1,0 0 1,-1 0 0,1 0 0,0 0-1,0 0 1,0 0 0,-1 0 0,1 0-1,0 0 1,0 0 0,-1 0 0,1 0-1,0 0 1,0 0 0,0 0 0,-1 0-1,1 0 1,0 1 0,0-1-1,0 0 1,0 0 0,-1 0 0,1 0-1,0 0 1,0 1 0,0-1 0,0 0-1,-1 0 1,1 0 0,0 0 0,0 1-1,0-1 1,0 0 0,0 0 0,0 1-1,-5 13-123,4 4 105,0-1 0,1 1 0,1-1 1,1 1-1,1-1 0,4 20 0,-4-27-7,0 0 0,1-1 1,0 1-1,1-1 0,-1 0 0,2 0 1,-1 0-1,1-1 0,1 0 1,0 0-1,14 13 0,-19-19-27,-1 0 0,1-1 0,0 1 0,0-1 0,0 0 0,0 1 0,0-1 0,1 0 0,-1 0 0,0 0-1,0-1 1,1 1 0,-1 0 0,1-1 0,-1 1 0,0-1 0,1 0 0,-1 0 0,1 0 0,3-1 0,-4 0 46,0 0-1,0 0 1,-1 0 0,1 0-1,0 0 1,-1-1 0,1 1-1,-1 0 1,1-1 0,-1 1-1,1-1 1,-1 0 0,0 0-1,0 1 1,0-1 0,0 0 0,0 0-1,-1 0 1,1 0 0,0 0-1,-1 0 1,0 0 0,1-3-1,2-24 322,0 0 0,-2 0 0,-3-29-1,1 1 1133,1 58-1354,0 20-3,1 0-1,1 1 1,5 20 0,-5-33-225,1 1 0,0-1 0,1 0 0,0 0 0,1-1 0,0 1 1,0-1-1,7 8 0,-9-12-94,0-1 1,1 0-1,0 0 0,-1 0 1,1 0-1,0-1 1,0 1-1,1-1 1,-1 0-1,0 0 0,1-1 1,0 1-1,-1-1 1,1 0-1,0 0 1,-1 0-1,1-1 0,6 0 1,-9 1 169,1-1 1,0 0-1,-1 0 1,1 0-1,-1 0 1,1 0-1,-1-1 1,1 1-1,-1-1 1,1 0-1,-1 1 1,1-1-1,-1 0 1,0 0-1,1-1 0,-1 1 1,0 0-1,0-1 1,0 0-1,0 1 1,0-1-1,0 0 1,-1 0-1,1 0 1,0 0-1,-1 0 1,0 0-1,1-1 1,-1 1-1,0 0 1,0-1-1,-1 1 1,1-1-1,0 1 1,-1-1-1,1-4 0,2-12 491,0-1 0,-2 0 0,-1-36-1,-1 22 783,-6-3 1545,7 40-2859,1 11 9,0-1 0,2 1 0,-1 0 1,2 0-1,0-1 0,0 0 0,2 0 0,6 13 1,-7-16-526,0-1 0,0 0 0,1 0 1,1-1-1,-1 0 0,15 14 0,-18-20 296,-1-1-1,0 1 0,1 0 1,-1-1-1,1 1 0,0-1 1,-1 0-1,1 0 0,0 0 1,0 0-1,0-1 1,0 1-1,0-1 0,0 1 1,0-1-1,4 0 0,-5-1 265,0 1 0,0-1-1,0 1 1,0-1 0,-1 1 0,1-1-1,0 0 1,-1 0 0,1 0-1,0 0 1,-1 0 0,1 0-1,-1 0 1,0-1 0,1 1 0,-1 0-1,0-1 1,0 1 0,0-1-1,0 1 1,0-1 0,0 0 0,0 1-1,0-1 1,-1 0 0,1-2-1,3-15 1396,-1-1-1,-1 1 1,-1-1-1,-2-33 0,0 13 733,-3 20-907,2 15-565,1 12-636,1 0-89,0 0 0,1 0 1,0 0-1,0 0 1,1 0-1,0-1 1,0 1-1,4 8 0,-5-13 25,0 0-1,0-1 1,0 1-1,0 0 1,0 0-1,0-1 1,1 1-1,-1-1 1,1 1-1,-1-1 1,1 1-1,0-1 1,-1 0-1,1 0 1,0 0-1,0 0 1,0 0-1,0 0 1,0-1-1,0 1 1,0 0-1,0-1 1,0 0-1,0 1 1,0-1-1,0 0 1,0 0-1,0 0 1,0-1-1,1 1 1,-1 0-1,0-1 1,2 0 0,-3 0 81,0 1 1,0-1-1,0 0 1,0 0 0,0 0-1,0 0 1,0 0 0,0 0-1,0 0 1,0 0 0,-1 0-1,1 0 1,0-1 0,-1 1-1,1 0 1,-1 0 0,0-1-1,1 1 1,-1 0 0,0 0-1,0-1 1,1-1 0,1-33 59,-2 32-37,0-15 71,1 9 231,0 0 0,-1 0 0,-1 1 0,-1-12 0,2 20-265,-1-1 0,1 1 0,0-1 0,-1 1 0,1-1 1,-1 1-1,1-1 0,-1 1 0,0 0 0,0-1 0,1 1 0,-1 0 0,0 0 1,0 0-1,0-1 0,0 1 0,-1 0 0,1 0 0,0 1 0,0-1 1,0 0-1,-1 0 0,1 0 0,-1 1 0,1-1 0,0 1 0,-1-1 1,1 1-1,-1 0 0,1-1 0,-1 1 0,-1 0 0,1 1-55,1-1 1,-1 1-1,1 0 0,-1-1 0,1 1 0,0 0 0,0 0 1,-1 0-1,1 0 0,0 0 0,0 0 0,0 1 0,0-1 1,0 0-1,0 0 0,1 1 0,-1-1 0,0 1 0,1-1 1,-1 0-1,1 1 0,-1-1 0,1 1 0,-1-1 0,1 1 1,0 0-1,0 1 0,-5 50 18,4-35-7,1 0 0,1 0 0,0 0 0,2 0 0,8 34 0,-9-47-8,0 1 0,0-1-1,0 0 1,1 0 0,0 0-1,0 0 1,0 0 0,1-1 0,0 1-1,-1-1 1,2 0 0,-1 0-1,0-1 1,1 1 0,-1-1-1,1 0 1,0 0 0,0-1 0,1 1-1,-1-1 1,0 0 0,1 0-1,5 0 1,-1 0-126,0-1 1,1 0-1,-1 0 1,16-2-1,-26 1 12,1 0-1,0 0 0,-1 0 0,1 0 0,0 0 0,-1 0 1,1 0-1,-1-1 0,1 1 0,0 0 0,-1 0 1,1-1-1,-1 1 0,1 0 0,-1-1 0,1 1 0,-1-1 1,1 1-1,-1-1 0,1 1 0,-1-1 0,0 1 1,1-1-1,-1 1 0,0-1 0,0 1 0,1-1 0,-1 0 1,0 1-1,0-1 0,0 1 0,1-1 0,-1 0 0,0 1 1,0-1-1,0 0 0,0 1 0,0-1 0,0 1 1,-1-1-1,1 0 0,0 0 0,0 1-11,0-24-6582</inkml:trace>
  <inkml:trace contextRef="#ctx0" brushRef="#br0" timeOffset="1980.54">790 1 1265,'0'0'848</inkml:trace>
  <inkml:trace contextRef="#ctx0" brushRef="#br0" timeOffset="3461.24">1832 177 4882,'0'0'14183,"0"-5"-13105,0-20 381,-1 26-1453,0-1 0,0 1 0,0-1 0,0 1 0,0 0 0,0-1 0,0 1 0,1 0 0,-1-1 0,0 1 0,0 0 0,1 0 0,-1 0 0,1 0 0,-2 2 0,-4 8 96,1 0-1,1 1 1,-1 0-1,2 0 1,0 0 0,-3 24-1,1 78 207,5-109-303,0 3-2,0 0 0,1 0 0,0 0 0,0 0 0,1 0 0,0 0 0,0 0 0,1 0-1,0-1 1,0 0 0,1 1 0,0-1 0,0 0 0,1-1 0,0 1 0,0-1 0,0 0 0,1 0-1,0 0 1,0-1 0,0 0 0,1 0 0,0-1 0,0 0 0,0 0 0,0-1 0,0 1 0,1-1-1,0-1 1,0 0 0,-1 0 0,1 0 0,0-1 0,13 0 0,-18-1-8,0 0-1,-1 0 1,1 0 0,0-1 0,-1 1 0,1-1-1,-1 0 1,1 0 0,-1 1 0,1-2 0,-1 1-1,1 0 1,-1 0 0,0-1 0,0 0-1,0 1 1,0-1 0,2-2 0,-1 0 1,0 0-1,-1 1 1,1-1 0,-1 0-1,0-1 1,0 1 0,-1 0 0,1-1-1,0-7 1,1-7 27,-1 0-1,-1-1 1,-4-37 0,3 57-23,0-5 12,0 0 0,-1-1 0,0 1 0,0 0 0,0 0 0,0 0 0,-1 0-1,0 0 1,0 1 0,0-1 0,-1 0 0,1 1 0,-1-1 0,-6-6 0,8 11-14,1 0 0,0 0 0,-1 0 0,1 0 0,0 0 0,0 0 1,-1 0-1,1 0 0,0 0 0,-1 0 0,1 0 0,0 0 0,0 0 0,-1 0 0,1 0 1,0 0-1,0 1 0,-1-1 0,1 0 0,0 0 0,0 0 0,-1 0 0,1 1 0,0-1 1,0 0-1,0 0 0,0 1 0,-1-1 0,1 0 0,0 0 0,0 1 0,0-1 0,0 0 0,0 0 1,0 1-1,0-1 0,0 0 0,0 1 0,-1-1 0,1 0 0,0 0 0,0 1 0,1-1 1,-1 0-1,0 0 0,0 1 0,0-1 0,0 0 0,0 1 0,0-1 0,-1 19-55,1-18 64,0 3-10,0 1-1,0-1 1,1 1 0,-1-1-1,1 0 1,0 1-1,0-1 1,0 0 0,1 0-1,-1 0 1,1 0-1,0 0 1,4 5 0,-4-6-18,1-1 0,-1 1 1,1-1-1,0 0 0,-1 0 1,1-1-1,0 1 0,0 0 1,1-1-1,-1 0 0,0 0 1,0 0-1,1 0 0,-1 0 1,0-1-1,1 1 0,-1-1 1,4 0-1,-4 1-14,0-1 1,-1 0 0,1 0-1,0 0 1,0 0-1,-1 0 1,1 0 0,0-1-1,0 1 1,-1-1-1,1 0 1,0 0-1,-1 0 1,1 0 0,-1 0-1,1 0 1,-1-1-1,0 1 1,0-1-1,1 0 1,-1 1 0,0-1-1,0 0 1,-1-1-1,1 1 1,0 0-1,-1 0 1,1-1 0,-1 1-1,0-1 1,0 1-1,0-1 1,0 1 0,0-1-1,0 0 1,-1 1-1,1-1 1,-1 0-1,0 0 1,0-3 0,0-1 30,1-1 0,-2 1 0,1-1 1,-1 1-1,0-1 0,-1 1 1,1 0-1,-2-1 0,1 1 0,-5-9 1,5 13 43,1-1 0,-1 1 0,0 0 0,0 0 1,0 1-1,-1-1 0,1 0 0,-1 1 0,1-1 0,-1 1 0,0 0 1,0 0-1,0 0 0,0 0 0,0 0 0,0 1 0,-1 0 1,1-1-1,0 1 0,-1 0 0,1 1 0,-1-1 0,0 1 1,-4-1-1,7 1-35,-1 0-1,1 1 1,-1-1 0,1 0 0,-1 0 0,1 1 0,-1-1-1,1 1 1,0 0 0,-1-1 0,1 1 0,0 0 0,-1 0-1,1 0 1,0-1 0,0 1 0,0 1 0,0-1-1,0 0 1,0 0 0,0 0 0,0 0 0,0 1 0,1-1-1,-1 0 1,0 1 0,1-1 0,-1 1 0,1-1 0,0 1-1,-1 1 1,-1 7 19,1-1-1,0 1 0,1 19 1,1-16-19,-1-3-7,1 1-1,0-1 1,0 1-1,1-1 1,1 1-1,0-1 0,0 0 1,1 0-1,0-1 1,0 1-1,1-1 1,1 0-1,7 10 1,-8-13-6,1 0 0,-1 0 0,1 0 0,0-1 0,0 0 0,1 0 0,0-1 0,0 1 0,0-1 0,0-1 0,0 0 0,1 0 0,0 0 0,-1-1 0,1 0 0,0 0 0,14 0 0,-16-1-3,0-1 0,1 0 0,-1 0 0,0 0 0,0-1 0,0 0-1,0 0 1,0-1 0,0 1 0,6-4 0,-8 3 26,0 0 0,-1-1 0,1 0 0,-1 0 0,0 0-1,0 0 1,0 0 0,0 0 0,-1-1 0,1 0 0,-1 1 0,0-1 0,0 0 0,2-8 0,3-9 71,-2-1 0,-1 0 0,0 0 0,-2 0 0,0-1 0,-2 1 0,-2-26 0,2 26 39,-1 6 56,0 1-1,-1 0 1,-1 0-1,0 0 0,-1 0 1,0 1-1,-1 0 1,-1-1-1,-1 2 0,0-1 1,0 1-1,-14-18 1,11 24 314,5 12-316,3 23-258,2-20 62,-1 22 25,1-1 0,1 1-1,2 0 1,1 0 0,1-1-1,17 53 1,-16-64-51,1 0 0,1-1 0,19 31 0,-25-44-1,1 0-1,0 0 0,0-1 1,0 1-1,0-1 1,0 1-1,1-1 1,0 0-1,0-1 1,0 1-1,0 0 1,0-1-1,0 0 0,1 0 1,-1-1-1,1 1 1,-1-1-1,1 0 1,0 0-1,8 1 1,-10-2 49,1 1 1,-1-1-1,1 0 1,-1 0-1,1-1 1,-1 1-1,1-1 1,-1 1-1,0-1 1,1 0-1,-1-1 1,0 1-1,0 0 1,0-1-1,0 0 1,0 0-1,0 0 1,0 0-1,0 0 1,-1 0-1,1-1 1,-1 1-1,0-1 1,1 0 0,-1 0-1,-1 1 1,1-1-1,0-1 1,1-4-1,3-6 31,-2 0-1,0 0 0,0 0 1,-1 0-1,-1-1 1,-1 0-1,0 1 0,0-1 1,-2 0-1,-3-27 1,-2 12 265,-1-1 0,-1 1-1,-1 0 1,-14-29 0,21 88-139,1 47-1,3-53-323,2-1 1,0 0-1,1-1 0,2 1 1,0-1-1,1 0 0,1-1 0,1 0 1,1 0-1,0-1 0,2-1 1,20 26-1,-29-40-325,1 0 1,-1 0-1,0 0 0,1-1 1,6 4-1,15 1-5525,-7-7-1341</inkml:trace>
  <inkml:trace contextRef="#ctx0" brushRef="#br0" timeOffset="3680.84">2859 302 12166,'0'0'13334,"-2"-10"-13334,0 20-1745,-5-1-64,-8-1-2385,-6-8-5138</inkml:trace>
  <inkml:trace contextRef="#ctx0" brushRef="#br0" timeOffset="4441.22">3155 249 5555,'0'0'14489,"0"-5"-13110,0-17-504,16 71-552,-10-27-297,1 0-1,1 0 1,0 0-1,2-1 1,0 0-1,17 24 1,-23-39-18,0-1 1,0 1-1,1-1 1,0 0-1,0 0 1,0 0-1,0-1 1,1 0-1,0 0 1,-1 0-1,1-1 1,1 0-1,-1 0 1,0 0-1,1-1 1,0 0-1,-1 0 1,1-1 0,0 0-1,0 0 1,0 0-1,0-1 1,0 0-1,0-1 1,8-1-1,-11 1-6,0 0-1,0-1 1,0 0 0,-1 0-1,1 0 1,-1 0-1,0 0 1,1-1 0,-1 0-1,0 1 1,-1-1-1,1 0 1,0-1 0,-1 1-1,1 0 1,-1-1 0,0 1-1,0-1 1,-1 0-1,1 1 1,1-6 0,2-6-21,-1 0 0,0 0 0,-1-1 0,1-20 1,-3 25 18,2-20-17,-2-34 1,-1 57 10,-1 0 1,0 0-1,0 1 1,0-1-1,-1 1 1,0-1-1,-1 1 1,0 0-1,0 0 1,-4-7-1,1 11-705,3 12 136,2 18-157,1-24 653,0 4-300,0-1 1,0 1-1,1 0 0,0 0 0,1 0 0,-1 0 0,1-1 0,1 1 1,-1-1-1,1 1 0,0-1 0,0 0 0,1 0 0,0-1 1,0 1-1,0-1 0,1 1 0,0-1 0,0-1 0,6 6 1,26 17-4083</inkml:trace>
  <inkml:trace contextRef="#ctx0" brushRef="#br0" timeOffset="5970.84">3743 302 6675,'0'0'13569,"-11"-14"-12849,-38-38-472,48 51-242,0 0-1,0 0 0,1 0 0,-1 1 0,0-1 0,0 0 1,0 0-1,0 1 0,0-1 0,0 1 0,0-1 1,0 1-1,0-1 0,0 1 0,-1 0 0,1 0 0,0-1 1,0 1-1,0 0 0,0 0 0,0 0 0,-1 0 1,1 0-1,0 0 0,0 1 0,0-1 0,0 0 0,0 1 1,0-1-1,-1 0 0,1 1 0,0-1 0,-1 2 0,0 0-6,-1 1 0,1-1 0,0 1-1,0-1 1,0 1 0,0 0-1,-3 5 1,3-3 6,-3 6-16,1 0 0,0 0 0,0 0 1,1 0-1,1 1 0,0 0 0,1-1 0,0 1 0,1 0 0,0-1 0,1 1 1,2 15-1,-2-24-31,-1 0 1,1 1-1,0-1 1,0 0-1,1 0 1,-1 0-1,0 0 1,1 0 0,0 0-1,0 0 1,0-1-1,0 1 1,0-1-1,1 1 1,-1-1-1,1 0 1,-1 0-1,1 0 1,0 0-1,0 0 1,5 2-1,0-1-183,0-1-1,0 1 0,1-1 0,-1-1 0,0 1 1,1-1-1,12-1 0,-20 0 215,1 0 0,0 0 1,-1 0-1,1-1 0,0 1 0,-1 0 0,1-1 1,0 1-1,-1-1 0,1 0 0,-1 1 0,1-1 0,-1 0 1,0 0-1,1 0 0,-1 0 0,0 0 0,1-1 0,0 0 1,0-1 26,0 0 0,0-1 0,0 1 1,-1 0-1,1 0 0,-1-1 1,0 1-1,1-7 0,0-7 307,0 0 1,-1-1-1,-2-19 0,0 17 330,1 11-333,1 6-164,-1-1-1,0 1 1,0-1 0,0 1-1,0-1 1,0 1 0,-1-1-1,0 1 1,0 0 0,0-1-1,0 1 1,0 0 0,-3-5-1,4 18-32,0 3-160,-1 2-53,1 0 0,1-1 0,1 1-1,5 26 1,-6-37-16,1 0 0,-1 0 0,1 0 0,0 0 0,0-1 0,0 1 0,0 0 0,1-1 0,0 1 0,-1-1 0,1 0 0,1 0 0,-1 0 0,0 0 0,1-1 0,-1 0 0,1 1 0,0-1 0,-1 0 0,1-1 0,7 3 0,-8-3 63,-1 0-1,1 0 0,0 0 1,-1-1-1,1 0 0,0 1 1,0-1-1,-1 0 0,1 0 1,0 0-1,0-1 0,-1 1 1,1-1-1,0 1 1,-1-1-1,1 0 0,0 0 1,-1 0-1,1 0 0,-1-1 1,0 1-1,1-1 0,-1 1 1,0-1-1,0 0 0,0 0 1,0 0-1,0 0 0,0 0 1,-1 0-1,1-1 1,-1 1-1,0 0 0,1-1 1,-1 1-1,0-1 0,0 0 1,0-3-1,4-12 200,-1 0-1,0 0 1,-1-1 0,0-28 0,-3 37-137,2-15 263,0-100 823,-2 113-865,-2 0 1,1 0 0,-1 0 0,-1 0-1,0 1 1,-1-1 0,0 1 0,-7-12-1,11 23-230,0 0 0,0 0 0,0 1 0,0-1-1,0 0 1,0 0 0,0 0 0,-1 1 0,1-1 0,0 0-1,0 0 1,0 0 0,0 0 0,0 0 0,-1 0-1,1 1 1,0-1 0,0 0 0,0 0 0,-1 0-1,1 0 1,0 0 0,0 0 0,0 0 0,-1 0-1,1 0 1,0 0 0,0 0 0,0 0 0,-1 0-1,1 0 1,0 0 0,0 0 0,-1 0 0,1 0-1,0 0 1,0 0 0,0 0 0,0 0 0,-1 0 0,1-1-1,0 1 1,0 0 0,0 0 0,0 0 0,-1 0-1,1 0 1,0-1 0,0 1 0,0 0 0,0 0-1,0 0 1,0 0 0,-1-1 0,1 1 0,0 0-1,0 0 1,0 0 0,0-1 0,0 1 0,-2 20-90,2-19 92,-1 22-11,0 1 0,2 0-1,1 0 1,1 0 0,1-1-1,1 1 1,12 35 0,-10-40-23,28 63 133,-31-75-196,0 0 0,0 0 0,0-1 0,1 1 0,0-1 0,0 0 1,1 0-1,10 8 0,-13-12 56,1 0 0,0 0 1,0 0-1,0-1 0,0 1 1,1-1-1,-1 0 0,0 0 1,1 0-1,-1-1 0,0 0 1,1 0-1,-1 0 0,1 0 1,-1-1-1,0 1 0,1-1 1,-1 0-1,0 0 0,0-1 1,1 1-1,-1-1 0,0 0 1,-1 0-1,1-1 0,0 1 1,-1-1-1,1 1 0,-1-1 1,0 0-1,0-1 1,0 1-1,0 0 0,0-1 1,-1 0-1,0 1 0,1-1 1,2-7-1,0-9 289,-1 0 0,-1 0 0,0 0 0,-2-1 0,0 1 1,-1 0-1,-4-24 0,-2 23 419,1 16-227,2 15-500,0 9-2,2 0-1,1 1 1,0-1-1,1 0 1,5 21-1,-5-33-109,0 1 0,1-1-1,0 0 1,0 0 0,1 0-1,0-1 1,0 1 0,1-1 0,0 1-1,0-1 1,0 0 0,1-1-1,0 1 1,0-1 0,0 0-1,10 8 1,-12-12 68,-1 1 0,1-1 0,0 1 0,-1-1 0,1 0 0,0 0 0,0 0 0,0 0 0,-1 0 0,1-1-1,0 1 1,0-1 0,0 0 0,0 0 0,0 0 0,0 0 0,0-1 0,0 1 0,0-1 0,0 0 0,0 1 0,0-2 0,-1 1 0,1 0 0,0 0 0,-1-1 0,1 1 0,-1-1 0,1 0 0,-1 0 0,0 0 0,0 0 0,1 0 0,-2 0-1,1-1 1,0 1 0,0-1 0,-1 1 0,1-1 0,-1 0 0,2-4 0,2-16 1203,-2 0 1,0 1-1,-1-1 0,-1-1 0,-2-28 0,3 60-1255,0 0 0,1 1-1,1-1 1,-1 0 0,1-1 0,1 1-1,0-1 1,0 0 0,5 7 0,-8-11 11,1 0 1,-1-1 0,0 1-1,0-1 1,1 1 0,0-1-1,-1 0 1,1 0 0,0 0-1,0-1 1,0 1 0,0 0-1,0-1 1,1 0 0,-1 0-1,0 0 1,1 0 0,-1-1-1,0 1 1,1-1 0,-1 0-1,1 0 1,-1 0 0,1 0-1,-1-1 1,4 0 0,-4-2 149,0 0 0,0 0 0,0 0 1,0 0-1,-1 0 0,1 0 0,-1-1 1,0 0-1,0 1 0,0-1 0,-1 0 1,1 0-1,1-7 0,7-14 166,5 2 72,-12 20-46,0-1-1,0 0 1,-1 0-1,0 0 1,1 0 0,-2 0-1,1 0 1,0-1-1,-1 1 1,0 0-1,0-1 1,1-6 357,0 12-726,0 0 58,0 0 1,0 0-1,0 0 1,0 0-1,0 1 1,-1-1-1,1 0 0,0 1 1,-1 0-1,1-1 1,1 3-1,16 13-1016,-17-16 870,0 0 0,0 0 0,1 0 0,-1 0 0,0 0 0,1-1 0,-1 1 1,1-1-1,-1 0 0,1 1 0,-1-1 0,1 0 0,-1 0 0,1-1 0,-1 1 0,1-1 0,-1 1 0,3-2 0,-3 1 221,0 0-1,-1 0 1,1 0-1,-1-1 0,1 1 1,-1-1-1,0 1 0,0-1 1,1 1-1,-1-1 0,0 0 1,0 0-1,-1 1 0,1-1 1,0 0-1,-1 0 0,1 0 1,-1 0-1,1 0 0,-1 0 1,0 0-1,0-2 0,1-5-55,0-1 551,0 1 0,0-1 0,-1 0 0,-2-15 0,2 24-387,-1-1 1,1 1-1,0-1 1,-1 0 0,1 1-1,-1-1 1,1 1-1,-1-1 1,0 1-1,0 0 1,0-1-1,0 1 1,0 0-1,0-1 1,0 1 0,0 0-1,0 0 1,0 0-1,-1 0 1,1 0-1,0 0 1,-1 1-1,1-1 1,-1 0-1,1 1 1,-1-1 0,1 1-1,-1-1 1,1 1-1,-1 0 1,0-1-1,1 1 1,-3 0-1,1 0-62,0 0 1,0 1-1,0-1 0,0 1 0,0-1 0,0 1 0,0 0 0,0 0 0,0 0 0,0 1 0,0-1 0,1 1 0,-1-1 1,1 1-1,-1 0 0,1 0 0,-3 3 0,2-1 5,-1 0 0,1 1 0,0 0 0,0 0 1,0 0-1,1 0 0,-1 0 0,-2 11 0,2-4 20,0 1 0,1 0 0,1 0 0,0 0 0,1 0 0,0 0 0,4 24 0,-4-33-31,1 0 1,0-1-1,0 1 1,1-1-1,-1 1 1,1-1-1,0 1 1,0-1-1,0 0 1,0 0-1,0 0 1,1 0-1,-1 0 1,1-1-1,0 1 1,-1-1-1,1 0 1,1 1-1,-1-1 1,0-1-1,0 1 1,1 0-1,-1-1 1,1 0-1,3 1 1,9 2-188,-1-1 1,1-1-1,0-1 1,25-1-1,-36 0-3,40-2-3384,3-13-2069</inkml:trace>
  <inkml:trace contextRef="#ctx0" brushRef="#br0" timeOffset="6250.08">5284 119 10421,'0'0'11957,"-5"-7"-11957,20 5 128,11-4-128,10 2 0,1-3-48,-1 1-1136,-6 2-1602,-3 1-1423,-10 1-3971</inkml:trace>
  <inkml:trace contextRef="#ctx0" brushRef="#br0" timeOffset="6440.37">5279 260 6787,'0'0'12310,"103"-5"-11638,-69 1-352,-2 2-320,-6-2-528,-5 0-2866,0-7-6210</inkml:trace>
</inkml:ink>
</file>

<file path=xl/ink/ink8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7:11.568"/>
    </inkml:context>
    <inkml:brush xml:id="br0">
      <inkml:brushProperty name="width" value="0.05" units="cm"/>
      <inkml:brushProperty name="height" value="0.05" units="cm"/>
      <inkml:brushProperty name="color" value="#F6630D"/>
    </inkml:brush>
  </inkml:definitions>
  <inkml:trace contextRef="#ctx0" brushRef="#br0">527 2217 2625,'0'0'9591,"0"0"-9400,0 0 0,0 1 1,0-1-1,0 0 0,0 1 0,0-1 0,0 0 0,0 1 0,1-1 0,-1 0 1,0 0-1,0 1 0,0-1 0,0 0 0,1 1 0,-1-1 0,0 0 0,0 0 1,1 0-1,-1 1 0,0-1 0,0 0 0,1 0 0,-1 0 0,0 1 0,1-1 0,-1 0 1,0 0-1,1 0 0,-1 0 0,0 0 0,1 0 0,259-21 635,-202 14-670,58-7-100,452-57 248,-50-20-246,-383 66-41,14-10 11,-102 22-18,2 1 1,-1 3-1,95-5 0,-85 14-15,8-2-22,0 4 1,112 17-1,-122-8 142,1-1-1,98 3 1,-82-27-72,32 9-25,421 32-134,-41 0 120,-445-25 61,1-3 0,-1-1 1,0-2-1,69-15 0,-45 3 4,1 2 0,106-8 1,132 11-166,-76 2 90,240-43 1,50-19-46,-295 43-11,171-30-92,-206 20 157,230-18 0,-149 40-636,144-12 495,287-12 31,-74 23 121,-106 0 7,142 14-20,354-7 3,-576-7 108,165 11-135,47-3-2,-19-14 57,245-22-34,-231 6 12,-234 16 31,270-5-45,-409 29-74,312-3 90,-168-15 49,-56 1-5,443-35-120,123 9 49,-711 37 9,492-34-134,-201 8 61,76-18 11,-156 9 21,336 26-212,-505 16-34,46-2-75,1184-13 194,-224-2 216,-715 13 44,21 2-105,894-29 369,-902-24-270,19 0 43,-186 30-215,805-68 120,-364 9-73,-819 81 76,0 0 0,0-1 0,0-1 0,0 0 1,0-1-1,-1-1 0,0-1 0,0 0 1,26-14-1,-37 17-35,0 0 0,1 1 0,-1 0-1,1 0 1,-1 0 0,1 1 0,-1-1 0,1 1 0,0 1 0,-1-1 0,8 1 0,8 1-72,38 7 1,13 0-5,0-7 36,79-2-88,-146 0 161,-1 0 1,1 0-1,-1 0 1,1 0 0,-1-1-1,0 0 1,1 0-1,-1 0 1,5-4 0,-9 6 79</inkml:trace>
  <inkml:trace contextRef="#ctx0" brushRef="#br0" timeOffset="1383.98">17091 27 2353,'0'0'10906,"0"-5"-9649,0-17 1558,-9 60-2450,5 50 525,5 1 1,21 162-1,2 17-479,-24-241-339,1 16-85,12 79 0,-10-108 136,1 0 0,0 0 0,1 0 1,0-1-1,1 1 0,0-1 0,1-1 0,1 1 0,12 14 0,-3-6 633,-2 0 0,15 25 0,-26-38-933,0 0 1,0 0-1,-1 1 0,0 0 0,0-1 0,-1 1 0,0 0 0,0 0 0,0 15 0,-3-25-171,1-1 0,-1 1 0,0 0 0,1-1 0,-1 1 0,0 0 0,0 0 0,0 0 0,1 0 0,-1 0 0,0 0 0,-1 0 0,1 0 0,0 0 0,0 0 0,0 0 0,-2 0-1,-25-14-5427,26 14 4739,-16-6-4341</inkml:trace>
  <inkml:trace contextRef="#ctx0" brushRef="#br0" timeOffset="1539.16">17181 1201 560,'0'0'14743,"-11"-8"-12694,14 6-2017,16 0-32,4 2 336,-2-1-336,-8-1-4306</inkml:trace>
  <inkml:trace contextRef="#ctx0" brushRef="#br0" timeOffset="2754.69">604 2450 96,'0'0'8084,"0"-11"-6734,0-35 345,0 26 1626,0-1 4300,0 23-7901,0 19 211,-1 65 199,4-1 0,18 112 0,36 39 136,-52-209-411</inkml:trace>
  <inkml:trace contextRef="#ctx0" brushRef="#br0" timeOffset="3077.72">504 2969 8324,'0'0'8193,"0"3"-8089,-1 1-61,1 0-1,0-1 1,0 1-1,0 0 1,0 0 0,0-1-1,1 1 1,-1 0-1,1-1 1,0 1 0,1 0-1,-1-1 1,0 1 0,1-1-1,0 0 1,0 1-1,0-1 1,0 0 0,0 0-1,1 0 1,-1-1-1,1 1 1,0-1 0,0 1-1,0-1 1,0 0 0,0 0-1,1 0 1,-1 0-1,0-1 1,1 1 0,-1-1-1,1 0 1,0 0-1,-1 0 1,8 0 0,2 0 118,-1-1-1,0-1 1,1 0 0,-1-1 0,0 0 0,0 0 0,0-2 0,0 1 0,0-1-1,-1-1 1,0 0 0,0-1 0,0 0 0,-1-1 0,1 0 0,-2 0 0,1-1-1,-1-1 1,11-12 0,-9-7 1712,-9 20-1883,1 25-9134</inkml:trace>
  <inkml:trace contextRef="#ctx0" brushRef="#br0" timeOffset="4305.52">168 3701 4978,'0'0'14484,"2"-1"-14150,0 1-311,0 0 0,0 0 0,0 0 0,-1 0 1,1 1-1,0-1 0,0 1 0,0-1 0,0 1 1,-1 0-1,1-1 0,0 1 0,-1 0 0,1 0 0,-1 0 1,1 0-1,-1 0 0,1 1 0,-1-1 0,2 2 1,35 38 130,-26-28-72,18 20 66,26 27 74,73 103 0,-115-137-542,-11-7-3618,-14-16-5648</inkml:trace>
  <inkml:trace contextRef="#ctx0" brushRef="#br0" timeOffset="4555.54">277 3735 9973,'0'0'9556,"-4"7"-9583,-2 5 50,2 1 0,0 0 0,0 0 0,1 0 0,1 1 0,0-1 0,1 1-1,0 15 1,-5 36 131,5-56-321,-10 53 689,10-57-775,-1 0 1,1 0-1,-1 0 0,0 0 1,0-1-1,-1 1 1,1-1-1,-1 1 0,-5 5 1</inkml:trace>
  <inkml:trace contextRef="#ctx0" brushRef="#br0" timeOffset="4881.85">427 3532 11429,'0'0'11091,"0"8"-10750,0 25 112,2 0 1,2 0-1,14 63 0,39 102 177,-56-194-632,2 4-281,13 35 609,-3-26-2254,-12-16 1524,0 0 0,0 0 0,1 0 0,-1-1-1,0 1 1,0-1 0,0 1 0,1-1 0,-1 1 0,0-1 0,0 1 0,1-1 0,0 0 0,16 0-6103,7 0-4234</inkml:trace>
  <inkml:trace contextRef="#ctx0" brushRef="#br0" timeOffset="5408.84">813 3833 7652,'0'0'13235,"-8"-17"-11979,-25-49-404,32 64-830,0 1 1,-1-1 0,1 0 0,-1 0 0,1 1 0,-1-1 0,1 1 0,-1-1 0,0 1 0,0 0 0,0-1 0,0 1 0,0 0 0,0 0-1,0 1 1,0-1 0,0 0 0,0 1 0,-1-1 0,1 1 0,0 0 0,0 0 0,-1 0 0,1 0 0,0 0 0,0 0 0,-1 0 0,1 1 0,0-1-1,0 1 1,0 0 0,0 0 0,0 0 0,0 0 0,0 0 0,0 0 0,0 0 0,0 0 0,0 1 0,1-1 0,-3 3 0,-1 3-30,0-1 1,1 1 0,0 1 0,0-1 0,1 1-1,0 0 1,0-1 0,1 1 0,-1 0-1,2 1 1,-1-1 0,2 0 0,-1 0-1,1 1 1,0-1 0,0 0 0,4 16 0,-4-21 0,1 0 1,0-1-1,0 1 1,0 0-1,0 0 1,1-1-1,-1 1 1,1-1 0,-1 0-1,1 1 1,0-1-1,0 0 1,0 0-1,0 0 1,0 0-1,1 0 1,-1-1 0,1 1-1,-1 0 1,1-1-1,-1 0 1,1 0-1,0 0 1,0 0-1,3 1 1,6 0-82,-1 0-1,1-1 1,0 0-1,22-1 1,-31 0 80,0-1 0,0 1 0,0-1 0,0 1 0,1-1 0,-1 0 0,0 0 0,0 0 1,0 0-1,0-1 0,-1 1 0,1-1 0,0 0 0,-1 0 0,1 0 0,3-4 0,-3 2 7,1 0-1,-1-1 1,0 1-1,-1-1 1,1 0-1,-1 0 1,0 0-1,0 0 1,1-6-1,2-10 9,-2-1 0,-1 1 0,0-42 0,-2 57-13,0-14 127,0 0 1,-1 0-1,-2 1 1,0-1-1,0 0 1,-2 1-1,-1-1 1,0 1-1,-1 1 1,-1-1-1,-18-28 1,21 44 455,3 11-474,1 19-365,1-20 304,0 18-48,1-1 0,1 1 0,1 0 0,1-1 0,1 0 0,1 0 0,11 27 0,33 62 16,-42-99-586,1 1-1,0-1 1,0 0-1,1-1 1,16 16-1,-23-26-160,0-1 0,0 1 1,0-1-1,0 0 0,0 0 0,1 0 0,-1 0 0,1-1 0,-1 1 0,1-1 0,7 2 1,13-2-7624</inkml:trace>
  <inkml:trace contextRef="#ctx0" brushRef="#br0" timeOffset="6963.98">1121 3718 8084,'0'0'12456,"-10"-7"-11872,-33-20-317,42 26-261,-1 0-1,1 0 1,-1 0-1,1 1 1,0-1-1,-1 1 1,1-1-1,-1 1 1,1-1-1,-1 1 1,1 0 0,-1 0-1,1 0 1,-1 0-1,1 0 1,-1 0-1,0 0 1,1 1-1,-1-1 1,1 0-1,-1 1 1,1-1-1,0 1 1,-1 0 0,1-1-1,0 1 1,-1 0-1,1 0 1,0 0-1,0 0 1,-1 0-1,1 0 1,0 0-1,0 0 1,0 1-1,1-1 1,-1 0 0,0 1-1,-1 1 1,-1 4 14,1-1 0,-1 0 0,1 0 0,0 1 1,1 0-1,-2 9 0,2-10-35,1 0-1,-1 1 1,1-1 0,1 1-1,-1-1 1,1 0 0,0 1 0,0-1-1,1 0 1,0 0 0,0 0-1,0 0 1,5 9 0,-4-12 2,0 0 0,-1 1 0,1-1 0,1 0 0,-1 0 0,0 0-1,1-1 1,-1 1 0,1-1 0,0 0 0,0 0 0,0 0 0,0-1 0,0 1 0,0-1 0,1 0 0,-1 0 0,0 0 0,1-1 0,6 1 0,-8-1 17,-1 1 0,1-1-1,-1 0 1,1 0 0,0 0 0,-1 0 0,1 0 0,-1-1 0,1 1 0,-1-1 0,1 0 0,-1 1 0,1-1-1,-1 0 1,0-1 0,1 1 0,-1 0 0,0-1 0,0 1 0,0-1 0,0 1 0,0-1 0,0 0 0,-1 0-1,1 0 1,0 0 0,-1 0 0,0 0 0,1-1 0,-1 1 0,0 0 0,0-1 0,0 1 0,-1-1 0,1 1-1,-1-1 1,1 1 0,-1-1 0,0 0 0,0 1 0,0-1 0,0-2 0,1-14 258,0-39 734,-1 55-835,-1 0 0,1-1-1,-1 1 1,1 0 0,-1-1 0,0 1 0,0 0 0,-1 0 0,1 0 0,-1 0 0,1 0 0,-1 0 0,-4-4 0,5 6 191,0 1-339,1 3-159,0 7 69,0-1 0,1 1 0,0 0 1,0-1-1,1 1 0,0-1 0,1 0 1,0 0-1,0 0 0,1 0 0,0 0 1,1-1-1,0 1 0,0-1 1,1 0-1,0-1 0,0 0 0,1 0 1,0 0-1,11 8 0,-15-13-88,0 0-1,0 0 1,0 0-1,0 0 1,1-1-1,-1 0 0,1 1 1,0-1-1,-1 0 1,1-1-1,0 1 1,-1-1-1,1 0 1,0 0-1,-1 0 1,1 0-1,0 0 1,5-2-1,-6 1 128,-1 0 0,1 0-1,-1 0 1,0-1 0,1 1-1,-1-1 1,0 1 0,0-1 0,0 0-1,0 0 1,0 0 0,-1 0-1,1 0 1,0 0 0,-1 0 0,0-1-1,0 1 1,1 0 0,-1-1-1,-1 1 1,1-1 0,0 0-1,0 1 1,-1-1 0,1-4 0,1-19 635,-1-40-1,-1 56-256,-1 0-1,0 0 0,0 0 1,-1 1-1,-1-1 0,0 1 1,-5-12-1,4 47 0,3 6-506,0-8 181,2 1 0,5 41 0,-6-60-118,2 0 0,-1 0-1,1 0 1,-1-1-1,2 1 1,-1-1-1,1 1 1,-1-1 0,1 0-1,1 1 1,-1-2-1,1 1 1,0 0 0,0-1-1,0 0 1,7 6-1,-8-9 30,-1 0 0,1 0-1,-1 0 1,1 0 0,0 0-1,-1 0 1,1 0-1,0-1 1,0 0 0,-1 1-1,1-1 1,0 0 0,0 0-1,0-1 1,-1 1 0,1-1-1,0 1 1,0-1 0,-1 0-1,1 0 1,0 0 0,-1 0-1,1 0 1,-1-1 0,0 1-1,1-1 1,-1 0-1,0 1 1,0-1 0,0 0-1,0 0 1,0-1 0,0 1-1,-1 0 1,1 0 0,-1-1-1,0 1 1,0-1 0,1 0-1,0-3 1,2-10 476,1-1 0,-2 0 0,0-1 0,-1 1 0,-1 0 1,-2-30-1,1 28-162,0 17-134,0 1 0,0-1 0,0 1 0,0-1 0,0 0 0,0 1 0,-1-1 0,1 1 0,-1-1 0,1 1 1,-1-1-1,1 1 0,-1-1 0,0 1 0,0 0 0,0-1 0,-1-1 0,2 3-6,0 14-310,0-9 197,-1 15-30,2-1 0,4 25-1,-4-37-6,1 0-1,0 0 1,0 0-1,1 0 1,0-1-1,0 1 1,0-1-1,1 1 1,7 8-1,-8-11-234,0 1 0,1-1 0,-1 0-1,1-1 1,0 1 0,0 0 0,0-1-1,0 0 1,1 0 0,-1 0-1,1-1 1,0 0 0,0 1 0,0-2-1,0 1 1,0 0 0,0-1-1,0 0 1,1 0 0,-1-1 0,0 0-1,6 0 1,-9 0 259,0 0-1,0 0 1,-1 0-1,1-1 1,0 1-1,0 0 1,-1-1-1,1 0 1,0 1-1,-1-1 1,1 0-1,-1 0 1,1 0-1,-1 0 1,1 0-1,-1 0 0,0 0 1,0-1-1,1 1 1,0-2-1,1-1 19,-1 0-1,0-1 0,0 1 0,0 0 1,0-1-1,0 0 0,0-6 0,1-8 496,0 0 0,-1-35 1,-2 51-388,0-16 516,1 9-104,-1 0 0,0 0 1,-1 0-1,0 0 1,-4-14-1,5 22-445,-1 0-1,0 0 1,0 0 0,0 0-1,0 0 1,0 0 0,0 1 0,0-1-1,-1 0 1,1 0 0,-1 1-1,1-1 1,-1 1 0,0-1 0,1 1-1,-1 0 1,0 0 0,0 0-1,0 0 1,0 0 0,0 0-1,0 0 1,0 1 0,0-1 0,0 1-1,-1 0 1,1-1 0,0 1-1,0 0 1,-3 0 0,5 0-72,-1 1 0,0-1-1,0 0 1,1 1 0,-1-1 0,0 0 0,0 1 0,1-1 0,-1 1-1,1-1 1,-1 1 0,0 0 0,1-1 0,-1 1 0,1-1 0,-1 1-1,1 0 1,0 0 0,-1-1 0,1 1 0,0 0 0,-1-1 0,1 1 0,0 0-1,0 0 1,0 0 0,0-1 0,-1 1 0,1 0 0,1 1 0,-3 31-88,2-27 84,0 0-8,0 0 0,0 0 0,1 1-1,0-1 1,0 0 0,0 0 0,1 0-1,0 0 1,4 9 0,-4-12-42,0 0 1,0 0-1,0 0 1,1-1-1,-1 0 1,1 1 0,-1-1-1,1 0 1,0 0-1,0 0 1,0 0-1,0-1 1,0 1-1,0-1 1,1 0-1,-1 0 1,0 0-1,7 1 1,-3-1-145,-1 0 0,1 0 1,0 0-1,-1-1 0,1 0 1,0 0-1,-1 0 1,1-1-1,0 0 0,7-3 1,-10 2 187,1 0 1,-1 0-1,0-1 0,0 1 1,0-1-1,0-1 1,0 1-1,0 0 1,-1-1-1,0 0 1,0 1-1,0-1 1,0-1-1,2-3 1,1-3 184,0 0-1,-1-1 1,6-16 0,0-17 3053,-11 45-3210,0 0 0,0-1-1,0 1 1,0 0 0,0 0-1,1-1 1,-1 1 0,0 0-1,0 0 1,0-1 0,0 1-1,0 0 1,0 0 0,1 0-1,-1-1 1,0 1 0,0 0-1,0 0 1,1 0 0,-1 0-1,0-1 1,0 1-1,0 0 1,1 0 0,-1 0-1,0 0 1,0 0 0,1 0-1,-1 0 1,0 0 0,0 0-1,1-1 1,-1 1 0,0 0-1,1 0 1,-1 0 0,0 1-1,0-1 1,1 0 0,-1 0-1,0 0 1,0 0 0,1 0-1,-1 0 1,0 0 0,0 0-1,1 0 1,-1 1 0,0-1-1,0 0 1,0 0-1,1 0 1,-1 0 0,0 1-1,0-1 1,0 0 0,0 0-1,1 1 1,-1-1 0,0 0-1,0 0 1,0 1 0,12 15 366,7 31-612,17 64-1,-11-29-107,-25-82 331,0-1 0,0 1 0,0 0 0,0 0 0,0 0 0,0 0 0,1-1 0,-1 1 0,0 0 0,0 0 0,0 0 0,0 0 0,1-1 0,-1 1 0,0 0 0,0 0 0,0 0 0,1 0 0,-1 0 0,0 0 0,0 0 0,0 0 0,1 0 1,-1 0-1,0 0 0,0 0 0,1 0 0,-1 0 0,0 0 0,0 0 0,0 0 0,1 0 0,-1 0 0,0 0 0,0 0 0,0 0 0,1 0 0,-1 0 0,0 0 0,0 1 0,0-1 0,1 0 0,-1 0 0,0 0 0,0 0 0,0 0 0,0 1 0,0-1 0,1 0 0,-1 0 0,0 0 0,0 1 0,0-1 0,0 0 0,0 0 0,0 0 0,0 1 0,0-1 0,0 0 1,0 0-1,0 0 0,0 1 0,0-1 0,0 0 0,0 0 0,0 1 0,0-1 0,6-17 205,11-97 126,2-14 768,-17 122-1001,0-1-1,0 1 0,1-1 1,0 1-1,5-10 0,-7 15-82,-1 0-1,1 0 1,0 0-1,-1 0 0,1 0 1,0 0-1,-1 0 1,1 0-1,0 0 1,0 1-1,0-1 1,0 0-1,0 1 0,0-1 1,0 0-1,0 1 1,0-1-1,0 1 1,0 0-1,0-1 1,0 1-1,0 0 0,0 0 1,0 0-1,0 0 1,1-1-1,-1 2 1,0-1-1,0 0 1,0 0-1,0 0 0,0 0 1,0 1-1,1-1 1,-1 0-1,0 1 1,0-1-1,0 1 1,0 0-1,0-1 1,0 1-1,-1 0 0,3 1 1,4 5 8,-1 0 1,1 1 0,-1 0-1,-1 0 1,1 0-1,5 14 1,24 59-68,-29-65-2,-1-3-191,-1 1 0,5 21 0,-5 7-4066,-3-34-1188</inkml:trace>
  <inkml:trace contextRef="#ctx0" brushRef="#br0" timeOffset="7930.36">13038 1506 4258,'0'0'15805,"0"0"-15768,-1 1 0,0-1 0,1 1 0,-1 0 1,1-1-1,0 1 0,-1 0 0,1 0 1,-1-1-1,1 1 0,0 0 0,0 0 1,0-1-1,-1 1 0,1 0 0,0 0 1,0 0-1,0 0 0,0-1 0,0 1 1,0 0-1,0 0 0,1 1 0,-3 47 606,3 1-1,1 0 1,3-1-1,13 58 0,58 138-27,-72-232-616,4 14-559,-8-14-8239</inkml:trace>
  <inkml:trace contextRef="#ctx0" brushRef="#br0" timeOffset="8193.68">12929 2034 7972,'0'0'7953,"0"11"-7649,-1-5-282,1-1 1,0 0-1,0 1 1,1-1-1,0 0 1,-1 1-1,2-1 1,-1 0-1,1 0 1,0 0-1,0 0 1,0 0-1,0 0 1,1 0 0,0-1-1,0 1 1,0-1-1,1 0 1,0 0-1,-1 0 1,1 0-1,1-1 1,-1 0-1,9 6 1,-7-6 97,0 0 1,1-1-1,-1 1 1,1-1-1,-1 0 0,1-1 1,0 0-1,0 0 1,0 0-1,0-1 1,0 0-1,0 0 1,0-1-1,-1 1 1,1-2-1,0 1 0,0-1 1,-1 0-1,1 0 1,-1-1-1,1 0 1,-1 0-1,0-1 1,0 1-1,-1-1 1,1 0-1,-1-1 1,0 0-1,0 1 0,0-2 1,0 1-1,5-9 1,-5 6-107,-1 0 1,0 0-1,0 0 1,0-1-1,-1 1 1,2-13-1,-1-11-2791</inkml:trace>
  <inkml:trace contextRef="#ctx0" brushRef="#br0" timeOffset="8753.18">12461 2941 2161,'0'0'15991,"124"139"-15286,-83-88-161,4 2-80,0-4-384,-3-6 64,-8-9-144,-12-8 80,-7-9-176,-9-8-1457,-6-3-1456</inkml:trace>
  <inkml:trace contextRef="#ctx0" brushRef="#br0" timeOffset="9000.74">12700 2997 8820,'0'0'10973,"-3"14"-10711,-12 103 703,-1 212 1,16-329-1103,0 1 0,0 0 0,0-1 0,0 1 0,0 0 0,1-1 0,-1 1 0,0 0 0,1-1 0,-1 1 0,0-1 0,1 1 0,-1-1 0,1 1 0,-1-1 0,0 1 0,1-1 0,-1 1 0,1-1 1,0 1-1,-1-1 0,1 0 0,-1 1 0,1-1 0,0 0 0,-1 0 0,1 1 0,0-1 0,-1 0 0,1 0 0,0 0 0,-1 0 0,1 0 0,0 0 0,-1 0 0,2 0 0,25-4-6280,-1-7-4084</inkml:trace>
  <inkml:trace contextRef="#ctx0" brushRef="#br0" timeOffset="9390.28">12920 2851 10981,'0'0'11520,"0"10"-10682,5 70-230,29 154 0,-28-204-554,-4-14-48,1-2 0,-1 0 1,2 0-1,7 22 0,-10-33-5,0 0-1,1-1 1,-1 1-1,1 0 1,0 0-1,-1-1 1,1 1-1,0-1 1,0 0-1,1 1 1,-1-1-1,0 0 0,1 0 1,0-1-1,-1 1 1,1 0-1,0-1 1,0 0-1,-1 1 1,1-1-1,0 0 1,4 0-1,-1 0-71,0 0-1,0-1 0,0 0 1,0 0-1,0 0 0,0-1 1,-1 1-1,1-2 0,0 1 1,0 0-1,-1-1 0,1 0 0,-1-1 1,10-4-1,-12 4-44,0 1 1,0-1-1,1 0 0,-2 0 0,1 0 0,0-1 0,-1 1 1,1 0-1,-1-1 0,0 0 0,0 1 0,0-1 1,-1 0-1,1 0 0,-1 0 0,0 0 0,0 0 1,-1-1-1,1 1 0,-1 0 0,0-6 0,0 9-198,0 0-1,0 0 1,0 0-1,0 0 1,0 0-1,0 0 1,0 0 0,-1 0-1,1 0 1,0 0-1,-1 0 1,1 1-1,-1-1 1,1 0-1,-1 0 1,1 0-1,-1 0 1,0 1-1,1-1 1,-1 0-1,0 1 1,1-1 0,-1 0-1,0 1 1,0-1-1,0 1 1,0 0-1,0-1 1,1 1-1,-3-1 1,-14-5-8901</inkml:trace>
  <inkml:trace contextRef="#ctx0" brushRef="#br0" timeOffset="10745.26">13441 2969 7732,'0'0'12144,"-3"2"-12022,0 0-116,1 0 0,0 0 0,1 0 0,-1 0 0,0 1 0,1-1 0,-1 1 0,1-1 0,-1 1 0,1-1 0,0 1 0,0 0 0,1-1 0,-1 1 0,0 0 0,1 0 0,0 0 0,-1 3 0,1 65 330,0-44-255,1-18-55,-1 0 0,1 0 0,0 0 0,1 0 0,0 0 0,1 0 0,0 0 0,4 9 0,-5-15-24,-1 0 0,1 0 0,-1 0 0,1 0 0,0 0 0,0-1 0,1 1 0,-1-1 0,0 1 1,1-1-1,0 0 0,-1 0 0,1 0 0,0 0 0,0 0 0,0-1 0,0 1 0,0-1 0,1 0 0,-1 0 1,0 0-1,1 0 0,-1-1 0,6 1 0,-6-1-6,0 0 1,0 0-1,-1 0 0,1 0 0,0 0 1,0-1-1,0 1 0,0-1 1,0 0-1,0 0 0,-1 0 1,1 0-1,0-1 0,-1 1 1,1-1-1,-1 1 0,0-1 1,1 0-1,-1 0 0,0 0 1,0 0-1,0 0 0,0-1 1,-1 1-1,1-1 0,-1 1 1,1-1-1,1-4 0,2-4-97,0 0-1,0 0 0,-1 0 1,0-1-1,-1 1 1,2-21-1,-2-2 1317,-1-36-1,-2 69-891,0 1-318,-1 0-1,1 0 0,-1 0 1,1 0-1,0 0 1,-1 1-1,1-1 1,0 0-1,-1 0 0,1 1 1,0-1-1,-1 0 1,1 0-1,0 1 1,-1-1-1,1 0 1,0 1-1,0-1 0,-1 0 1,1 1-1,0-1 1,0 1-1,0-1 1,0 0-1,0 1 1,-1-1-1,1 1 0,0-1 1,0 0-1,0 1 1,0-1-1,0 1 1,0 0-1,-1 16-186,1-15 186,-1 11 2,1-1 0,1 1-1,0-1 1,0 1 0,1-1-1,1 1 1,0-1 0,6 15-1,-7-23-21,0 0-1,0 1 0,1-1 0,-1 0 1,1 0-1,0-1 0,0 1 0,0-1 1,1 1-1,-1-1 0,1 0 0,0 0 1,0-1-1,0 1 0,0-1 1,0 0-1,1 0 0,-1 0 0,0 0 1,1-1-1,0 0 0,-1 0 0,1 0 1,0 0-1,5-1 0,-7 0-4,0 1 0,0-1-1,0 0 1,0 0 0,1 0 0,-1-1-1,0 1 1,0-1 0,0 0 0,0 0-1,0 0 1,0 0 0,0 0 0,-1-1-1,6-3 1,-6 3 4,0-1 1,1 0-1,-1 0 0,0 0 1,-1 0-1,1 0 0,-1-1 1,1 1-1,-1 0 0,0-1 1,0 1-1,-1-1 0,2-6 1,1-16 120,-1-1 0,-1 1 0,-2-1 0,-3-26 0,3 50 35,0-1-1,0 0 1,0 0 0,-1 0 0,1 1-1,-4-7 1,-1 0 1278,3 32-1284,1 23 149,1 1 0,9 60 0,23 90 73,6 75-251,-37-252-94,0-18 46,0-8 171,-8-364 91,1 131-118,7 221-220,-1 5 13,0 1 0,1-1 0,1 1 1,1-1-1,4-19 0,-6 30-14,1 1 0,0 0 0,0-1 0,0 1 0,0 0 0,0-1 0,1 1 0,-1 0 0,1 0 0,-1 0 0,1 0 0,0 1 0,0-1 0,0 0 0,0 1 0,0-1 0,0 1 0,0 0 0,0-1 0,1 1 0,-1 0 0,1 0 0,-1 1 0,0-1 0,1 0 0,-1 1 0,1 0 0,-1-1 0,1 1 0,0 0 0,-1 0 0,1 1 0,-1-1 0,1 0 0,3 2 0,-2-1 17,0 1 0,-1-1 0,1 1 0,0 0 0,-1 0-1,1 0 1,-1 0 0,0 1 0,0-1 0,0 1 0,0 0 0,0 0-1,0 0 1,-1 0 0,0 1 0,3 3 0,3 7-10,0 1 0,9 23 0,-10-20-91,-2 1-1,0 0 1,-1 0 0,-1 0-1,-1 1 1,0-1 0,-3 26-1,1-43 59,0 1 0,-1 0 0,1-1 0,-1 1 0,1-1 1,-1 1-1,0-1 0,0 1 0,-1-1 0,1 0 0,0 1 0,-1-1 0,1 0 0,-1 0 0,0 0 0,0 0 0,0 0 0,0-1 0,0 1 0,0-1 0,0 1 0,0-1 0,-1 1 0,1-1 1,0 0-1,-1 0 0,1-1 0,-1 1 0,0 0 0,1-1 0,-4 1 0,-4 1-995,0-1-1,0 0 1,0-1 0,-1 0-1,1 0 1,-20-4-1,10-4-5047</inkml:trace>
  <inkml:trace contextRef="#ctx0" brushRef="#br0" timeOffset="11635.06">19785 1252 5795,'0'0'11237,"0"85"-8206,2-24-2418,3-1 1,3 0-1,2-1 1,35 111 0,4-49-1634,-48-121 716,1 12-1475</inkml:trace>
  <inkml:trace contextRef="#ctx0" brushRef="#br0" timeOffset="11913.42">19664 1799 8516,'0'0'9455,"0"9"-9543,0-8 89,-1 6-2,1 1 0,0-1 1,0 1-1,1-1 0,1 10 0,-1-14 3,0 0 0,0 0 0,0 0 0,0-1 0,1 1 0,-1 0 0,1-1 0,-1 1 0,1-1-1,0 1 1,0-1 0,0 0 0,1 0 0,-1 0 0,0 0 0,1 0 0,-1-1 0,1 1 0,3 1 0,-1-1 47,0 0 1,0 0 0,0 0 0,0-1 0,1 0 0,-1 0-1,0 0 1,0-1 0,1 0 0,-1 0 0,0 0 0,1 0 0,-1-1-1,0 0 1,0 0 0,0-1 0,0 1 0,0-1 0,0 0 0,0 0-1,0-1 1,-1 0 0,1 1 0,-1-1 0,0-1 0,0 1-1,0-1 1,0 0 0,-1 1 0,1-2 0,-1 1 0,0 0 0,0-1-1,-1 1 1,1-1 0,-1 0 0,3-9 0,0-2-206,0-1 0,-1 0 0,-1 0 1,2-29-1,-3 38-151,0 5-1243,1 22-14313</inkml:trace>
  <inkml:trace contextRef="#ctx0" brushRef="#br0" timeOffset="14665.93">21437 2781 7139,'0'0'11766,"128"-30"-11766,-59 17-4258</inkml:trace>
  <inkml:trace contextRef="#ctx0" brushRef="#br0" timeOffset="15556.07">31939 875 1377,'0'0'19750,"0"-6"-18968,0-8-443,0 24-302,2 22-5,11 43 478,4 0 0,32 85-1,2 11-411,-38-110-465,-10-29-1606,-8-5-3813,-3-18-796</inkml:trace>
  <inkml:trace contextRef="#ctx0" brushRef="#br0" timeOffset="15818.92">31909 1445 5811,'0'0'14329,"-6"-1"-13769,5 1-563,0 0 0,0 0 0,1-1 0,-1 1-1,0 0 1,0 0 0,0 0 0,0 0 0,0 0 0,0 0 0,0 0 0,1 0-1,-1 1 1,0-1 0,0 0 0,0 0 0,0 1 0,1-1 0,-1 1-1,0-1 1,0 1 0,1-1 0,-1 1 0,0-1 0,1 1 0,-1-1-1,0 1 1,1 0 0,-1-1 0,1 1 0,-1 0 0,1 0 0,-1-1 0,1 1-1,0 0 1,-1 1 0,0 4-11,0 0 0,1-1 0,0 1 0,0 0 1,0 0-1,2 6 0,-1-6 17,0 0 0,0 0 1,1 0-1,-1-1 0,2 1 0,-1-1 1,0 1-1,1-1 0,0 0 0,0 0 1,1 0-1,-1 0 0,1-1 1,0 1-1,0-1 0,1 0 0,-1 0 1,1-1-1,0 1 0,8 4 0,-3-4 58,0 1 0,0-1 0,1 0-1,-1-1 1,1 0 0,0-1-1,0 0 1,0-1 0,-1 0-1,15-1 1,-22 0-26,0-1-1,-1 1 1,1-1 0,0 1-1,-1-1 1,1 0 0,-1 0-1,1 0 1,-1 0 0,1 0-1,-1-1 1,0 1 0,0-1-1,1 0 1,-1 1 0,0-1-1,0 0 1,-1 0 0,1 0-1,0-1 1,2-3 0,8-24-1618,-9-2-5336</inkml:trace>
  <inkml:trace contextRef="#ctx0" brushRef="#br0" timeOffset="21647.71">0 4192 3666,'0'0'12045,"0"-6"-6842,0 8-4518,5 26-544,1 0 0,1-1 0,1 0 0,2 0 0,0 0 0,17 27 0,-27-53-72,1 0-1,-1 0 1,1-1 0,-1 1-1,1 0 1,-1 0-1,1-1 1,-1 1-1,1 0 1,0-1 0,0 1-1,-1 0 1,1-1-1,0 1 1,0-1-1,0 1 1,-1-1 0,1 0-1,0 1 1,0-1-1,0 0 1,0 0-1,0 0 1,0 1 0,0-1-1,0 0 1,0 0-1,0 0 1,0 0-1,0-1 1,-1 1 0,1 0-1,0 0 1,1-1-1,34-18 1022,-14 6-1199,2 3 104,12-7-176,1 3 0,0 1 0,1 1 0,57-8 0,-48 14 109,193-15 42,-70 8 232,-26 1-59,83-14 117,-28 2-200,-132 20-1,350-28 365,-355 28-373,62 5 1,-43 0-6,-28 1-54,84 15-1,-80-8 40,96 3 0,-158-38-241,-4 7 172,3 8 83,1 1 0,0-1 0,1 0 0,0 0 0,0 0 1,2 0-1,-1 0 0,1-1 0,0-16 0,2 16 51,3-42 174,-2 51-277,0 0 0,-1 0 0,1 0-1,1 0 1,-1 0 0,0 0 0,1 0 0,-1 0-1,1 1 1,0-1 0,0 1 0,0-1 0,0 1-1,0 0 1,3-3 0,-5 5-66,1 0 0,-1 0 0,0 0 0,0 0 1,0 0-1,0 0 0,1 0 0,-1-1 0,0 1 0,0 0 0,0 0 1,1 0-1,-1 0 0,0 0 0,0 0 0,0 0 0,1 0 0,-1 0 1,0 0-1,0 0 0,0 0 0,1 0 0,-1 0 0,0 0 0,0 0 1,0 1-1,1-1 0,-1 0 0,0 0 0,0 0 0,0 0 0,1 0 1,-1 0-1,0 0 0,0 1 0,0-1 0,0 0 0,0 0 0,1 0 0,-1 0 1,0 1-1,0-1 0,0 0 0,0 0 0,0 0 0,0 1 0,0-1 1,0 0-1,0 0 0,0 0 0,0 1 0,0-1 0,0 0 0,0 0 1,0 0-1,0 1 0,0-1 0,0 0 0,0 0 0,0 0 0,0 1 1,0 13-3917,-2-2-4107</inkml:trace>
  <inkml:trace contextRef="#ctx0" brushRef="#br0" timeOffset="43320.17">2668 3536 4466,'0'0'10978,"-4"10"-10284,0 7-413,0-1 0,0 2 0,2-1 0,0 0 0,1 0 0,1 1 0,3 31 1,2-17-178,1 1 1,1-1 0,19 48 0,-22-72-467,0 4-1040,-2-5-4750</inkml:trace>
  <inkml:trace contextRef="#ctx0" brushRef="#br0" timeOffset="43523.21">2538 3861 1521,'0'0'10292,"105"-26"-10132,-63 22-79,3-2 143,2-1-224,0-3-1041,-7-3-2897</inkml:trace>
  <inkml:trace contextRef="#ctx0" brushRef="#br0" timeOffset="43770.02">2988 3710 9716,'0'0'8068,"0"10"-8068</inkml:trace>
  <inkml:trace contextRef="#ctx0" brushRef="#br0" timeOffset="44393.38">3277 3451 6435,'0'0'9372,"-4"-9"-8465,-17-26-373,20 34-518,0 0 0,0 0 0,0 0 0,0 1 0,0-1 1,0 0-1,0 0 0,0 1 0,0-1 0,0 1 0,0-1 0,0 1 0,0-1 1,-1 1-1,1 0 0,0 0 0,0-1 0,0 1 0,-1 0 0,1 0 0,0 0 0,0 0 1,-1 1-1,1-1 0,-1 1 0,-5-1-6,1 0 32,1 0-1,-1 0 1,1 1-1,-1 0 0,1 0 1,-1 0-1,1 0 1,-1 1-1,1 0 0,0 0 1,0 0-1,0 1 1,0 0-1,1 0 0,-1 0 1,1 0-1,-1 1 1,1 0-1,0 0 0,1 0 1,-1 0-1,1 1 1,0-1-1,0 1 0,0 0 1,0 0-1,1 0 1,-2 5-1,0-2-13,1 0 1,1 0-1,-1 0 1,1 0-1,1 1 0,-1-1 1,2 0-1,-1 1 1,1-1-1,0 1 1,1-1-1,2 17 0,-1-20-12,-1 0 1,1 0-1,0 0 0,1 0 0,-1-1 0,1 1 0,0-1 0,0 0 0,0 1 0,0-1 0,1-1 0,0 1 0,0 0 0,0-1 0,0 0 1,0 0-1,1 0 0,-1 0 0,1-1 0,0 0 0,9 3 0,-3-2-97,0-1 0,0 0 0,1 0 0,-1-1 0,19-1 281,-41 2-694,6 0 488,0 0 0,1 1-1,0 0 1,-1 0 0,1 0 0,0 1 0,1-1-1,-1 1 1,0 0 0,1 0 0,0 0 0,0 0-1,0 1 1,1 0 0,-1-1 0,1 1 0,-2 6-1,0 1-3,1 1 1,0-1-1,0 1 0,2 0 0,-1 25 0,2-35 12,0 0 0,0 0 0,1 0-1,-1-1 1,1 1 0,0 0 0,0 0-1,0-1 1,0 1 0,1-1 0,-1 1-1,1-1 1,-1 1 0,1-1 0,0 0 0,0 0-1,0 0 1,0 0 0,0 0 0,1 0-1,-1 0 1,0-1 0,1 1 0,0-1-1,-1 0 1,1 0 0,0 0 0,-1 0 0,1 0-1,0-1 1,4 1 0,10 2 55,1-1-1,-1 0 1,35-3 0,-40 1-55,-6 0-152,-1-1 1,1 1 0,0-1 0,0-1-1,-1 1 1,1-1 0,5-2 0,-4 1-906,-1-1 0,1 0 1,-1 0-1,11-9 1,8-10-6358</inkml:trace>
  <inkml:trace contextRef="#ctx0" brushRef="#br0" timeOffset="44997.45">3490 3630 10181,'0'0'11261,"0"5"-10909,2 16-346,0 0 0,2 0 0,10 37 0,-8-36 75,0 0 0,-2 0-1,3 43 1,-7-65 103,2-25 26,-1 0 0,-3-29-1,0 28-217,4-46 0,-3 72 3,1 0-1,0-1 1,0 1-1,0 0 0,0 0 1,0-1-1,0 1 1,0 0-1,0 0 0,0 0 1,1-1-1,-1 1 1,0 0-1,0 0 0,0-1 1,0 1-1,0 0 1,0 0-1,0 0 0,0-1 1,1 1-1,-1 0 0,0 0 1,0 0-1,0 0 1,0-1-1,1 1 0,-1 0 1,0 0-1,0 0 1,0 0-1,1 0 0,-1 0 1,0 0-1,0-1 1,1 1-1,-1 0 0,0 0 1,0 0-1,1 0 1,-1 0-1,0 0 0,0 0 1,0 0-1,1 0 0,-1 0 1,0 0-1,0 1 1,1-1-1,-1 0 0,0 0 1,0 0-1,0 0 1,1 0-1,-1 0 0,0 0 1,0 1-1,0-1 1,1 0-1,-1 0 0,12 13-350,29 60 310,-35-60-52,1 1-1,0-1 1,0 0 0,2-1-1,-1 0 1,1 0-1,1-1 1,16 15-1,-24-25 76,0 1-1,0-1 1,0 1-1,0-1 0,0 0 1,0 0-1,0 0 0,0 0 1,0 0-1,1-1 1,-1 1-1,0-1 0,0 1 1,1-1-1,-1 0 1,0 0-1,1 0 0,-1 0 1,1 0-1,-1 0 0,0-1 1,0 1-1,1-1 1,-1 0-1,0 1 0,0-1 1,0 0-1,1 0 0,-1-1 1,0 1-1,-1 0 1,1-1-1,0 1 0,0-1 1,-1 0-1,1 1 1,0-1-1,-1 0 0,0 0 1,1 0-1,1-4 0,3-5 63,-1 0 0,0-1 0,0 0 0,-1 0-1,0 0 1,2-18 0,-2 0-22,-2 0-1,0-1 1,-6-52 0,0 75-121,3 8 47,1 0 0,0 0 0,0 0-1,-1 0 1,1 0 0,0 0 0,0 0 0,-1 1 0,1-1 0,0 0 0,0 0 0,0 0 0,0 0 0,-1 0-1,1 0 1,0 1 0,0-1 0,0 0 0,0 0 0,-1 0 0,1 1 0,0-1 0,0 0 0,0 0-1,0 0 1,0 1 0,0-1 0,0 0 0,0 0 0,0 1 0,0-1 0,0 0 0,0 0 0,0 1 0,0-1-1,0 0 1,0 0 0,0 1 0,0-1 0,0 0 0,0 0 0,0 0 0,0 1 0,0-1 0,0 17-1536,-1-8 362,1 0 0,0 0 0,1 0 0,1 10 0,9 4-3512</inkml:trace>
  <inkml:trace contextRef="#ctx0" brushRef="#br0" timeOffset="45525.52">3949 3613 8740,'0'0'12192,"-2"-5"-11426,-5-6-782,3 19-17,5 40 8,0-22 94,-1-5-26,1 0 1,2 0 0,0 0 0,1 0 0,1-1 0,14 39-1,-19-58-42,1 0 0,-1-1 0,0 1 0,0-1 0,0 1 0,1-1 0,-1 1 0,0-1 0,0 1 0,1-1 0,-1 1 0,1-1 0,-1 1 0,0-1 0,1 1 0,-1-1 0,1 0 0,-1 1 0,1-1 0,-1 0 0,1 1 0,0-1 0,6-7 293,0-20-66,-6 0-198,-1 1 1,-1 0-1,-1 0 1,-2 0-1,0 0 1,-8-25-1,9 42-2,0-1-12,0 1 0,1-1-1,0 1 1,0-1-1,1 0 1,1 1-1,-1-1 1,1 0 0,2-10-1,-1 19-19,-1 1 0,1-1 0,0 1-1,-1-1 1,1 1 0,0-1 0,-1 1 0,1 0-1,0-1 1,0 1 0,-1 0 0,1-1 0,0 1 0,0 0-1,0 0 1,-1 0 0,1 0 0,0 0 0,0 0-1,0 0 1,-1 0 0,1 0 0,1 0 0,21 3-37,-17-1 33,1 0 1,-1 1-1,0 0 1,1 0-1,-1 1 1,-1-1 0,1 1-1,0 1 1,-1-1-1,0 1 1,8 9-1,4 6-40,25 38-1,-34-46-58,-1 0 0,-1 0 1,0 1-1,8 26 0,-12-32 47,0 1 0,0 0 0,-1 0 0,0 0 1,-1 0-1,0 0 0,0 0 0,0 0 0,-1 0 0,-2 8 0,2-14 63,0 0-1,1-1 0,-1 1 0,0 0 0,0-1 0,0 1 0,0-1 0,0 1 0,0-1 0,-1 0 0,1 1 0,0-1 0,-1 0 0,1 0 1,-1 0-1,1 0 0,-1 0 0,0 0 0,1-1 0,-1 1 0,0 0 0,1-1 0,-4 1 0,-43 3-1559,45-4 1226,3-19-11327</inkml:trace>
  <inkml:trace contextRef="#ctx0" brushRef="#br0" timeOffset="45824.58">4372 3411 7347,'0'0'15170,"-11"-2"-14930,8 2-232,1-1 0,0 0 1,0 1 0,0-1 0,0 1 0,-1-1-1,1 1 1,0 0 0,-1 0 0,1 0 0,0 0-1,0 0 1,-1 1 0,1-1 0,0 0 0,0 1 0,0 0-1,0 0 1,0 0 0,0 0 0,0 0 0,0 0-1,0 0 1,0 0 0,0 1 0,0-1 0,1 1-1,-1-1 1,1 1 0,-1 0 0,1 0 0,0 0-1,-1-1 1,1 1 0,0 0 0,0 0 0,0 3 0,-5 12 56,1 0 0,1 1 0,0 0 1,2-1-1,0 1 0,1 0 0,1 0 1,0 0-1,1 0 0,1 0 0,8 30 1,-8-39-74,2 0 1,-1 1-1,1-2 1,0 1-1,1 0 1,0-1-1,0 0 1,1 0-1,0 0 0,8 7 1,-9-10-50,1 0 0,1 0 0,-1 0 0,1-1 0,-1 0-1,1-1 1,0 0 0,1 0 0,-1 0 0,0-1 0,1 0 0,0 0 0,14 1 0,21-3-2837,-40-1 2382,0 1 0,0-1 0,-1 0 0,1 0 0,0 0 1,-1 0-1,1 0 0,-1 0 0,1-1 0,-1 1 0,0-1 0,4-3 0,14-22-7216</inkml:trace>
  <inkml:trace contextRef="#ctx0" brushRef="#br0" timeOffset="46073.18">4593 3227 11381,'0'0'12070,"135"103"-11814,-90-40 112,-3 0-128,-7 3-128,-6-2 16,-13-2-128,-6-3 80,-10-7-224,0-6 32,-17-9-912,-9-5-561,-6-11-2369,0-8-3089</inkml:trace>
  <inkml:trace contextRef="#ctx0" brushRef="#br0" timeOffset="-39686.92">19286 3166 2561,'0'0'13193,"0"-1"-13157,0 1 0,-1 0 0,1 0 0,-1 0 0,1 0-1,0 0 1,-1 0 0,1 0 0,0 0 0,-1 0 0,1 0 0,-1 0 0,1 0 0,0 0 0,-1 0 0,1 0 0,0 0 0,-1 1 0,1-1-1,0 0 1,-1 0 0,1 0 0,0 0 0,-1 1 0,1-1 0,0 0 0,0 0 0,-1 1 0,1-1 0,1 3 8,1 0 0,-1 0 1,1-1-1,0 1 0,0-1 1,0 1-1,0-1 0,0 0 1,1 0-1,-1 0 0,0 0 1,1-1-1,5 4 0,-4-2 77,172 100 1596,-31-21-2601,-144-81 556,6 3-516</inkml:trace>
  <inkml:trace contextRef="#ctx0" brushRef="#br0" timeOffset="-39426.92">19523 3087 6851,'0'0'9629,"-6"17"-9264,0 1-194,-1 1 33,1-1 1,1 1-1,1 0 0,-3 25 1,1 159 806,6-162-1003,0-41-60,0 1 1,1 0-1,-1-1 0,0 1 1,0 0-1,0-1 1,1 1-1,-1-1 0,0 1 1,1-1-1,-1 1 1,0-1-1,1 1 0,-1-1 1,1 1-1,-1-1 1,1 1-1,-1-1 0,1 0 1,-1 1-1,1-1 1,-1 0-1,1 1 0,-1-1 1,1 0-1,0 0 1,-1 0-1,1 1 0,0-1 1,-1 0-1,1 0 1,-1 0-1,2 0 0,0 0-183,0 0-1,-1 0 1,1 0-1,0 0 1,-1-1-1,1 1 0,0 0 1,-1-1-1,1 1 1,-1-1-1,1 0 1,-1 1-1,1-1 1,1-1-1,15-20-4217</inkml:trace>
  <inkml:trace contextRef="#ctx0" brushRef="#br0" timeOffset="-39076.92">19661 2947 7251,'0'0'11670,"0"12"-11329,3 12 60,1 0 0,1 0-1,1-1 1,10 25 0,-6-19-131,30 67 178,-35-85-426,1-1 0,0 1 0,1-2 0,0 1 0,0-1 0,14 13 0,-18-19-21,0-1 0,0 1 0,1-1 1,-1 0-1,1 0 0,0 0 0,-1-1 0,1 1 0,0-1 0,0 0 0,0 0 0,0 0 0,0 0 0,0-1 0,0 0 1,1 0-1,-1 0 0,0 0 0,0-1 0,0 1 0,0-1 0,0 0 0,0-1 0,0 1 0,0 0 0,-1-1 1,1 0-1,0 0 0,-1 0 0,0-1 0,1 1 0,-1-1 0,4-4 0,-3 4-328,-1 0 0,0-1 0,-1 0 0,1 1 0,-1-1 0,0 0 0,0 0 0,0 0 0,0-1 0,0 1 0,1-8 0,-1-8-3592,-2 0-1737</inkml:trace>
  <inkml:trace contextRef="#ctx0" brushRef="#br0" timeOffset="-38726.92">19954 2876 6995,'0'0'12977,"-1"5"-12742,0 6-114,0 0 1,1 0-1,1 0 1,-1 0-1,2 0 1,-1-1-1,1 1 1,1 0-1,0-1 1,6 15-1,8 14 107,29 50 0,-7-23-2423</inkml:trace>
  <inkml:trace contextRef="#ctx0" brushRef="#br0" timeOffset="-38556.92">19868 3132 2113,'0'0'10613,"84"-12"-10645,-48 9-32,4-3-1713,-1-1-1376,-1-3-2274</inkml:trace>
  <inkml:trace contextRef="#ctx0" brushRef="#br0" timeOffset="-38196.92">20255 2987 7267,'0'0'11347,"-12"-4"-10696,-37-10-318,48 14-324,0 0-1,-1 1 0,1-1 0,0 0 1,0 0-1,0 1 0,0-1 1,0 1-1,-1-1 0,1 1 1,0-1-1,0 1 0,0-1 0,0 1 1,0 0-1,1 0 0,-1 0 1,0-1-1,0 1 0,0 0 0,1 0 1,-1 0-1,0 0 0,1 0 1,-1 0-1,1 1 0,-1-1 1,1 0-1,-1 2 0,-6 32 212,7-35-216,-1 10 25,0-1 1,1 1-1,0-1 1,0 1 0,1 0-1,1-1 1,-1 0 0,1 1-1,5 10 1,-6-16-26,1-1 1,0 1 0,0-1-1,0 0 1,0 0 0,1 0-1,-1 0 1,1 0-1,0 0 1,0-1 0,0 1-1,0-1 1,0 0-1,0 0 1,1 0 0,-1 0-1,1-1 1,-1 1-1,1-1 1,0 0 0,-1 0-1,1 0 1,0-1-1,0 1 1,7-1 0,-8 0-19,1 1 0,0-1 1,-1 0-1,1-1 0,0 1 1,0-1-1,-1 1 1,1-1-1,-1 0 0,1 0 1,0-1-1,-1 1 0,0-1 1,5-2-1,-6 1 2,0 1 1,0 0-1,0-1 1,0 1-1,0-1 0,-1 0 1,1 1-1,-1-1 1,0 0-1,0 0 0,0 0 1,0 0-1,0 0 1,-1 0-1,1 0 0,-1 0 1,0-6-1,0 2-82,0-1 0,0 1-1,0 0 1,-1 0 0,0 0 0,0 0-1,-1 0 1,0 0 0,-4-9 0,4 13 24,1 1-1,-1-1 1,1 1 0,-1 0 0,0-1 0,0 1-1,0 0 1,-1 0 0,1 0 0,0 1 0,-1-1-1,1 0 1,-1 1 0,1 0 0,-1-1 0,0 1 0,1 0-1,-1 0 1,0 1 0,0-1 0,0 0 0,0 1-1,0 0 1,-6 0 0,9 0-158,-1 1 0,0-1-1,0 0 1,0 1 0,1-1 0,-1 1 0,0-1 0,1 1-1,-1 0 1,0-1 0,1 1 0,-1 0 0,1-1 0,-1 1 0,1 0-1,-1 0 1,1-1 0,-1 1 0,1 0 0,0 0 0,0 0-1,-1 0 1,1 0 0,0-1 0,0 1 0,0 0 0,0 0-1,0 0 1,0 0 0,0 0 0,0 0 0,0-1 0,0 1-1,1 0 1,0 1 0,-1 4-2528,0 4-3650</inkml:trace>
  <inkml:trace contextRef="#ctx0" brushRef="#br0" timeOffset="-35286.92">20505 2746 384,'0'0'8556,"-1"-4"-7366,-9-18 580,-1 9 4957,11 16-6529,0 18-181,2 0 0,1 0 0,0 0 0,1 0 0,1 0 0,2-1 0,-1 0 1,2 0-1,1-1 0,1 0 0,22 33 0,-29-48-24,0-1-1,0 1 1,1-1-1,0 0 1,-1 0-1,1-1 1,0 1-1,1-1 1,-1 1-1,0-1 1,1-1-1,-1 1 1,1-1-1,-1 1 1,1-1-1,0-1 1,-1 1-1,1-1 1,0 1-1,0-1 1,0-1-1,-1 1 1,1-1-1,0 0 1,5-1-1,-8 1-20,-1 1-1,0 0 1,1-1 0,-1 0-1,0 1 1,1-1-1,-1 0 1,0 1-1,0-1 1,0 0-1,0 0 1,0 0-1,0 0 1,0 0 0,0 0-1,0 0 1,0 0-1,-1 0 1,1-1-1,0-1 1,1 0 11,-1-1 0,0 0 0,0 1 0,0-1 0,-1 0 0,1 0 0,-1-6 0,0 5 23,0 0 0,-1 0 1,1 0-1,-1 0 0,0 0 0,-1 0 0,1 0 0,-1 0 0,0 1 0,0-1 0,0 1 1,-3-5-1,4 8-1,0 0 0,1 0-1,-1 0 1,0 0 0,0 1 0,0-1 0,0 0 0,0 0 0,1 1 0,-1-1 0,-1 0 0,1 1 0,0-1 0,0 1 0,0-1 0,0 1 0,0 0 0,0-1 0,0 1 0,-1 0-1,1 0 1,0 0 0,0 0 0,0 0 0,0 0 0,-2 0 0,2 1-9,0 0-1,0 0 1,0-1 0,1 1-1,-1 0 1,0 0 0,0 0-1,1 0 1,-1 0 0,0 0-1,1 0 1,-1 0 0,1 1-1,0-1 1,-1 0 0,1 0-1,0 0 1,0 0 0,-1 1-1,1-1 1,0 0 0,0 0-1,1 2 1,-2-1 1,1-1-1,0 1 1,0-1 0,0 1 0,0 0-1,0-1 1,1 1 0,-1-1-1,0 1 1,1-1 0,-1 1 0,1-1-1,0 1 1,-1-1 0,1 1-1,0-1 1,0 0 0,0 1 0,0-1-1,0 0 1,0 0 0,0 0-1,3 2 1,-1-2-41,1 1 1,0-1-1,0 0 0,0-1 1,0 1-1,0-1 0,0 0 0,6 0 1,-7 0-15,-1 0 1,0 0-1,1 0 1,-1 0-1,0 0 1,1 0 0,-1-1-1,0 0 1,1 1-1,-1-1 1,0 0-1,0 0 1,0 0-1,0 0 1,0 0-1,0 0 1,0-1 0,0 1-1,0-1 1,-1 0-1,1 1 1,0-1-1,-1 0 1,0 0-1,1 0 1,-1 0-1,0 0 1,0 0 0,0 0-1,0 0 1,0 0-1,-1-1 1,1 1-1,-1 0 1,1-1-1,-1 1 1,0 0-1,0-1 1,0 1-1,-1-4 1,2 1 58,-1 1 0,0-1 0,-1 1 0,1-1 0,-1 1 0,0 0 0,0-1 0,0 1 0,-1 0 0,1 0 0,-1 0 0,-3-6 0,3 8 39,0 0 1,0 1-1,0-1 1,0 1-1,0-1 0,0 1 1,0 0-1,0-1 1,-1 1-1,1 1 1,0-1-1,-1 0 1,1 0-1,-1 1 1,1-1-1,0 1 1,-1 0-1,1 0 1,-1 0-1,1 0 1,-1 0-1,1 1 1,-1-1-1,-2 1 1,3 0-32,1-1 0,0 1 0,0 0 0,-1-1 1,1 1-1,0 0 0,0 0 0,0 0 1,0-1-1,0 1 0,0 0 0,0 1 0,0-1 1,0 0-1,1 0 0,-1 0 0,0 0 1,1 1-1,-1-1 0,1 0 0,-1 1 0,1-1 1,-1 0-1,1 1 0,0 1 0,-3 38 68,3-39-68,-1 4 7,2 1 0,-1-1-1,1 1 1,0-1 0,0 1 0,0-1 0,1 0 0,0 1-1,1-1 1,4 9 0,-4-11-6,-1 0 0,1 0-1,1-1 1,-1 1 0,0-1 0,1 0 0,0 0-1,0 0 1,0 0 0,0-1 0,0 0 0,1 0-1,-1 0 1,0 0 0,7 1 0,-4-1-21,0 0 0,0 0 0,0-1 0,0 0 0,0 0 0,0-1 0,0 1 0,0-2 0,0 1 0,0-1 0,0 0 0,13-4 0,-15 3-11,-1-1-1,1 1 1,-1-1-1,1 0 1,-1 0-1,0 0 1,0 0 0,0-1-1,0 0 1,-1 0-1,1 0 1,-1 0-1,0 0 1,0-1-1,-1 0 1,0 1-1,4-9 1,0-4-12,-1 0 0,-1 0 0,0-1-1,-1 1 1,-1-1 0,0 0 0,-1 0 0,-3-25 0,1 31 283,0 1 0,-1-1 0,0 1 0,-1-1 0,-1 1 0,1 0 0,-2 0 0,0 1 1,0-1-1,0 1 0,-2 0 0,1 0 0,-14-15 0,20 25-222,-1-1 0,1 1 1,0-1-1,0 1 0,-1 0 0,1-1 0,0 1 1,0-1-1,-1 1 0,1 0 0,-1-1 0,1 1 0,0 0 1,-1 0-1,1-1 0,-1 1 0,1 0 0,0 0 1,-1 0-1,1-1 0,-1 1 0,1 0 0,-1 0 0,1 0 1,-1 0-1,1 0 0,-1 0 0,1 0 0,-1 0 1,1 0-1,-1 0 0,1 0 0,-1 0 0,1 1 1,-1-1-1,1 0 0,0 0 0,-1 0 0,1 1 0,-1-1 1,1 0-1,-1 0 0,1 1 0,0-1 0,-1 0 1,1 1-1,0-1 0,-1 0 0,1 1 0,0-1 1,0 1-1,-1-1 0,1 1 0,0-1 0,0 0 0,0 1 1,0-1-1,-1 1 0,1-1 0,0 1 0,0-1 1,0 2-1,-3 34-188,3-31 260,1 28 39,1 1-1,2-1 0,1 1 0,2-1 0,1 0 0,2-1 0,15 35 0,0 3-36,3-1 1,3-2-1,44 72 0,-74-138-103,0 1 0,0 0-1,0 0 1,1-1-1,-1 1 1,1-1 0,-1 1-1,0-1 1,1 0-1,0 0 1,-1 1-1,1-1 1,0 0 0,0 0-1,3 1 1,-4-3-1,0 1 0,0 0-1,-1 0 1,1 0 0,0-1 0,0 1 0,0-1 0,-1 1 0,1 0-1,0-1 1,0 1 0,-1-1 0,1 0 0,0 1 0,-1-1 0,1 1-1,-1-1 1,1 0 0,-1 0 0,1 1 0,-1-1 0,0 0 0,1 0 0,-1 0-1,0 1 1,1-1 0,-1 0 0,0 0 0,0 0 0,0 0 0,0 0-1,0 1 1,0-1 0,0 0 0,0 0 0,0-1 0,2-19-11,-1 1 1,-1-1 0,-1 0 0,0 0-1,-10-40 1,8 49 8,0 0-1,-2 0 1,1 0 0,-1 0-1,-1 1 1,0 0-1,-1 0 1,0 1 0,-1-1-1,0 2 1,-10-11 0,15 18-3,1-1 0,-1 1 0,0 0 0,0 0 1,-1 0-1,1 0 0,0 1 0,-1-1 0,1 1 0,-4-1 1,6 2-1,1-1 1,-1 1-1,0 0 1,1 0-1,-1 0 1,0 0-1,1 0 0,-1 0 1,0 0-1,0 1 1,1-1-1,-1 0 1,1 0-1,-1 0 1,0 1-1,1-1 1,-1 0-1,0 1 1,1-1-1,-1 0 1,0 2-1,0-2-7,1 1 0,-1 0-1,1 0 1,-1 1-1,1-1 1,0 0 0,-1 0-1,1 0 1,0 0-1,0 0 1,0 0 0,0 0-1,0 0 1,0 1 0,0-1-1,0 0 1,1 2-1,0-2 8,0 0-1,1-1 0,-1 1 0,1 0 0,-1 0 0,1-1 1,0 1-1,-1-1 0,1 1 0,-1-1 0,1 0 0,0 1 1,0-1-1,-1 0 0,1 0 0,0 0 0,-1-1 1,4 0-1,-1 1 3,1 0-3,-1 0 0,1 0 0,0-1 0,-1 0 0,1 0 0,-1 0 0,0 0 0,1-1 0,-1 0 0,0 0 1,0 0-1,0 0 0,0-1 0,0 1 0,0-1 0,4-5 0,-3 2-28,0 0-1,0 0 1,0-1 0,-1 0-1,0 0 1,0 0 0,-1 0 0,5-15-1,-3 2-32,0-1 0,-1 1 0,-1-1 0,-2 0-1,0 0 1,-2-31 0,0 41 110,-1 0 0,0 0 0,0 0 0,-1 0 0,-1 0 0,0 1 0,0 0 0,-1 0 0,-1 0 0,1 0 0,-1 1 0,-1 0 0,0 0 0,-14-14 0,21 23-30,0 0-1,0-1 1,0 1 0,-1 0-1,1-1 1,0 1-1,0 0 1,-1-1 0,1 1-1,0 0 1,-1-1 0,1 1-1,0 0 1,-1 0-1,1-1 1,-1 1 0,1 0-1,0 0 1,-1 0-1,1 0 1,-1 0 0,1-1-1,0 1 1,-1 0 0,1 0-1,-1 0 1,1 0-1,-1 0 1,1 0 0,0 1-1,-1-1 1,1 0-1,-1 0 1,1 0 0,-1 0-1,1 0 1,0 0 0,-1 1-1,1-1 1,0 0-1,-1 0 1,1 1 0,0-1-1,-1 0 1,1 1-1,0-1 1,-1 0 0,1 1-1,0-1 1,0 0 0,-1 1-1,1-1 1,0 1-1,0-1 1,0 0 0,0 1-1,0-1 1,-1 1-1,0 29-82,1-23 126,1 6-33,1 0-1,0 0 1,0 0 0,2 0-1,-1-1 1,2 1-1,-1-1 1,14 23 0,62 90 153,-69-110-160,-9-12-44,8 13-142,1 0 0,1-1-1,1-1 1,0 0 0,0 0 0,16 11 0,-22-23-1042</inkml:trace>
  <inkml:trace contextRef="#ctx0" brushRef="#br0" timeOffset="-35096.92">21102 2754 5378,'0'0'9045,"124"-12"-8341,-86 7-368,-1-1-320,-3 0-16,0 1 0,-8-1-2209,-7 0-4034</inkml:trace>
  <inkml:trace contextRef="#ctx0" brushRef="#br0" timeOffset="-29196.92">29835 2859 3394,'0'0'12765,"3"5"-12442,15 18-27,2-1 0,0-1 0,1-1 0,23 19-1,-15-15-205,-1 1-1,28 35 1,-40-33 0,-2-2-1500,-4-14-2980,-6-10 434,5-1-1503</inkml:trace>
  <inkml:trace contextRef="#ctx0" brushRef="#br0" timeOffset="-28976.92">30018 2816 3025,'0'0'8948,"-23"109"-8451,23-72-161,0 1-112,0 2-144,0-5-64,0-3-16,4-3-64,3-5-1457,3-9-1408,3-7-1681</inkml:trace>
  <inkml:trace contextRef="#ctx0" brushRef="#br0" timeOffset="-28166.93">30253 3013 3506,'0'0'10098,"-1"8"-9970,1-5-121,-1 3 9,0 1 1,0 0 0,1-1-1,0 1 1,1 0-1,1 9 1,-1-14-10,-1 0 0,1 0 0,0 0 0,0 0 0,0 0-1,-1-1 1,2 1 0,-1 0 0,0-1 0,0 1 0,1 0 0,-1-1 0,0 0 0,1 1 0,0-1 0,-1 0 0,1 0-1,0 0 1,0 0 0,-1 0 0,1 0 0,0 0 0,0-1 0,0 1 0,0-1 0,0 1 0,0-1 0,0 0 0,4 0-1,-4 1 5,1-1-1,-1 0 1,1 0-1,-1 0 1,1-1-1,-1 1 1,1-1-1,-1 1 1,0-1 0,1 0-1,-1 0 1,0 0-1,0 0 1,1 0-1,-1 0 1,0-1-1,0 1 1,2-3-1,-1 1-5,-1-1 0,1 1 0,-1-1 1,0 0-1,0 0 0,0 0 0,0 0 0,-1 0 0,3-8 0,0-9 22,-1 0 0,0 0 1,-2 0-1,0 0 0,-2-1 0,0 1 0,-1 0 0,-2 0 0,0 0 0,-1 0 1,-12-32-1,14 46 61,-2-8 390,-1 0 0,-1 1 0,0-1 0,-1 2 0,-12-17 0,20 30-422,0-1 1,0 1 0,-1 0-1,1 0 1,0 0-1,0-1 1,0 1 0,0 0-1,0 0 1,-1 0-1,1 0 1,0-1 0,0 1-1,0 0 1,-1 0 0,1 0-1,0 0 1,0 0-1,0 0 1,-1 0 0,1-1-1,0 1 1,0 0-1,-1 0 1,1 0 0,0 0-1,0 0 1,0 0 0,-1 0-1,1 0 1,0 0-1,0 0 1,-1 1 0,1-1-1,0 0 1,-1 0 0,-2 10 450,2 18-1001,1-23 667,1 12-174,1 0 1,1 1-1,0-1 1,1 0-1,1 0 1,9 21-1,50 97 92,-61-128-82,1 0 2,-1 0 0,1 0 0,1 0 0,-1-1 0,1 1 0,9 8 0,-11-13-1,0 1-1,0-2 0,0 1 0,0 0 0,0-1 0,0 1 0,1-1 0,-1 0 0,0 0 0,1 0 0,-1 0 0,0-1 0,1 0 0,-1 1 0,1-1 0,-1 0 0,6-1 0,-6 0 1,0 0 0,0 0 0,1 0 1,-1-1-1,0 1 0,0-1 0,-1 0 0,1 0 1,0 0-1,-1 0 0,1 0 0,-1 0 0,1-1 1,-1 1-1,0-1 0,0 0 0,0 1 0,-1-1 1,1 0-1,1-4 0,3-5 3,-1-1 0,0 0 1,5-22-1,-4 0-2,-2 1 0,-1-1 0,-2 0 1,-6-64-1,2 82 208,-2 0 1,1 0 0,-2 1-1,0-1 1,-1 1 0,-1 1-1,-1-1 1,-13-19 0,21 34 14,1 2-232,-1-1-1,1 1 0,-1-1 1,1 1-1,-1-1 1,1 1-1,-1-1 0,1 1 1,-1-1-1,1 1 0,0-1 1,-1 1-1,1 0 0,0-1 1,0 1-1,-1 0 0,1-1 1,0 1-1,0 0 0,0-1 1,0 1-1,0 0 0,0-1 1,0 2-1,-2 22-114,2-21 134,-1 15-19,1 1 1,0-1-1,1 0 0,1 1 1,1-1-1,1 0 1,0-1-1,1 1 0,13 29 1,-18-47-3,52 98 48,-46-88-71,1-1-1,0 1 0,0-1 0,1 0 1,0-1-1,0 0 0,14 11 0,-12-14-114,-3-4-1193,-4-22-10406</inkml:trace>
  <inkml:trace contextRef="#ctx0" brushRef="#br0" timeOffset="-27966.92">30513 2803 3073,'0'0'6707,"96"-14"-6530,-66 12-177,2 1-593,5-1-2336,-1-4-3442</inkml:trace>
  <inkml:trace contextRef="#ctx0" brushRef="#br0" timeOffset="-27596.92">30851 2684 2225,'0'0'12798,"-11"2"-12387,4-2-330,5 0-57,0 0 0,0 0 0,-1 0 0,1 0 0,0 0 0,0 0 0,0 1 0,0-1 0,0 1-1,0-1 1,0 1 0,0 0 0,0 0 0,0 0 0,0 0 0,0 0 0,1 0 0,-1 0 0,0 1 0,1-1 0,-1 1 0,1-1 0,0 1 0,-1 0 0,1-1 0,0 1 0,0 0 0,0 0 0,0 0 0,0 0 0,-1 3 0,0 10 134,1 0 0,0 0 0,1 0 0,1 0 0,0 0 0,5 23 0,-6-34-150,1 0-1,0-1 1,1 1-1,-1-1 0,1 1 1,-1-1-1,1 0 0,0 1 1,0-1-1,1 0 0,-1 0 1,1 0-1,-1-1 1,1 1-1,0-1 0,0 1 1,0-1-1,0 0 0,0 0 1,1 0-1,-1-1 0,1 1 1,-1-1-1,1 0 1,-1 0-1,1 0 0,0 0 1,0 0-1,-1-1 0,1 0 1,4 0-1,-5 0-24,0 0-1,0 0 0,1 0 1,-1 0-1,0-1 1,0 1-1,0-1 1,0 0-1,0 0 0,0 0 1,0 0-1,0-1 1,0 1-1,0-1 1,3-2-1,-4 1 5,0 0-1,0 1 1,0-1-1,0 0 1,0 0-1,-1-1 1,1 1-1,-1 0 1,0 0-1,0-1 1,0 1 0,-1-1-1,1 1 1,-1-6-1,1-2 13,0 0-1,-1 0 0,0-1 1,-1 1-1,-1 0 1,1 1-1,-2-1 0,-4-15 1,5 20-12,-1 1 0,1-1 0,-1 1 1,0-1-1,-1 1 0,1 0 0,-1 0 0,0 1 1,0-1-1,-1 1 0,1 0 0,-1 0 0,0 0 1,0 1-1,0 0 0,-10-5 0,14 7-105,0 0 0,0 1 1,-1-1-1,1 1 0,0-1 0,0 1 0,0 0 1,0-1-1,0 1 0,-1 0 0,1 0 0,0 0 1,0 0-1,0 0 0,-1 0 0,1 0 0,0 0 1,0 0-1,0 1 0,-1-1 0,1 0 0,-2 2 1,3-1-181,-1 0 0,0 0 0,1 0 1,-1 0-1,1 0 0,-1 0 0,1 0 0,0 0 1,-1 1-1,1-1 0,0 0 0,0 0 1,0 0-1,0 1 0,0-1 0,0 0 1,0 0-1,0 0 0,1 1 0,-1-1 1,1 1-1,4 10-3685</inkml:trace>
  <inkml:trace contextRef="#ctx0" brushRef="#br0" timeOffset="-25186.92">31101 2520 7796,'0'0'13195,"-3"-5"-12808,3 5-387,0-1 0,-1 0 1,1 0-1,0 1 0,-1-1 1,1 0-1,0 1 0,-1-1 1,1 0-1,-1 1 0,1-1 1,-1 1-1,1-1 0,-1 0 1,1 1-1,-1 0 0,0-1 1,1 1-1,-1-1 0,0 1 1,1 0-1,-1-1 0,0 1 1,0 0-1,1 0 0,-2-1 1,3 22-73,23 47 36,-8-32 38,2-2 1,2 0-1,1-1 0,1-1 0,43 47 0,-64-79-239,0-4 205,-1-1 0,0 1 0,1-1 0,-1 0 0,-1 1 0,1-1 0,-1 1 0,-1-8 0,-2-1-33,-1-1 0,-1 1 0,0 0 0,-1 0 0,-14-21 0,-9-18 81,8 8-11,-24-72 0,39 93 115,1 0 0,1-1 0,1 0 1,1 0-1,0-29 0,3 52-114,0-1-1,1 1 1,-1 0-1,1 0 1,-1-1-1,1 1 1,0 0-1,-1 0 1,1 0-1,0 0 0,0 0 1,-1 0-1,1 0 1,0 0-1,0 0 1,0 1-1,0-1 1,0 0-1,0 0 1,1 1-1,-1-1 1,0 1-1,0-1 1,0 1-1,1 0 1,-1-1-1,0 1 0,0 0 1,1 0-1,-1 0 1,0 0-1,1 0 1,-1 0-1,0 0 1,2 0-1,2 0-15,1 1 0,-1-1-1,0 1 1,1 0 0,-1 0-1,0 0 1,0 1 0,6 2-1,-3 1-3,-1 0 0,0 1 0,1 0 0,-2 0 0,1 0 0,-1 1 0,0 0 0,-1 0 0,1 1 0,-1-1 0,-1 1-1,1 0 1,-2 1 0,1-1 0,-1 1 0,0-1 0,2 10 0,1 12-447,-1-1 0,-1 1 0,-1 57 0,-3-82 293,-1 0 0,1 0 0,-1 0 0,0 0 0,0 0 0,-1 0 0,0-1 0,0 1 0,-3 6 0,4-9 108,0-1-1,0 1 1,0 0 0,0-1 0,0 1-1,-1 0 1,1-1 0,-1 0-1,1 1 1,-1-1 0,1 0 0,-1 0-1,0 0 1,0 0 0,1 0-1,-1 0 1,0 0 0,0-1 0,0 1-1,0 0 1,0-1 0,0 0-1,0 0 1,0 1 0,0-1 0,-3-1-1,4 1 72,0-1 0,0 1 0,0-1-1,0 1 1,0-1 0,1 0 0,-1 1 0,0-1-1,0 0 1,1 0 0,-1 0 0,1 1 0,-1-1-1,1 0 1,-1 0 0,1 0 0,-1 0 0,1 0 0,0 0-1,-1 0 1,1 0 0,0 0 0,0-2 0,-3-26 2453,14 36-2389,21 22 58,-19-16-332,1 0-1,0-2 1,22 14 0,-31-22 23,1 0 0,0 0-1,0-1 1,1 1 0,-1-2 0,0 1 0,1-1 0,-1 0 0,1 0 0,-1 0 0,1-1 0,-1 0 0,11-2-1,-15 2 121,1-1 0,0 0 0,0 0 1,-1-1-1,1 1 0,0-1 0,-1 1 0,0-1 0,1 0 0,-1 0 0,0 0 0,0 0 0,0 0 0,0 0 0,0-1 0,0 1 0,-1-1 0,1 1 0,-1-1 0,0 0 0,0 1 0,0-1 0,0 0 0,0 0 0,0-5 0,2-8 52,0 1-1,-2 0 1,1-24 0,-2 18 267,-1-35 795,0 53-851,1-1 0,-1 1 0,0 0-1,0-1 1,0 1 0,0 0 0,-1-1 0,0 1-1,1 0 1,-1 0 0,0 0 0,-4-4 0,5 6-198,1 1 1,0 0 0,0-1 0,-1 1 0,1 0-1,0-1 1,0 1 0,-1 0 0,1 0 0,0 0-1,-1-1 1,1 1 0,0 0 0,-1 0 0,1 0-1,0 0 1,-1-1 0,1 1 0,0 0 0,-1 0-1,1 0 1,0 0 0,-1 0 0,1 0 0,-1 0-1,1 0 1,0 0 0,-1 0 0,1 0 0,0 0-1,-1 1 1,-5 11 252,5 21 28,1-30-280,0 9-74,0 0 1,1 0-1,1 0 1,0 0-1,0-1 0,1 1 1,9 21-1,-10-29 38,0 0 0,0 0 0,0-1 0,1 1 0,-1-1 0,1 1 0,0-1 0,0 0 0,0 0 0,0 0 0,1-1 0,-1 1 0,1-1 0,-1 1 0,1-1 0,0-1 0,0 1 0,0 0 0,0-1 0,0 0 0,1 0 0,-1 0 0,0 0 0,0-1 0,7 0 0,-8 0-5,-1 1-1,1-2 0,-1 1 1,1 0-1,-1 0 1,1-1-1,-1 1 0,0-1 1,1 0-1,-1 0 1,0 0-1,0 0 0,1 0 1,-1 0-1,0-1 1,0 1-1,0-1 1,2-2-1,-1 0 19,-1 1 1,1-1-1,-1-1 1,0 1-1,0 0 1,-1 0-1,1-1 1,-1 1-1,1-6 0,2-11-7,-2 0 0,0 0-1,-2-33 1,-1 31 520,1 1 0,7-43 1,-7 65-484,0-1 0,0 1 1,0 0-1,0-1 0,0 1 0,0-1 1,0 1-1,0-1 0,1 1 0,-1 0 1,0-1-1,0 1 0,1-1 0,-1 1 1,0 0-1,0-1 0,1 1 0,-1 0 1,0 0-1,1-1 0,-1 1 1,0 0-1,1 0 0,-1-1 0,1 1 1,-1 0-1,0 0 0,1 0 0,-1-1 1,1 1-1,0 0 0,15 7 74,18 22-287,-29-23 269,-3-4-80,37 31-572,-36-31 341,0 0 0,0 0 0,0 0 0,0-1 0,1 1 0,-1-1 0,0 0 0,1 0 0,-1 0 0,1 0 0,5 0 0,-9-25 166,-1 22 89,1 1-1,-1-1 0,0 0 0,1 1 0,-1-1 0,0 1 1,0-1-1,0 1 0,0 0 0,0-1 0,-1 1 0,1 0 1,0 0-1,-1 0 0,1 0 0,-1 0 0,1 0 0,-1 0 1,1 0-1,-1 1 0,1-1 0,-1 1 0,0-1 1,1 1-1,-1-1 0,-3 1 0,-48-5 631,51 5-636,-1 0 1,1 0 0,-1 0 0,1 1 0,0-1 0,-1 1-1,1-1 1,0 1 0,0 0 0,-1 0 0,1 0 0,0 0-1,0 0 1,0 0 0,0 0 0,0 1 0,1-1 0,-1 1-1,0 0 1,1-1 0,-1 1 0,1 0 0,-1 0 0,1 0-1,0 0 1,0 0 0,0 0 0,0 1 0,-1 2 0,-1 5-17,1 1 1,1-1 0,0 1 0,0-1 0,1 14 0,0-24 4,0 3-17,0 0-1,1 0 0,-1-1 0,1 1 1,-1 0-1,1-1 0,0 1 0,0-1 1,0 1-1,1-1 0,-1 1 0,1-1 0,-1 0 1,1 0-1,0 0 0,-1 0 0,1 0 1,0 0-1,1 0 0,-1 0 0,0-1 1,0 1-1,1-1 0,-1 0 0,1 1 1,-1-1-1,1-1 0,-1 1 0,6 1 1,3 1-196,0-1 1,0-1 0,0 0 0,0 0-1,23-2 1,-32 1 190,0-1 0,0 1-1,1 0 1,-1-1 0,0 1 0,0-1 0,0 0-1,0 0 1,0 0 0,0 0 0,0 0-1,0 0 1,-1 0 0,1-1 0,0 1-1,-1-1 1,1 1 0,-1-1 0,2-2-1,-1 1 17,0-1-1,0 1 1,-1-1-1,1 0 1,-1 0-1,0 1 1,0-1-1,0 0 0,0-8 1,0 2 184,-2-1 1,1 1-1,-1 0 1,-1-1-1,1 1 1,-2 0-1,-4-14 1,5 21-59,0-6 392,-2 1 1,1-1-1,-2 1 0,1 0 0,-1 0 0,-9-12 1,13 32-295,2-4-226,0 0-1,0-1 1,1 1-1,0 0 1,0 0-1,1-1 1,0 1-1,7 12 1,41 60 28,-34-57-17,24 37-26,-15-25-71,-1 2 1,-2 1-1,-1 0 1,27 71-1,-46-100-211,-1 1 0,0 0 0,-1-1 0,0 1 0,-1 17 0,0-26 243,0-1 0,0 1-1,0 0 1,-1 0 0,1-1 0,0 1 0,0 0 0,-1 0-1,1-1 1,0 1 0,-1 0 0,1-1 0,-1 1 0,1-1-1,-1 1 1,1 0 0,-1-1 0,1 1 0,-1-1-1,1 1 1,-1-1 0,0 0 0,1 1 0,-1-1 0,0 0-1,-1 1 1,-27 3-557,24-4 611,-1 0-1,1-1 1,0 0-1,0 0 1,0 0-1,-1 0 1,1-1-1,-9-4 1,10 2 34,0 0 1,-1 0 0,1-1 0,1 1-1,-1-1 1,1 0 0,0 0 0,0-1 0,0 1-1,1-1 1,0 1 0,0-1 0,0 0 0,1 1-1,-1-1 1,1-10 0,-1-5 138,1 0 1,1 0 0,3-30-1,1 30-142,1-1-1,0 1 0,10-23 1,-6 19-33,8-42 0,-11 24 30,-2 0 0,-2 0 0,-5-76 0,0 106 263,0 0-1,-1 0 1,0 1 0,-1-1 0,0 1 0,-1 0-1,0 1 1,-1-1 0,-1 1 0,0 1 0,0 0-1,-11-11 1,18 21-61,1 19-412,3-5 183,0 1-1,1-1 1,1 0-1,0 0 1,1-1-1,12 22 1,5 11 14,-4 2-136,-11-28-24,-1-1 0,2 0 0,1 0 0,18 26 0,-28-44 125,1 0 0,0 0-1,0 0 1,-1 0 0,1 0 0,0 0 0,0 0-1,0 0 1,0-1 0,0 1 0,0 0 0,0-1-1,0 1 1,0 0 0,0-1 0,0 0 0,1 1-1,-1-1 1,0 1 0,0-1 0,0 0 0,1 0-1,-1 0 1,0 0 0,0 0 0,2 0 0,-1-1 21,0 0 0,0 0 0,-1 0 0,1 0 0,0 0 0,-1-1 0,1 1 0,-1 0 0,0-1 0,1 1 0,-1-1 0,0 1 0,0-1 0,2-3 0,1-4 23,1 0 1,-2-1 0,1 0 0,-1 1 0,2-13-1,5-144 1305,-10 177-1316,1 0 0,1 0-1,-1 0 1,2 0 0,0-1 0,0 1-1,1-1 1,0 1 0,1-1 0,0 0 0,11 16-1,-13-21-48,1 0-1,0 0 1,0-1-1,0 1 0,1-1 1,-1 0-1,1 0 1,0 0-1,0-1 0,1 0 1,-1 0-1,1 0 1,-1-1-1,1 1 0,0-1 1,0-1-1,0 1 1,0-1-1,0 0 0,0 0 1,0-1-1,11 0 1,-14-1 32,1-1 1,-1 1-1,0-1 1,1 0-1,-1 0 0,0 0 1,0 0-1,0 0 1,0-1-1,0 1 1,-1-1-1,1 0 1,-1 0-1,0 0 1,0 0-1,0 0 1,0 0-1,0 0 1,-1-1-1,2-4 1,4-9 17,0 1 0,6-33-1,-9 31 67,0 1 0,-2-1-1,0 1 1,-1-1-1,-1 0 1,-1 1-1,0-1 1,-1 0-1,-1 1 1,-1 0-1,0 0 1,-2 0-1,0 0 1,0 1-1,-2-1 1,0 2-1,0-1 1,-2 1-1,0 1 1,-18-22-1,27 36-47,-15-12 852,13 28-636,4-7-248,0 0 0,1-1 0,0 1 0,0 0 1,1 0-1,0-1 0,1 0 0,0 1 0,0-1 1,0-1-1,8 10 0,11 15 28,34 35-1,-38-46-58,19 20 39,27 33-2772,-96-101-13603</inkml:trace>
  <inkml:trace contextRef="#ctx0" brushRef="#br0" timeOffset="-25016.92">32307 2076 3458,'0'0'9940,"106"-15"-9236,-78 15-431,-2 0-241,-9 0-32,-11 0-353</inkml:trace>
  <inkml:trace contextRef="#ctx0" brushRef="#br0" timeOffset="-24766.92">31301 2219 7860,'0'0'8884,"2"0"-8884,2-2-1313,1-3-2577</inkml:trace>
  <inkml:trace contextRef="#ctx0" brushRef="#br0" timeOffset="-23526.92">32849 2155 4402,'0'0'11621,"-5"-5"-11188,5 3-1378,0 0-640</inkml:trace>
  <inkml:trace contextRef="#ctx0" brushRef="#br0" timeOffset="-22086.92">32891 1952 3730,'0'0'8179,"5"83"-7282,5-47-305,1-2-288,4-2 32,0-6-240,0-4-80,0-7 81,-5-5-97,-3-3-337</inkml:trace>
  <inkml:trace contextRef="#ctx0" brushRef="#br0" timeOffset="-21916.92">32847 2197 3282,'0'0'11701,"44"-38"-11445,-18 31-96,2-3-144,0 3 32,1-1-96,-1 2-528,-4-1-1985,-1 1-3266</inkml:trace>
  <inkml:trace contextRef="#ctx0" brushRef="#br0" timeOffset="-21706.92">33156 2069 5859,'0'0'9876,"-6"-11"-9876,16 11-2705,3 0-400,0 0-2194</inkml:trace>
  <inkml:trace contextRef="#ctx0" brushRef="#br0" timeOffset="-21156.92">33432 1805 4226,'0'0'10477,"-19"-3"-8951,14 3-1426,0 0-1,-1 1 1,1-1 0,0 1 0,0 1 0,0-1 0,0 1 0,0 0 0,0 0-1,0 0 1,0 1 0,1-1 0,-1 1 0,1 0 0,0 1 0,0-1-1,0 1 1,0 0 0,-5 6 0,5-4-89,0 0 1,1 0-1,0 0 0,0 0 0,0 0 1,1 1-1,0-1 0,0 1 0,1 0 1,-1-1-1,2 1 0,-1 0 1,1 0-1,0 14 0,1-18-5,0 0 0,1 0 0,-1 0 0,0-1 0,1 1 0,0 0 0,-1-1 0,1 1 0,0 0 0,1-1 0,-1 0 0,0 0 0,1 0 0,-1 0 0,1 0 0,-1 0 0,1 0 0,0-1 0,0 1 0,0-1 0,0 0 0,5 1 0,7 3-210,1 0-1,-1-1 0,18 2 1,-32-6 200,-1 0 0,0 0 0,0 0 1,1 0-1,-1 0 0,0 0 0,0 0 1,0 1-1,1-1 0,-1 0 0,0 0 1,0 0-1,0 0 0,1 1 0,-1-1 0,0 0 1,0 0-1,0 0 0,0 1 0,0-1 1,0 0-1,1 0 0,-1 1 0,0-1 1,0 0-1,0 0 0,0 1 0,0-1 0,0 0 1,0 0-1,0 1 0,0-1 0,0 0 1,0 0-1,0 1 0,0-1 0,0 0 1,0 0-1,0 1 0,-1-1 0,1 0 0,0 0 1,0 0-1,0 1 0,0-1 0,0 0 1,-1 0-1,1 0 0,0 1 0,0-1 1,0 0-1,0 0 0,-1 0 0,1 0 0,0 1 1,-16 17 106,7-8 7,5-3-60,1 0 0,0 0-1,0 0 1,1 1-1,-1-1 1,2 1 0,-1-1-1,1 1 1,0 0-1,1 0 1,0 15-1,0-21-43,1 0 1,-1 0-1,0-1 0,0 1 0,1 0 0,-1 0 0,1-1 0,0 1 0,-1 0 0,1-1 0,0 1 0,0-1 0,0 1 1,0-1-1,0 1 0,1-1 0,-1 0 0,0 0 0,1 1 0,-1-1 0,1 0 0,-1 0 0,1 0 0,-1-1 0,1 1 1,-1 0-1,1-1 0,0 1 0,0-1 0,-1 1 0,4 0 0,6 0 49,1 1 1,-1-1-1,23-2 1,-19 1-40,-9 0-460,-1-1 0,1 0 0,0 0 0,0 0 0,0-1 0,-1 0 0,1 0 0,-1-1 0,0 1 0,0-1 0,1 0 0,-2-1 0,1 1 0,0-1 0,-1 0 0,0 0 0,1 0 0,3-7 0,10-13-7320</inkml:trace>
  <inkml:trace contextRef="#ctx0" brushRef="#br0" timeOffset="-20636.93">33645 1948 6163,'0'0'12019,"-5"14"-11878,4-3-81,0 1 0,0 0-1,1 0 1,1 0 0,0 0 0,0 0-1,2 0 1,-1-1 0,7 20 0,-5-49-1478,-2-11 1552,-2-108 752,12 148-584,3 9-339,-6-7 33,0-1 1,0 0-1,1 0 1,1-1-1,0 0 1,1-1-1,0 0 1,0-1-1,16 9 1,-26-16-14,0-1 0,0 0 0,0 0 1,0 0-1,0 0 0,0-1 0,0 1 1,0 0-1,0-1 0,0 0 0,0 1 1,1-1-1,-1 0 0,0 0 0,0 0 0,0 0 1,0-1-1,0 1 0,1-1 0,-1 1 1,0-1-1,0 0 0,0 1 0,0-1 1,0 0-1,-1 0 0,1-1 0,0 1 1,0 0-1,-1-1 0,1 1 0,0-1 1,-1 1-1,0-1 0,1 0 0,-1 1 1,0-1-1,0 0 0,0 0 0,0 0 1,0 0-1,0 0 0,-1 0 0,1 0 1,0-3-1,2-10 23,0-1 1,-1 0 0,0 0-1,-2-29 1,0 36-19,0 3-11,-2-28 84,2 33-84,0-1 0,0 1 0,-1 0 0,1-1 0,0 1 0,-1-1-1,0 1 1,1 0 0,-1 0 0,0-1 0,1 1 0,-1 0 0,0 0 0,0 0-1,0 0 1,0 0 0,0 0 0,0 0 0,-2-1 0,-1 20-7526,4-16 6579,0 12-2872</inkml:trace>
  <inkml:trace contextRef="#ctx0" brushRef="#br0" timeOffset="-20116.93">34003 1837 7235,'0'0'10474,"-5"8"-9847,4 1-585,0 1-1,1-1 0,0 1 0,0-1 0,1 1 1,1-1-1,-1 0 0,1 1 0,7 15 0,-3-7 21,2-1-1,0-1 0,0 0 0,15 20 0,-18-34-57,-3-10 29,-1-15 12,-1 20-52,-1-11-8,-1 0 0,-1-1 0,0 1 0,-1 0 0,0 0 0,-1 0 0,-10-19 0,8 20 305,1-1 1,1 0 0,0 0 0,1 0 0,0-1-1,1 1 1,-1-24 0,6 37-269,0 0 1,0 1-1,1-1 0,-1 1 1,0 0-1,0-1 0,1 1 0,-1 0 1,0 0-1,0 1 0,1-1 1,-1 0-1,4 2 0,0 0-25,0 1 0,1 1 0,-1-1 0,0 1 0,-1 0 0,1 0 0,-1 0 0,0 1 0,0 0 0,0 0 0,-1 0 1,5 7-1,-1-1-7,0 0 0,-2 1 1,1-1-1,-2 1 1,8 20-1,-10-22-24,-1-1 0,0 1-1,0-1 1,-1 1 0,0 18-1,-2-25-115,1 1 0,0-1 0,-1 1 0,1-1-1,-1 0 1,0 1 0,0-1 0,-1 0-1,1 0 1,0 1 0,-1-1 0,0 0 0,0-1-1,0 1 1,0 0 0,0 0 0,-1-1-1,-3 4 1,-24 13-5914</inkml:trace>
  <inkml:trace contextRef="#ctx0" brushRef="#br0" timeOffset="-19826.93">34298 1672 3986,'0'0'16738,"-4"-5"-16298,-9-8-386,13 13-54,0 0-1,-1 0 0,1 0 1,0 0-1,0 0 0,0 0 0,0 0 1,-1 0-1,1 0 0,0 0 0,0 0 1,0 0-1,0 0 0,-1 0 0,1 0 1,0 0-1,0 0 0,0 0 0,-1 0 1,1 0-1,0 0 0,0 0 1,0 0-1,0 0 0,-1 0 0,1 0 1,0 0-1,0 0 0,0 1 0,0-1 1,-1 0-1,1 0 0,0 0 0,0 0 1,0 0-1,0 1 0,0-1 0,0 0 1,0 0-1,0 0 0,-1 0 1,1 1-1,-2 41-47,2-40 52,-1 19 31,1 0 0,1-1 0,1 1 0,1 0 0,1-1 0,0 0 0,2 0 0,13 32 0,-13-38-4,0-1-1,1-1 1,1 1 0,0-1 0,14 16 0,-17-24-291,-1 0 0,1 0 0,-1 0 0,1-1 0,0 1 1,8 3-1,-8-5-460,0 0 1,0-1-1,0 1 0,1-1 1,-1 0-1,0 0 1,1 0-1,5-1 0,7 0-5184</inkml:trace>
  <inkml:trace contextRef="#ctx0" brushRef="#br0" timeOffset="-19526.93">34443 1570 1153,'0'0'19963,"2"-1"-19536,-1 0-424,0 1-1,0 0 1,1 0-1,-1 0 1,0 0-1,0 0 0,0 1 1,1-1-1,-1 0 1,0 0-1,0 1 1,0-1-1,0 1 1,0-1-1,0 1 1,0-1-1,0 1 1,0-1-1,0 1 1,0 0-1,0 0 0,0 0 1,0-1-1,-1 1 1,1 0-1,0 0 1,-1 0-1,1 0 1,0 2-1,29 40 97,-25-34-50,-4-8-44,33 52 163,28 58 1,-54-94-164,0 0 0,-2 1 0,0-1 0,-1 1 0,-1 0 0,0 1 0,-2-1 0,2 21-1,-4-37-75,0 1-1,0-1 1,-1 0-1,1 1 1,0-1-1,-1 0 1,1 0-1,-1 1 0,0-1 1,1 0-1,-1 0 1,0 0-1,-1 0 1,1 0-1,0 0 0,0 0 1,-1 0-1,1-1 1,-1 1-1,0 0 1,-2 1-1,-19 7-3071,-5-8-4044</inkml:trace>
  <inkml:trace contextRef="#ctx0" brushRef="#br0" timeOffset="-19326.93">34682 1913 4930,'0'0'13206,"-4"7"-18600</inkml:trace>
</inkml:ink>
</file>

<file path=xl/ink/ink8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3:35.826"/>
    </inkml:context>
    <inkml:brush xml:id="br0">
      <inkml:brushProperty name="width" value="0.05" units="cm"/>
      <inkml:brushProperty name="height" value="0.05" units="cm"/>
      <inkml:brushProperty name="color" value="#00A0D7"/>
    </inkml:brush>
  </inkml:definitions>
  <inkml:trace contextRef="#ctx0" brushRef="#br0">17 1 416,'0'0'1102,"-17"5"-830,17-1-635</inkml:trace>
</inkml:ink>
</file>

<file path=xl/ink/ink8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3:50.559"/>
    </inkml:context>
    <inkml:brush xml:id="br0">
      <inkml:brushProperty name="width" value="0.05" units="cm"/>
      <inkml:brushProperty name="height" value="0.05" units="cm"/>
      <inkml:brushProperty name="color" value="#00A0D7"/>
    </inkml:brush>
  </inkml:definitions>
  <inkml:trace contextRef="#ctx0" brushRef="#br0">4 1 11989,'0'0'5171,"-4"4"-4531,4-1-560,0-1-80,0 0 0,0 0-272,17-2-10613</inkml:trace>
</inkml:ink>
</file>

<file path=xl/ink/ink8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04:20.235"/>
    </inkml:context>
    <inkml:brush xml:id="br0">
      <inkml:brushProperty name="width" value="0.05" units="cm"/>
      <inkml:brushProperty name="height" value="0.05" units="cm"/>
      <inkml:brushProperty name="color" value="#00A0D7"/>
    </inkml:brush>
  </inkml:definitions>
  <inkml:trace contextRef="#ctx0" brushRef="#br0">0 0 5651,'0'0'10596,"0"2"-10339</inkml:trace>
</inkml:ink>
</file>

<file path=xl/ink/ink8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22T15:24:44.208"/>
    </inkml:context>
    <inkml:brush xml:id="br0">
      <inkml:brushProperty name="width" value="0.05" units="cm"/>
      <inkml:brushProperty name="height" value="0.05" units="cm"/>
      <inkml:brushProperty name="color" value="#F6630D"/>
    </inkml:brush>
  </inkml:definitions>
  <inkml:trace contextRef="#ctx0" brushRef="#br0">384 134 1393,'0'0'7352,"-3"-6"-5326</inkml:trace>
</inkm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cer" refreshedDate="45984.875445370373" createdVersion="8" refreshedVersion="8" minRefreshableVersion="3" recordCount="72" xr:uid="{FD5E12AA-B8E7-4734-A2BD-5A4C37AF9424}">
  <cacheSource type="worksheet">
    <worksheetSource name="data_viz"/>
  </cacheSource>
  <cacheFields count="14">
    <cacheField name="Year" numFmtId="0">
      <sharedItems containsSemiMixedTypes="0" containsString="0" containsNumber="1" containsInteger="1" minValue="2019" maxValue="2024"/>
    </cacheField>
    <cacheField name="Month" numFmtId="0">
      <sharedItems count="12">
        <s v="Jan"/>
        <s v="Feb"/>
        <s v="Mar"/>
        <s v="Apr"/>
        <s v="May"/>
        <s v="Jun"/>
        <s v="Jul"/>
        <s v="Aug"/>
        <s v="Sep"/>
        <s v="Oct"/>
        <s v="Nov"/>
        <s v="Dec"/>
      </sharedItems>
    </cacheField>
    <cacheField name="Country" numFmtId="0">
      <sharedItems count="17">
        <s v="USA"/>
        <s v="Canada"/>
        <s v="Mexico"/>
        <s v="India"/>
        <s v="China"/>
        <s v="Japan"/>
        <s v="Germany"/>
        <s v="UK"/>
        <s v="France"/>
        <s v="Brazil"/>
        <s v="Argentina"/>
        <s v="Chile"/>
        <s v="Australia"/>
        <s v="New Zealand"/>
        <s v="South Africa"/>
        <s v="Nigeria"/>
        <s v="Kenya"/>
      </sharedItems>
    </cacheField>
    <cacheField name="Region" numFmtId="0">
      <sharedItems count="6">
        <s v="North America"/>
        <s v="Asia"/>
        <s v="Europe"/>
        <s v="South America"/>
        <s v="Oceania"/>
        <s v="Africa"/>
      </sharedItems>
    </cacheField>
    <cacheField name="Category" numFmtId="0">
      <sharedItems count="4">
        <s v="Electronics"/>
        <s v="Fashion"/>
        <s v="Home Appliances"/>
        <s v="Furniture"/>
      </sharedItems>
    </cacheField>
    <cacheField name="SubCategory" numFmtId="0">
      <sharedItems count="11">
        <s v="Smartphones"/>
        <s v="Laptops"/>
        <s v="Menswear"/>
        <s v="Footwear"/>
        <s v="Refrigerators"/>
        <s v="Tablets"/>
        <s v="Womenswear"/>
        <s v="Office Chairs"/>
        <s v="Beds"/>
        <s v="Washing Machines"/>
        <s v="Air Conditioners"/>
      </sharedItems>
    </cacheField>
    <cacheField name="Units Sold" numFmtId="0">
      <sharedItems containsSemiMixedTypes="0" containsString="0" containsNumber="1" containsInteger="1" minValue="250" maxValue="6300"/>
    </cacheField>
    <cacheField name="Sales" numFmtId="0">
      <sharedItems containsSemiMixedTypes="0" containsString="0" containsNumber="1" containsInteger="1" minValue="100000" maxValue="1800000"/>
    </cacheField>
    <cacheField name="Cost" numFmtId="0">
      <sharedItems containsSemiMixedTypes="0" containsString="0" containsNumber="1" containsInteger="1" minValue="80000" maxValue="1480000"/>
    </cacheField>
    <cacheField name="Profit" numFmtId="0">
      <sharedItems containsSemiMixedTypes="0" containsString="0" containsNumber="1" containsInteger="1" minValue="20000" maxValue="320000"/>
    </cacheField>
    <cacheField name="Avg Rating" numFmtId="0">
      <sharedItems containsSemiMixedTypes="0" containsString="0" containsNumber="1" minValue="4" maxValue="4.5999999999999996"/>
    </cacheField>
    <cacheField name="Marketing Spend" numFmtId="0">
      <sharedItems containsSemiMixedTypes="0" containsString="0" containsNumber="1" containsInteger="1" minValue="9000" maxValue="70000"/>
    </cacheField>
    <cacheField name="Website Visitors" numFmtId="0">
      <sharedItems containsSemiMixedTypes="0" containsString="0" containsNumber="1" containsInteger="1" minValue="55000" maxValue="1000000"/>
    </cacheField>
    <cacheField name="Conversion Rate" numFmtId="0">
      <sharedItems containsSemiMixedTypes="0" containsString="0" containsNumber="1" minValue="8.9999999999999993E-3" maxValue="3.5000000000000003E-2"/>
    </cacheField>
  </cacheFields>
  <extLst>
    <ext xmlns:x14="http://schemas.microsoft.com/office/spreadsheetml/2009/9/main" uri="{725AE2AE-9491-48be-B2B4-4EB974FC3084}">
      <x14:pivotCacheDefinition pivotCacheId="12794078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2">
  <r>
    <n v="2019"/>
    <x v="0"/>
    <x v="0"/>
    <x v="0"/>
    <x v="0"/>
    <x v="0"/>
    <n v="1200"/>
    <n v="360000"/>
    <n v="290000"/>
    <n v="70000"/>
    <n v="4.3"/>
    <n v="25000"/>
    <n v="450000"/>
    <n v="1.7999999999999999E-2"/>
  </r>
  <r>
    <n v="2019"/>
    <x v="1"/>
    <x v="0"/>
    <x v="0"/>
    <x v="0"/>
    <x v="1"/>
    <n v="950"/>
    <n v="522500"/>
    <n v="450000"/>
    <n v="72500"/>
    <n v="4.4000000000000004"/>
    <n v="30000"/>
    <n v="470000"/>
    <n v="2.1000000000000001E-2"/>
  </r>
  <r>
    <n v="2019"/>
    <x v="2"/>
    <x v="0"/>
    <x v="0"/>
    <x v="1"/>
    <x v="2"/>
    <n v="3200"/>
    <n v="256000"/>
    <n v="198000"/>
    <n v="58000"/>
    <n v="4.0999999999999996"/>
    <n v="18000"/>
    <n v="320000"/>
    <n v="3.2000000000000001E-2"/>
  </r>
  <r>
    <n v="2019"/>
    <x v="3"/>
    <x v="1"/>
    <x v="0"/>
    <x v="1"/>
    <x v="3"/>
    <n v="1800"/>
    <n v="144000"/>
    <n v="112000"/>
    <n v="32000"/>
    <n v="4"/>
    <n v="12000"/>
    <n v="210000"/>
    <n v="2.9000000000000001E-2"/>
  </r>
  <r>
    <n v="2019"/>
    <x v="4"/>
    <x v="1"/>
    <x v="0"/>
    <x v="2"/>
    <x v="4"/>
    <n v="400"/>
    <n v="200000"/>
    <n v="165000"/>
    <n v="35000"/>
    <n v="4.5"/>
    <n v="22000"/>
    <n v="160000"/>
    <n v="8.9999999999999993E-3"/>
  </r>
  <r>
    <n v="2019"/>
    <x v="5"/>
    <x v="2"/>
    <x v="0"/>
    <x v="0"/>
    <x v="5"/>
    <n v="1100"/>
    <n v="198000"/>
    <n v="150000"/>
    <n v="48000"/>
    <n v="4.2"/>
    <n v="15000"/>
    <n v="280000"/>
    <n v="2.5000000000000001E-2"/>
  </r>
  <r>
    <n v="2019"/>
    <x v="6"/>
    <x v="2"/>
    <x v="0"/>
    <x v="1"/>
    <x v="6"/>
    <n v="2600"/>
    <n v="208000"/>
    <n v="158000"/>
    <n v="50000"/>
    <n v="4.0999999999999996"/>
    <n v="14000"/>
    <n v="260000"/>
    <n v="2.8000000000000001E-2"/>
  </r>
  <r>
    <n v="2019"/>
    <x v="7"/>
    <x v="0"/>
    <x v="0"/>
    <x v="3"/>
    <x v="7"/>
    <n v="900"/>
    <n v="225000"/>
    <n v="180000"/>
    <n v="45000"/>
    <n v="4.3"/>
    <n v="17000"/>
    <n v="190000"/>
    <n v="1.4999999999999999E-2"/>
  </r>
  <r>
    <n v="2019"/>
    <x v="8"/>
    <x v="0"/>
    <x v="0"/>
    <x v="3"/>
    <x v="8"/>
    <n v="450"/>
    <n v="270000"/>
    <n v="220000"/>
    <n v="50000"/>
    <n v="4.4000000000000004"/>
    <n v="21000"/>
    <n v="175000"/>
    <n v="1.0999999999999999E-2"/>
  </r>
  <r>
    <n v="2019"/>
    <x v="9"/>
    <x v="1"/>
    <x v="0"/>
    <x v="2"/>
    <x v="9"/>
    <n v="550"/>
    <n v="275000"/>
    <n v="235000"/>
    <n v="40000"/>
    <n v="4.2"/>
    <n v="20000"/>
    <n v="150000"/>
    <n v="0.01"/>
  </r>
  <r>
    <n v="2019"/>
    <x v="10"/>
    <x v="0"/>
    <x v="0"/>
    <x v="0"/>
    <x v="0"/>
    <n v="1800"/>
    <n v="540000"/>
    <n v="430000"/>
    <n v="110000"/>
    <n v="4.4000000000000004"/>
    <n v="30000"/>
    <n v="650000"/>
    <n v="0.02"/>
  </r>
  <r>
    <n v="2019"/>
    <x v="11"/>
    <x v="0"/>
    <x v="0"/>
    <x v="1"/>
    <x v="6"/>
    <n v="4100"/>
    <n v="328000"/>
    <n v="265000"/>
    <n v="63000"/>
    <n v="4"/>
    <n v="25000"/>
    <n v="700000"/>
    <n v="3.5000000000000003E-2"/>
  </r>
  <r>
    <n v="2020"/>
    <x v="0"/>
    <x v="3"/>
    <x v="1"/>
    <x v="0"/>
    <x v="0"/>
    <n v="2400"/>
    <n v="360000"/>
    <n v="290000"/>
    <n v="70000"/>
    <n v="4.2"/>
    <n v="20000"/>
    <n v="500000"/>
    <n v="0.02"/>
  </r>
  <r>
    <n v="2020"/>
    <x v="1"/>
    <x v="3"/>
    <x v="1"/>
    <x v="1"/>
    <x v="2"/>
    <n v="5200"/>
    <n v="364000"/>
    <n v="280000"/>
    <n v="84000"/>
    <n v="4"/>
    <n v="17000"/>
    <n v="360000"/>
    <n v="3.1E-2"/>
  </r>
  <r>
    <n v="2020"/>
    <x v="2"/>
    <x v="3"/>
    <x v="1"/>
    <x v="2"/>
    <x v="10"/>
    <n v="650"/>
    <n v="390000"/>
    <n v="330000"/>
    <n v="60000"/>
    <n v="4.3"/>
    <n v="25000"/>
    <n v="220000"/>
    <n v="1.2E-2"/>
  </r>
  <r>
    <n v="2020"/>
    <x v="3"/>
    <x v="4"/>
    <x v="1"/>
    <x v="0"/>
    <x v="1"/>
    <n v="3000"/>
    <n v="1650000"/>
    <n v="1420000"/>
    <n v="230000"/>
    <n v="4.5"/>
    <n v="50000"/>
    <n v="900000"/>
    <n v="1.7999999999999999E-2"/>
  </r>
  <r>
    <n v="2020"/>
    <x v="4"/>
    <x v="4"/>
    <x v="1"/>
    <x v="1"/>
    <x v="3"/>
    <n v="4200"/>
    <n v="336000"/>
    <n v="260000"/>
    <n v="76000"/>
    <n v="4.0999999999999996"/>
    <n v="22000"/>
    <n v="400000"/>
    <n v="2.8000000000000001E-2"/>
  </r>
  <r>
    <n v="2020"/>
    <x v="5"/>
    <x v="5"/>
    <x v="1"/>
    <x v="3"/>
    <x v="7"/>
    <n v="1600"/>
    <n v="400000"/>
    <n v="310000"/>
    <n v="90000"/>
    <n v="4.5999999999999996"/>
    <n v="28000"/>
    <n v="250000"/>
    <n v="1.6E-2"/>
  </r>
  <r>
    <n v="2020"/>
    <x v="6"/>
    <x v="5"/>
    <x v="1"/>
    <x v="3"/>
    <x v="8"/>
    <n v="900"/>
    <n v="540000"/>
    <n v="450000"/>
    <n v="90000"/>
    <n v="4.5"/>
    <n v="29000"/>
    <n v="200000"/>
    <n v="1.4E-2"/>
  </r>
  <r>
    <n v="2020"/>
    <x v="7"/>
    <x v="3"/>
    <x v="1"/>
    <x v="2"/>
    <x v="9"/>
    <n v="700"/>
    <n v="350000"/>
    <n v="295000"/>
    <n v="55000"/>
    <n v="4.2"/>
    <n v="24000"/>
    <n v="190000"/>
    <n v="8.9999999999999993E-3"/>
  </r>
  <r>
    <n v="2020"/>
    <x v="8"/>
    <x v="4"/>
    <x v="1"/>
    <x v="0"/>
    <x v="5"/>
    <n v="4100"/>
    <n v="738000"/>
    <n v="580000"/>
    <n v="158000"/>
    <n v="4.3"/>
    <n v="26000"/>
    <n v="450000"/>
    <n v="0.02"/>
  </r>
  <r>
    <n v="2020"/>
    <x v="9"/>
    <x v="4"/>
    <x v="1"/>
    <x v="0"/>
    <x v="0"/>
    <n v="6000"/>
    <n v="1800000"/>
    <n v="1480000"/>
    <n v="320000"/>
    <n v="4.5999999999999996"/>
    <n v="70000"/>
    <n v="1000000"/>
    <n v="1.6E-2"/>
  </r>
  <r>
    <n v="2020"/>
    <x v="10"/>
    <x v="5"/>
    <x v="1"/>
    <x v="1"/>
    <x v="6"/>
    <n v="3400"/>
    <n v="272000"/>
    <n v="210000"/>
    <n v="62000"/>
    <n v="4.0999999999999996"/>
    <n v="18000"/>
    <n v="300000"/>
    <n v="0.03"/>
  </r>
  <r>
    <n v="2020"/>
    <x v="11"/>
    <x v="3"/>
    <x v="1"/>
    <x v="1"/>
    <x v="2"/>
    <n v="6300"/>
    <n v="453000"/>
    <n v="360000"/>
    <n v="93000"/>
    <n v="4"/>
    <n v="20000"/>
    <n v="380000"/>
    <n v="3.4000000000000002E-2"/>
  </r>
  <r>
    <n v="2021"/>
    <x v="0"/>
    <x v="6"/>
    <x v="2"/>
    <x v="0"/>
    <x v="0"/>
    <n v="1900"/>
    <n v="570000"/>
    <n v="470000"/>
    <n v="100000"/>
    <n v="4.3"/>
    <n v="28000"/>
    <n v="480000"/>
    <n v="0.02"/>
  </r>
  <r>
    <n v="2021"/>
    <x v="1"/>
    <x v="6"/>
    <x v="2"/>
    <x v="2"/>
    <x v="4"/>
    <n v="800"/>
    <n v="400000"/>
    <n v="330000"/>
    <n v="70000"/>
    <n v="4.4000000000000004"/>
    <n v="30000"/>
    <n v="210000"/>
    <n v="0.01"/>
  </r>
  <r>
    <n v="2021"/>
    <x v="2"/>
    <x v="7"/>
    <x v="2"/>
    <x v="1"/>
    <x v="6"/>
    <n v="2900"/>
    <n v="232000"/>
    <n v="180000"/>
    <n v="52000"/>
    <n v="4"/>
    <n v="15000"/>
    <n v="340000"/>
    <n v="2.7E-2"/>
  </r>
  <r>
    <n v="2021"/>
    <x v="3"/>
    <x v="7"/>
    <x v="2"/>
    <x v="1"/>
    <x v="2"/>
    <n v="3100"/>
    <n v="217000"/>
    <n v="170000"/>
    <n v="47000"/>
    <n v="4.0999999999999996"/>
    <n v="16000"/>
    <n v="310000"/>
    <n v="2.8000000000000001E-2"/>
  </r>
  <r>
    <n v="2021"/>
    <x v="4"/>
    <x v="8"/>
    <x v="2"/>
    <x v="3"/>
    <x v="8"/>
    <n v="600"/>
    <n v="360000"/>
    <n v="300000"/>
    <n v="60000"/>
    <n v="4.3"/>
    <n v="21000"/>
    <n v="190000"/>
    <n v="1.2999999999999999E-2"/>
  </r>
  <r>
    <n v="2021"/>
    <x v="5"/>
    <x v="8"/>
    <x v="2"/>
    <x v="3"/>
    <x v="7"/>
    <n v="1300"/>
    <n v="325000"/>
    <n v="255000"/>
    <n v="70000"/>
    <n v="4.4000000000000004"/>
    <n v="20000"/>
    <n v="220000"/>
    <n v="1.4999999999999999E-2"/>
  </r>
  <r>
    <n v="2021"/>
    <x v="6"/>
    <x v="6"/>
    <x v="2"/>
    <x v="0"/>
    <x v="1"/>
    <n v="1700"/>
    <n v="935000"/>
    <n v="790000"/>
    <n v="145000"/>
    <n v="4.5"/>
    <n v="45000"/>
    <n v="510000"/>
    <n v="1.9E-2"/>
  </r>
  <r>
    <n v="2021"/>
    <x v="7"/>
    <x v="7"/>
    <x v="2"/>
    <x v="2"/>
    <x v="10"/>
    <n v="400"/>
    <n v="240000"/>
    <n v="200000"/>
    <n v="40000"/>
    <n v="4.2"/>
    <n v="23000"/>
    <n v="170000"/>
    <n v="8.9999999999999993E-3"/>
  </r>
  <r>
    <n v="2021"/>
    <x v="8"/>
    <x v="6"/>
    <x v="2"/>
    <x v="1"/>
    <x v="3"/>
    <n v="2600"/>
    <n v="208000"/>
    <n v="160000"/>
    <n v="48000"/>
    <n v="4.0999999999999996"/>
    <n v="16000"/>
    <n v="290000"/>
    <n v="2.7E-2"/>
  </r>
  <r>
    <n v="2021"/>
    <x v="9"/>
    <x v="8"/>
    <x v="2"/>
    <x v="0"/>
    <x v="5"/>
    <n v="2000"/>
    <n v="360000"/>
    <n v="290000"/>
    <n v="70000"/>
    <n v="4.4000000000000004"/>
    <n v="21000"/>
    <n v="320000"/>
    <n v="0.02"/>
  </r>
  <r>
    <n v="2021"/>
    <x v="10"/>
    <x v="6"/>
    <x v="2"/>
    <x v="0"/>
    <x v="0"/>
    <n v="3100"/>
    <n v="930000"/>
    <n v="740000"/>
    <n v="190000"/>
    <n v="4.3"/>
    <n v="35000"/>
    <n v="700000"/>
    <n v="1.7999999999999999E-2"/>
  </r>
  <r>
    <n v="2021"/>
    <x v="11"/>
    <x v="7"/>
    <x v="2"/>
    <x v="1"/>
    <x v="6"/>
    <n v="3700"/>
    <n v="296000"/>
    <n v="240000"/>
    <n v="56000"/>
    <n v="4"/>
    <n v="18000"/>
    <n v="360000"/>
    <n v="3.1E-2"/>
  </r>
  <r>
    <n v="2022"/>
    <x v="0"/>
    <x v="9"/>
    <x v="3"/>
    <x v="0"/>
    <x v="1"/>
    <n v="1300"/>
    <n v="715000"/>
    <n v="610000"/>
    <n v="105000"/>
    <n v="4.2"/>
    <n v="35000"/>
    <n v="280000"/>
    <n v="1.4E-2"/>
  </r>
  <r>
    <n v="2022"/>
    <x v="1"/>
    <x v="9"/>
    <x v="3"/>
    <x v="1"/>
    <x v="3"/>
    <n v="3100"/>
    <n v="248000"/>
    <n v="190000"/>
    <n v="58000"/>
    <n v="4"/>
    <n v="18000"/>
    <n v="240000"/>
    <n v="2.5999999999999999E-2"/>
  </r>
  <r>
    <n v="2022"/>
    <x v="2"/>
    <x v="10"/>
    <x v="3"/>
    <x v="1"/>
    <x v="2"/>
    <n v="4200"/>
    <n v="294000"/>
    <n v="230000"/>
    <n v="64000"/>
    <n v="4.0999999999999996"/>
    <n v="20000"/>
    <n v="250000"/>
    <n v="0.03"/>
  </r>
  <r>
    <n v="2022"/>
    <x v="3"/>
    <x v="10"/>
    <x v="3"/>
    <x v="0"/>
    <x v="0"/>
    <n v="2100"/>
    <n v="630000"/>
    <n v="520000"/>
    <n v="110000"/>
    <n v="4.3"/>
    <n v="26000"/>
    <n v="330000"/>
    <n v="1.9E-2"/>
  </r>
  <r>
    <n v="2022"/>
    <x v="4"/>
    <x v="9"/>
    <x v="3"/>
    <x v="3"/>
    <x v="8"/>
    <n v="700"/>
    <n v="420000"/>
    <n v="330000"/>
    <n v="90000"/>
    <n v="4.4000000000000004"/>
    <n v="24000"/>
    <n v="150000"/>
    <n v="1.0999999999999999E-2"/>
  </r>
  <r>
    <n v="2022"/>
    <x v="5"/>
    <x v="11"/>
    <x v="3"/>
    <x v="3"/>
    <x v="7"/>
    <n v="1100"/>
    <n v="275000"/>
    <n v="220000"/>
    <n v="55000"/>
    <n v="4.2"/>
    <n v="20000"/>
    <n v="130000"/>
    <n v="1.4999999999999999E-2"/>
  </r>
  <r>
    <n v="2022"/>
    <x v="6"/>
    <x v="11"/>
    <x v="3"/>
    <x v="2"/>
    <x v="10"/>
    <n v="350"/>
    <n v="210000"/>
    <n v="175000"/>
    <n v="35000"/>
    <n v="4.0999999999999996"/>
    <n v="18000"/>
    <n v="115000"/>
    <n v="8.9999999999999993E-3"/>
  </r>
  <r>
    <n v="2022"/>
    <x v="7"/>
    <x v="9"/>
    <x v="3"/>
    <x v="0"/>
    <x v="5"/>
    <n v="1800"/>
    <n v="324000"/>
    <n v="260000"/>
    <n v="64000"/>
    <n v="4.3"/>
    <n v="21000"/>
    <n v="200000"/>
    <n v="1.7999999999999999E-2"/>
  </r>
  <r>
    <n v="2022"/>
    <x v="8"/>
    <x v="10"/>
    <x v="3"/>
    <x v="1"/>
    <x v="6"/>
    <n v="2900"/>
    <n v="232000"/>
    <n v="185000"/>
    <n v="47000"/>
    <n v="4"/>
    <n v="15000"/>
    <n v="230000"/>
    <n v="2.7E-2"/>
  </r>
  <r>
    <n v="2022"/>
    <x v="9"/>
    <x v="9"/>
    <x v="3"/>
    <x v="2"/>
    <x v="9"/>
    <n v="500"/>
    <n v="250000"/>
    <n v="210000"/>
    <n v="40000"/>
    <n v="4.2"/>
    <n v="22000"/>
    <n v="160000"/>
    <n v="0.01"/>
  </r>
  <r>
    <n v="2022"/>
    <x v="10"/>
    <x v="11"/>
    <x v="3"/>
    <x v="0"/>
    <x v="0"/>
    <n v="2700"/>
    <n v="810000"/>
    <n v="680000"/>
    <n v="130000"/>
    <n v="4.3"/>
    <n v="30000"/>
    <n v="300000"/>
    <n v="0.02"/>
  </r>
  <r>
    <n v="2022"/>
    <x v="11"/>
    <x v="9"/>
    <x v="3"/>
    <x v="1"/>
    <x v="2"/>
    <n v="4800"/>
    <n v="336000"/>
    <n v="270000"/>
    <n v="66000"/>
    <n v="4.0999999999999996"/>
    <n v="18000"/>
    <n v="260000"/>
    <n v="3.2000000000000001E-2"/>
  </r>
  <r>
    <n v="2023"/>
    <x v="0"/>
    <x v="12"/>
    <x v="4"/>
    <x v="0"/>
    <x v="0"/>
    <n v="1500"/>
    <n v="450000"/>
    <n v="365000"/>
    <n v="85000"/>
    <n v="4.3"/>
    <n v="24000"/>
    <n v="300000"/>
    <n v="1.7000000000000001E-2"/>
  </r>
  <r>
    <n v="2023"/>
    <x v="1"/>
    <x v="12"/>
    <x v="4"/>
    <x v="1"/>
    <x v="6"/>
    <n v="2200"/>
    <n v="176000"/>
    <n v="135000"/>
    <n v="41000"/>
    <n v="4"/>
    <n v="12000"/>
    <n v="190000"/>
    <n v="2.5999999999999999E-2"/>
  </r>
  <r>
    <n v="2023"/>
    <x v="2"/>
    <x v="13"/>
    <x v="4"/>
    <x v="1"/>
    <x v="2"/>
    <n v="2600"/>
    <n v="182000"/>
    <n v="145000"/>
    <n v="37000"/>
    <n v="4.0999999999999996"/>
    <n v="13000"/>
    <n v="175000"/>
    <n v="2.5000000000000001E-2"/>
  </r>
  <r>
    <n v="2023"/>
    <x v="3"/>
    <x v="13"/>
    <x v="4"/>
    <x v="0"/>
    <x v="1"/>
    <n v="900"/>
    <n v="495000"/>
    <n v="420000"/>
    <n v="75000"/>
    <n v="4.5"/>
    <n v="30000"/>
    <n v="140000"/>
    <n v="1.2999999999999999E-2"/>
  </r>
  <r>
    <n v="2023"/>
    <x v="4"/>
    <x v="12"/>
    <x v="4"/>
    <x v="3"/>
    <x v="7"/>
    <n v="700"/>
    <n v="175000"/>
    <n v="140000"/>
    <n v="35000"/>
    <n v="4.4000000000000004"/>
    <n v="15000"/>
    <n v="120000"/>
    <n v="1.4E-2"/>
  </r>
  <r>
    <n v="2023"/>
    <x v="5"/>
    <x v="12"/>
    <x v="4"/>
    <x v="2"/>
    <x v="4"/>
    <n v="450"/>
    <n v="225000"/>
    <n v="187000"/>
    <n v="38000"/>
    <n v="4.3"/>
    <n v="20000"/>
    <n v="110000"/>
    <n v="0.01"/>
  </r>
  <r>
    <n v="2023"/>
    <x v="6"/>
    <x v="13"/>
    <x v="4"/>
    <x v="1"/>
    <x v="6"/>
    <n v="1800"/>
    <n v="144000"/>
    <n v="108000"/>
    <n v="36000"/>
    <n v="4"/>
    <n v="10000"/>
    <n v="150000"/>
    <n v="2.4E-2"/>
  </r>
  <r>
    <n v="2023"/>
    <x v="7"/>
    <x v="12"/>
    <x v="4"/>
    <x v="0"/>
    <x v="5"/>
    <n v="1600"/>
    <n v="288000"/>
    <n v="230000"/>
    <n v="58000"/>
    <n v="4.2"/>
    <n v="18000"/>
    <n v="210000"/>
    <n v="1.9E-2"/>
  </r>
  <r>
    <n v="2023"/>
    <x v="8"/>
    <x v="13"/>
    <x v="4"/>
    <x v="3"/>
    <x v="8"/>
    <n v="500"/>
    <n v="300000"/>
    <n v="245000"/>
    <n v="55000"/>
    <n v="4.4000000000000004"/>
    <n v="18000"/>
    <n v="95000"/>
    <n v="1.0999999999999999E-2"/>
  </r>
  <r>
    <n v="2023"/>
    <x v="9"/>
    <x v="12"/>
    <x v="4"/>
    <x v="2"/>
    <x v="9"/>
    <n v="380"/>
    <n v="190000"/>
    <n v="155000"/>
    <n v="35000"/>
    <n v="4.3"/>
    <n v="16000"/>
    <n v="100000"/>
    <n v="0.01"/>
  </r>
  <r>
    <n v="2023"/>
    <x v="10"/>
    <x v="12"/>
    <x v="4"/>
    <x v="0"/>
    <x v="0"/>
    <n v="2300"/>
    <n v="690000"/>
    <n v="560000"/>
    <n v="130000"/>
    <n v="4.4000000000000004"/>
    <n v="28000"/>
    <n v="320000"/>
    <n v="1.7999999999999999E-2"/>
  </r>
  <r>
    <n v="2023"/>
    <x v="11"/>
    <x v="13"/>
    <x v="4"/>
    <x v="1"/>
    <x v="2"/>
    <n v="3100"/>
    <n v="217000"/>
    <n v="175000"/>
    <n v="42000"/>
    <n v="4.0999999999999996"/>
    <n v="15000"/>
    <n v="160000"/>
    <n v="2.1000000000000001E-2"/>
  </r>
  <r>
    <n v="2024"/>
    <x v="0"/>
    <x v="14"/>
    <x v="5"/>
    <x v="0"/>
    <x v="0"/>
    <n v="900"/>
    <n v="270000"/>
    <n v="220000"/>
    <n v="50000"/>
    <n v="4.2"/>
    <n v="20000"/>
    <n v="140000"/>
    <n v="1.6E-2"/>
  </r>
  <r>
    <n v="2024"/>
    <x v="1"/>
    <x v="15"/>
    <x v="5"/>
    <x v="1"/>
    <x v="3"/>
    <n v="2600"/>
    <n v="208000"/>
    <n v="162000"/>
    <n v="46000"/>
    <n v="4"/>
    <n v="12000"/>
    <n v="130000"/>
    <n v="2.7E-2"/>
  </r>
  <r>
    <n v="2024"/>
    <x v="2"/>
    <x v="16"/>
    <x v="5"/>
    <x v="1"/>
    <x v="2"/>
    <n v="2700"/>
    <n v="189000"/>
    <n v="150000"/>
    <n v="39000"/>
    <n v="4.0999999999999996"/>
    <n v="13000"/>
    <n v="125000"/>
    <n v="2.5999999999999999E-2"/>
  </r>
  <r>
    <n v="2024"/>
    <x v="3"/>
    <x v="14"/>
    <x v="5"/>
    <x v="2"/>
    <x v="4"/>
    <n v="300"/>
    <n v="150000"/>
    <n v="123000"/>
    <n v="27000"/>
    <n v="4.3"/>
    <n v="16000"/>
    <n v="90000"/>
    <n v="0.01"/>
  </r>
  <r>
    <n v="2024"/>
    <x v="4"/>
    <x v="15"/>
    <x v="5"/>
    <x v="0"/>
    <x v="0"/>
    <n v="1500"/>
    <n v="450000"/>
    <n v="375000"/>
    <n v="75000"/>
    <n v="4.2"/>
    <n v="22000"/>
    <n v="160000"/>
    <n v="1.7000000000000001E-2"/>
  </r>
  <r>
    <n v="2024"/>
    <x v="5"/>
    <x v="16"/>
    <x v="5"/>
    <x v="3"/>
    <x v="7"/>
    <n v="400"/>
    <n v="100000"/>
    <n v="80000"/>
    <n v="20000"/>
    <n v="4.0999999999999996"/>
    <n v="9000"/>
    <n v="60000"/>
    <n v="1.2999999999999999E-2"/>
  </r>
  <r>
    <n v="2024"/>
    <x v="6"/>
    <x v="14"/>
    <x v="5"/>
    <x v="2"/>
    <x v="10"/>
    <n v="250"/>
    <n v="150000"/>
    <n v="125000"/>
    <n v="25000"/>
    <n v="4.3"/>
    <n v="15000"/>
    <n v="70000"/>
    <n v="8.9999999999999993E-3"/>
  </r>
  <r>
    <n v="2024"/>
    <x v="7"/>
    <x v="15"/>
    <x v="5"/>
    <x v="3"/>
    <x v="8"/>
    <n v="320"/>
    <n v="192000"/>
    <n v="157000"/>
    <n v="35000"/>
    <n v="4.2"/>
    <n v="14000"/>
    <n v="55000"/>
    <n v="0.01"/>
  </r>
  <r>
    <n v="2024"/>
    <x v="8"/>
    <x v="16"/>
    <x v="5"/>
    <x v="0"/>
    <x v="5"/>
    <n v="1100"/>
    <n v="198000"/>
    <n v="160000"/>
    <n v="38000"/>
    <n v="4.0999999999999996"/>
    <n v="15000"/>
    <n v="90000"/>
    <n v="1.2E-2"/>
  </r>
  <r>
    <n v="2024"/>
    <x v="9"/>
    <x v="15"/>
    <x v="5"/>
    <x v="1"/>
    <x v="6"/>
    <n v="1900"/>
    <n v="152000"/>
    <n v="117000"/>
    <n v="35000"/>
    <n v="4"/>
    <n v="11000"/>
    <n v="120000"/>
    <n v="2.1999999999999999E-2"/>
  </r>
  <r>
    <n v="2024"/>
    <x v="10"/>
    <x v="14"/>
    <x v="5"/>
    <x v="0"/>
    <x v="0"/>
    <n v="1700"/>
    <n v="510000"/>
    <n v="420000"/>
    <n v="90000"/>
    <n v="4.3"/>
    <n v="26000"/>
    <n v="180000"/>
    <n v="1.6E-2"/>
  </r>
  <r>
    <n v="2024"/>
    <x v="11"/>
    <x v="16"/>
    <x v="5"/>
    <x v="1"/>
    <x v="2"/>
    <n v="2800"/>
    <n v="196000"/>
    <n v="152000"/>
    <n v="44000"/>
    <n v="4.0999999999999996"/>
    <n v="14000"/>
    <n v="135000"/>
    <n v="2.5000000000000001E-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D33B30-655F-4790-8C94-2E91468EB4ED}" name="PivotTable7"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58:F71" firstHeaderRow="1" firstDataRow="2" firstDataCol="1"/>
  <pivotFields count="14">
    <pivotField showAll="0"/>
    <pivotField showAll="0"/>
    <pivotField showAll="0"/>
    <pivotField showAll="0">
      <items count="7">
        <item x="5"/>
        <item x="1"/>
        <item x="2"/>
        <item x="0"/>
        <item x="4"/>
        <item x="3"/>
        <item t="default"/>
      </items>
    </pivotField>
    <pivotField axis="axisCol" showAll="0">
      <items count="5">
        <item x="0"/>
        <item x="1"/>
        <item x="3"/>
        <item x="2"/>
        <item t="default"/>
      </items>
    </pivotField>
    <pivotField axis="axisRow" showAll="0">
      <items count="12">
        <item x="10"/>
        <item x="8"/>
        <item x="3"/>
        <item x="1"/>
        <item x="2"/>
        <item x="7"/>
        <item x="4"/>
        <item x="0"/>
        <item x="5"/>
        <item x="9"/>
        <item x="6"/>
        <item t="default"/>
      </items>
    </pivotField>
    <pivotField showAll="0"/>
    <pivotField dataField="1" showAll="0"/>
    <pivotField showAll="0"/>
    <pivotField showAll="0"/>
    <pivotField showAll="0"/>
    <pivotField showAll="0"/>
    <pivotField showAll="0"/>
    <pivotField showAll="0"/>
  </pivotFields>
  <rowFields count="1">
    <field x="5"/>
  </rowFields>
  <rowItems count="12">
    <i>
      <x/>
    </i>
    <i>
      <x v="1"/>
    </i>
    <i>
      <x v="2"/>
    </i>
    <i>
      <x v="3"/>
    </i>
    <i>
      <x v="4"/>
    </i>
    <i>
      <x v="5"/>
    </i>
    <i>
      <x v="6"/>
    </i>
    <i>
      <x v="7"/>
    </i>
    <i>
      <x v="8"/>
    </i>
    <i>
      <x v="9"/>
    </i>
    <i>
      <x v="10"/>
    </i>
    <i t="grand">
      <x/>
    </i>
  </rowItems>
  <colFields count="1">
    <field x="4"/>
  </colFields>
  <colItems count="5">
    <i>
      <x/>
    </i>
    <i>
      <x v="1"/>
    </i>
    <i>
      <x v="2"/>
    </i>
    <i>
      <x v="3"/>
    </i>
    <i t="grand">
      <x/>
    </i>
  </colItems>
  <dataFields count="1">
    <dataField name="Sum of Sales" fld="7" baseField="0" baseItem="0"/>
  </dataFields>
  <chartFormats count="8">
    <chartFormat chart="0" format="0" series="1">
      <pivotArea type="data" outline="0" fieldPosition="0">
        <references count="1">
          <reference field="4" count="1" selected="0">
            <x v="0"/>
          </reference>
        </references>
      </pivotArea>
    </chartFormat>
    <chartFormat chart="0" format="1" series="1">
      <pivotArea type="data" outline="0" fieldPosition="0">
        <references count="1">
          <reference field="4" count="1" selected="0">
            <x v="1"/>
          </reference>
        </references>
      </pivotArea>
    </chartFormat>
    <chartFormat chart="0" format="2" series="1">
      <pivotArea type="data" outline="0" fieldPosition="0">
        <references count="1">
          <reference field="4" count="1" selected="0">
            <x v="2"/>
          </reference>
        </references>
      </pivotArea>
    </chartFormat>
    <chartFormat chart="0" format="3" series="1">
      <pivotArea type="data" outline="0" fieldPosition="0">
        <references count="1">
          <reference field="4" count="1" selected="0">
            <x v="3"/>
          </reference>
        </references>
      </pivotArea>
    </chartFormat>
    <chartFormat chart="5" format="8" series="1">
      <pivotArea type="data" outline="0" fieldPosition="0">
        <references count="2">
          <reference field="4294967294" count="1" selected="0">
            <x v="0"/>
          </reference>
          <reference field="4" count="1" selected="0">
            <x v="0"/>
          </reference>
        </references>
      </pivotArea>
    </chartFormat>
    <chartFormat chart="5" format="9" series="1">
      <pivotArea type="data" outline="0" fieldPosition="0">
        <references count="2">
          <reference field="4294967294" count="1" selected="0">
            <x v="0"/>
          </reference>
          <reference field="4" count="1" selected="0">
            <x v="1"/>
          </reference>
        </references>
      </pivotArea>
    </chartFormat>
    <chartFormat chart="5" format="10" series="1">
      <pivotArea type="data" outline="0" fieldPosition="0">
        <references count="2">
          <reference field="4294967294" count="1" selected="0">
            <x v="0"/>
          </reference>
          <reference field="4" count="1" selected="0">
            <x v="2"/>
          </reference>
        </references>
      </pivotArea>
    </chartFormat>
    <chartFormat chart="5" format="11" series="1">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E6B03DE-8489-469E-A462-F4295E6BE128}" name="PivotTable4"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29:S37" firstHeaderRow="1" firstDataRow="2" firstDataCol="1"/>
  <pivotFields count="14">
    <pivotField showAll="0"/>
    <pivotField showAll="0"/>
    <pivotField axis="axisCol" showAll="0">
      <items count="18">
        <item x="10"/>
        <item x="12"/>
        <item x="9"/>
        <item x="1"/>
        <item x="11"/>
        <item x="4"/>
        <item x="8"/>
        <item x="6"/>
        <item x="3"/>
        <item x="5"/>
        <item x="16"/>
        <item x="2"/>
        <item x="13"/>
        <item x="15"/>
        <item x="14"/>
        <item x="7"/>
        <item x="0"/>
        <item t="default"/>
      </items>
    </pivotField>
    <pivotField axis="axisRow" showAll="0">
      <items count="7">
        <item x="5"/>
        <item x="1"/>
        <item x="2"/>
        <item x="0"/>
        <item x="4"/>
        <item x="3"/>
        <item t="default"/>
      </items>
    </pivotField>
    <pivotField showAll="0"/>
    <pivotField showAll="0"/>
    <pivotField dataField="1" showAll="0"/>
    <pivotField showAll="0"/>
    <pivotField showAll="0"/>
    <pivotField showAll="0"/>
    <pivotField showAll="0"/>
    <pivotField showAll="0"/>
    <pivotField showAll="0"/>
    <pivotField showAll="0"/>
  </pivotFields>
  <rowFields count="1">
    <field x="3"/>
  </rowFields>
  <rowItems count="7">
    <i>
      <x/>
    </i>
    <i>
      <x v="1"/>
    </i>
    <i>
      <x v="2"/>
    </i>
    <i>
      <x v="3"/>
    </i>
    <i>
      <x v="4"/>
    </i>
    <i>
      <x v="5"/>
    </i>
    <i t="grand">
      <x/>
    </i>
  </rowItems>
  <colFields count="1">
    <field x="2"/>
  </colFields>
  <colItems count="18">
    <i>
      <x/>
    </i>
    <i>
      <x v="1"/>
    </i>
    <i>
      <x v="2"/>
    </i>
    <i>
      <x v="3"/>
    </i>
    <i>
      <x v="4"/>
    </i>
    <i>
      <x v="5"/>
    </i>
    <i>
      <x v="6"/>
    </i>
    <i>
      <x v="7"/>
    </i>
    <i>
      <x v="8"/>
    </i>
    <i>
      <x v="9"/>
    </i>
    <i>
      <x v="10"/>
    </i>
    <i>
      <x v="11"/>
    </i>
    <i>
      <x v="12"/>
    </i>
    <i>
      <x v="13"/>
    </i>
    <i>
      <x v="14"/>
    </i>
    <i>
      <x v="15"/>
    </i>
    <i>
      <x v="16"/>
    </i>
    <i t="grand">
      <x/>
    </i>
  </colItems>
  <dataFields count="1">
    <dataField name="Sum of Units Sold" fld="6" baseField="0" baseItem="0"/>
  </dataFields>
  <chartFormats count="43">
    <chartFormat chart="0" format="0" series="1">
      <pivotArea type="data" outline="0" fieldPosition="0">
        <references count="1">
          <reference field="2" count="1" selected="0">
            <x v="0"/>
          </reference>
        </references>
      </pivotArea>
    </chartFormat>
    <chartFormat chart="0" format="1" series="1">
      <pivotArea type="data" outline="0" fieldPosition="0">
        <references count="1">
          <reference field="2" count="1" selected="0">
            <x v="1"/>
          </reference>
        </references>
      </pivotArea>
    </chartFormat>
    <chartFormat chart="0" format="2" series="1">
      <pivotArea type="data" outline="0" fieldPosition="0">
        <references count="1">
          <reference field="2" count="1" selected="0">
            <x v="2"/>
          </reference>
        </references>
      </pivotArea>
    </chartFormat>
    <chartFormat chart="0" format="3" series="1">
      <pivotArea type="data" outline="0" fieldPosition="0">
        <references count="1">
          <reference field="2" count="1" selected="0">
            <x v="3"/>
          </reference>
        </references>
      </pivotArea>
    </chartFormat>
    <chartFormat chart="0" format="4" series="1">
      <pivotArea type="data" outline="0" fieldPosition="0">
        <references count="1">
          <reference field="2" count="1" selected="0">
            <x v="4"/>
          </reference>
        </references>
      </pivotArea>
    </chartFormat>
    <chartFormat chart="0" format="5" series="1">
      <pivotArea type="data" outline="0" fieldPosition="0">
        <references count="1">
          <reference field="2" count="1" selected="0">
            <x v="5"/>
          </reference>
        </references>
      </pivotArea>
    </chartFormat>
    <chartFormat chart="0" format="6" series="1">
      <pivotArea type="data" outline="0" fieldPosition="0">
        <references count="1">
          <reference field="2" count="1" selected="0">
            <x v="6"/>
          </reference>
        </references>
      </pivotArea>
    </chartFormat>
    <chartFormat chart="0" format="7" series="1">
      <pivotArea type="data" outline="0" fieldPosition="0">
        <references count="1">
          <reference field="2" count="1" selected="0">
            <x v="7"/>
          </reference>
        </references>
      </pivotArea>
    </chartFormat>
    <chartFormat chart="0" format="8" series="1">
      <pivotArea type="data" outline="0" fieldPosition="0">
        <references count="1">
          <reference field="2" count="1" selected="0">
            <x v="8"/>
          </reference>
        </references>
      </pivotArea>
    </chartFormat>
    <chartFormat chart="0" format="9" series="1">
      <pivotArea type="data" outline="0" fieldPosition="0">
        <references count="1">
          <reference field="2" count="1" selected="0">
            <x v="9"/>
          </reference>
        </references>
      </pivotArea>
    </chartFormat>
    <chartFormat chart="0" format="10" series="1">
      <pivotArea type="data" outline="0" fieldPosition="0">
        <references count="1">
          <reference field="2" count="1" selected="0">
            <x v="10"/>
          </reference>
        </references>
      </pivotArea>
    </chartFormat>
    <chartFormat chart="0" format="11" series="1">
      <pivotArea type="data" outline="0" fieldPosition="0">
        <references count="1">
          <reference field="2" count="1" selected="0">
            <x v="11"/>
          </reference>
        </references>
      </pivotArea>
    </chartFormat>
    <chartFormat chart="0" format="12" series="1">
      <pivotArea type="data" outline="0" fieldPosition="0">
        <references count="1">
          <reference field="2" count="1" selected="0">
            <x v="12"/>
          </reference>
        </references>
      </pivotArea>
    </chartFormat>
    <chartFormat chart="0" format="13" series="1">
      <pivotArea type="data" outline="0" fieldPosition="0">
        <references count="1">
          <reference field="2" count="1" selected="0">
            <x v="13"/>
          </reference>
        </references>
      </pivotArea>
    </chartFormat>
    <chartFormat chart="0" format="14" series="1">
      <pivotArea type="data" outline="0" fieldPosition="0">
        <references count="1">
          <reference field="2" count="1" selected="0">
            <x v="14"/>
          </reference>
        </references>
      </pivotArea>
    </chartFormat>
    <chartFormat chart="0" format="15" series="1">
      <pivotArea type="data" outline="0" fieldPosition="0">
        <references count="1">
          <reference field="2" count="1" selected="0">
            <x v="15"/>
          </reference>
        </references>
      </pivotArea>
    </chartFormat>
    <chartFormat chart="0" format="16" series="1">
      <pivotArea type="data" outline="0" fieldPosition="0">
        <references count="1">
          <reference field="2" count="1" selected="0">
            <x v="16"/>
          </reference>
        </references>
      </pivotArea>
    </chartFormat>
    <chartFormat chart="6" format="34" series="1">
      <pivotArea type="data" outline="0" fieldPosition="0">
        <references count="2">
          <reference field="4294967294" count="1" selected="0">
            <x v="0"/>
          </reference>
          <reference field="2" count="1" selected="0">
            <x v="0"/>
          </reference>
        </references>
      </pivotArea>
    </chartFormat>
    <chartFormat chart="6" format="35" series="1">
      <pivotArea type="data" outline="0" fieldPosition="0">
        <references count="2">
          <reference field="4294967294" count="1" selected="0">
            <x v="0"/>
          </reference>
          <reference field="2" count="1" selected="0">
            <x v="1"/>
          </reference>
        </references>
      </pivotArea>
    </chartFormat>
    <chartFormat chart="6" format="36" series="1">
      <pivotArea type="data" outline="0" fieldPosition="0">
        <references count="2">
          <reference field="4294967294" count="1" selected="0">
            <x v="0"/>
          </reference>
          <reference field="2" count="1" selected="0">
            <x v="2"/>
          </reference>
        </references>
      </pivotArea>
    </chartFormat>
    <chartFormat chart="6" format="37" series="1">
      <pivotArea type="data" outline="0" fieldPosition="0">
        <references count="2">
          <reference field="4294967294" count="1" selected="0">
            <x v="0"/>
          </reference>
          <reference field="2" count="1" selected="0">
            <x v="3"/>
          </reference>
        </references>
      </pivotArea>
    </chartFormat>
    <chartFormat chart="6" format="38" series="1">
      <pivotArea type="data" outline="0" fieldPosition="0">
        <references count="2">
          <reference field="4294967294" count="1" selected="0">
            <x v="0"/>
          </reference>
          <reference field="2" count="1" selected="0">
            <x v="4"/>
          </reference>
        </references>
      </pivotArea>
    </chartFormat>
    <chartFormat chart="6" format="39" series="1">
      <pivotArea type="data" outline="0" fieldPosition="0">
        <references count="2">
          <reference field="4294967294" count="1" selected="0">
            <x v="0"/>
          </reference>
          <reference field="2" count="1" selected="0">
            <x v="5"/>
          </reference>
        </references>
      </pivotArea>
    </chartFormat>
    <chartFormat chart="6" format="40" series="1">
      <pivotArea type="data" outline="0" fieldPosition="0">
        <references count="2">
          <reference field="4294967294" count="1" selected="0">
            <x v="0"/>
          </reference>
          <reference field="2" count="1" selected="0">
            <x v="6"/>
          </reference>
        </references>
      </pivotArea>
    </chartFormat>
    <chartFormat chart="6" format="41" series="1">
      <pivotArea type="data" outline="0" fieldPosition="0">
        <references count="2">
          <reference field="4294967294" count="1" selected="0">
            <x v="0"/>
          </reference>
          <reference field="2" count="1" selected="0">
            <x v="7"/>
          </reference>
        </references>
      </pivotArea>
    </chartFormat>
    <chartFormat chart="6" format="42" series="1">
      <pivotArea type="data" outline="0" fieldPosition="0">
        <references count="2">
          <reference field="4294967294" count="1" selected="0">
            <x v="0"/>
          </reference>
          <reference field="2" count="1" selected="0">
            <x v="8"/>
          </reference>
        </references>
      </pivotArea>
    </chartFormat>
    <chartFormat chart="6" format="43" series="1">
      <pivotArea type="data" outline="0" fieldPosition="0">
        <references count="2">
          <reference field="4294967294" count="1" selected="0">
            <x v="0"/>
          </reference>
          <reference field="2" count="1" selected="0">
            <x v="9"/>
          </reference>
        </references>
      </pivotArea>
    </chartFormat>
    <chartFormat chart="6" format="44" series="1">
      <pivotArea type="data" outline="0" fieldPosition="0">
        <references count="2">
          <reference field="4294967294" count="1" selected="0">
            <x v="0"/>
          </reference>
          <reference field="2" count="1" selected="0">
            <x v="10"/>
          </reference>
        </references>
      </pivotArea>
    </chartFormat>
    <chartFormat chart="6" format="45" series="1">
      <pivotArea type="data" outline="0" fieldPosition="0">
        <references count="2">
          <reference field="4294967294" count="1" selected="0">
            <x v="0"/>
          </reference>
          <reference field="2" count="1" selected="0">
            <x v="11"/>
          </reference>
        </references>
      </pivotArea>
    </chartFormat>
    <chartFormat chart="6" format="46" series="1">
      <pivotArea type="data" outline="0" fieldPosition="0">
        <references count="2">
          <reference field="4294967294" count="1" selected="0">
            <x v="0"/>
          </reference>
          <reference field="2" count="1" selected="0">
            <x v="12"/>
          </reference>
        </references>
      </pivotArea>
    </chartFormat>
    <chartFormat chart="6" format="47" series="1">
      <pivotArea type="data" outline="0" fieldPosition="0">
        <references count="2">
          <reference field="4294967294" count="1" selected="0">
            <x v="0"/>
          </reference>
          <reference field="2" count="1" selected="0">
            <x v="13"/>
          </reference>
        </references>
      </pivotArea>
    </chartFormat>
    <chartFormat chart="6" format="48" series="1">
      <pivotArea type="data" outline="0" fieldPosition="0">
        <references count="2">
          <reference field="4294967294" count="1" selected="0">
            <x v="0"/>
          </reference>
          <reference field="2" count="1" selected="0">
            <x v="14"/>
          </reference>
        </references>
      </pivotArea>
    </chartFormat>
    <chartFormat chart="6" format="49" series="1">
      <pivotArea type="data" outline="0" fieldPosition="0">
        <references count="2">
          <reference field="4294967294" count="1" selected="0">
            <x v="0"/>
          </reference>
          <reference field="2" count="1" selected="0">
            <x v="15"/>
          </reference>
        </references>
      </pivotArea>
    </chartFormat>
    <chartFormat chart="6" format="50" series="1">
      <pivotArea type="data" outline="0" fieldPosition="0">
        <references count="2">
          <reference field="4294967294" count="1" selected="0">
            <x v="0"/>
          </reference>
          <reference field="2" count="1" selected="0">
            <x v="16"/>
          </reference>
        </references>
      </pivotArea>
    </chartFormat>
    <chartFormat chart="0" format="17" series="1">
      <pivotArea type="data" outline="0" fieldPosition="0">
        <references count="2">
          <reference field="4294967294" count="1" selected="0">
            <x v="0"/>
          </reference>
          <reference field="2" count="1" selected="0">
            <x v="4"/>
          </reference>
        </references>
      </pivotArea>
    </chartFormat>
    <chartFormat chart="0" format="18" series="1">
      <pivotArea type="data" outline="0" fieldPosition="0">
        <references count="2">
          <reference field="4294967294" count="1" selected="0">
            <x v="0"/>
          </reference>
          <reference field="2" count="1" selected="0">
            <x v="10"/>
          </reference>
        </references>
      </pivotArea>
    </chartFormat>
    <chartFormat chart="0" format="19" series="1">
      <pivotArea type="data" outline="0" fieldPosition="0">
        <references count="2">
          <reference field="4294967294" count="1" selected="0">
            <x v="0"/>
          </reference>
          <reference field="2" count="1" selected="0">
            <x v="13"/>
          </reference>
        </references>
      </pivotArea>
    </chartFormat>
    <chartFormat chart="0" format="20" series="1">
      <pivotArea type="data" outline="0" fieldPosition="0">
        <references count="2">
          <reference field="4294967294" count="1" selected="0">
            <x v="0"/>
          </reference>
          <reference field="2" count="1" selected="0">
            <x v="14"/>
          </reference>
        </references>
      </pivotArea>
    </chartFormat>
    <chartFormat chart="0" format="21" series="1">
      <pivotArea type="data" outline="0" fieldPosition="0">
        <references count="2">
          <reference field="4294967294" count="1" selected="0">
            <x v="0"/>
          </reference>
          <reference field="2" count="1" selected="0">
            <x v="9"/>
          </reference>
        </references>
      </pivotArea>
    </chartFormat>
    <chartFormat chart="0" format="22" series="1">
      <pivotArea type="data" outline="0" fieldPosition="0">
        <references count="2">
          <reference field="4294967294" count="1" selected="0">
            <x v="0"/>
          </reference>
          <reference field="2" count="1" selected="0">
            <x v="11"/>
          </reference>
        </references>
      </pivotArea>
    </chartFormat>
    <chartFormat chart="0" format="23" series="1">
      <pivotArea type="data" outline="0" fieldPosition="0">
        <references count="2">
          <reference field="4294967294" count="1" selected="0">
            <x v="0"/>
          </reference>
          <reference field="2" count="1" selected="0">
            <x v="12"/>
          </reference>
        </references>
      </pivotArea>
    </chartFormat>
    <chartFormat chart="0" format="24" series="1">
      <pivotArea type="data" outline="0" fieldPosition="0">
        <references count="2">
          <reference field="4294967294" count="1" selected="0">
            <x v="0"/>
          </reference>
          <reference field="2" count="1" selected="0">
            <x v="15"/>
          </reference>
        </references>
      </pivotArea>
    </chartFormat>
    <chartFormat chart="0" format="25" series="1">
      <pivotArea type="data" outline="0" fieldPosition="0">
        <references count="2">
          <reference field="4294967294" count="1" selected="0">
            <x v="0"/>
          </reference>
          <reference field="2" count="1" selected="0">
            <x v="1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670B0AA-9A2D-48A7-B2D9-7C1B91A417B7}" name="PivotTable3"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4:B21" firstHeaderRow="1" firstDataRow="1" firstDataCol="1"/>
  <pivotFields count="14">
    <pivotField showAll="0"/>
    <pivotField showAll="0"/>
    <pivotField showAll="0"/>
    <pivotField axis="axisRow" showAll="0">
      <items count="7">
        <item x="5"/>
        <item x="1"/>
        <item x="2"/>
        <item x="0"/>
        <item x="4"/>
        <item x="3"/>
        <item t="default"/>
      </items>
    </pivotField>
    <pivotField showAll="0"/>
    <pivotField showAll="0"/>
    <pivotField showAll="0"/>
    <pivotField showAll="0"/>
    <pivotField dataField="1" showAll="0"/>
    <pivotField showAll="0"/>
    <pivotField showAll="0"/>
    <pivotField showAll="0"/>
    <pivotField showAll="0"/>
    <pivotField showAll="0"/>
  </pivotFields>
  <rowFields count="1">
    <field x="3"/>
  </rowFields>
  <rowItems count="7">
    <i>
      <x/>
    </i>
    <i>
      <x v="1"/>
    </i>
    <i>
      <x v="2"/>
    </i>
    <i>
      <x v="3"/>
    </i>
    <i>
      <x v="4"/>
    </i>
    <i>
      <x v="5"/>
    </i>
    <i t="grand">
      <x/>
    </i>
  </rowItems>
  <colItems count="1">
    <i/>
  </colItems>
  <dataFields count="1">
    <dataField name="Sum of Cost" fld="8"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C42A8B2-BAED-4D75-8F04-B2BC633E1FA2}" name="PivotTable5"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M8" firstHeaderRow="1" firstDataRow="2" firstDataCol="1"/>
  <pivotFields count="14">
    <pivotField showAll="0"/>
    <pivotField axis="axisCol" showAll="0">
      <items count="13">
        <item x="0"/>
        <item x="1"/>
        <item x="2"/>
        <item x="3"/>
        <item x="4"/>
        <item x="5"/>
        <item x="6"/>
        <item x="7"/>
        <item x="8"/>
        <item x="9"/>
        <item x="10"/>
        <item x="11"/>
        <item t="default"/>
      </items>
    </pivotField>
    <pivotField showAll="0"/>
    <pivotField axis="axisRow" showAll="0">
      <items count="7">
        <item x="5"/>
        <item x="1"/>
        <item x="2"/>
        <item x="0"/>
        <item x="4"/>
        <item x="3"/>
        <item t="default"/>
      </items>
    </pivotField>
    <pivotField showAll="0"/>
    <pivotField showAll="0"/>
    <pivotField showAll="0"/>
    <pivotField dataField="1" showAll="0"/>
    <pivotField showAll="0"/>
    <pivotField showAll="0"/>
    <pivotField showAll="0"/>
    <pivotField showAll="0"/>
    <pivotField showAll="0"/>
    <pivotField showAll="0"/>
  </pivotFields>
  <rowFields count="1">
    <field x="3"/>
  </rowFields>
  <rowItems count="6">
    <i>
      <x/>
    </i>
    <i>
      <x v="1"/>
    </i>
    <i>
      <x v="2"/>
    </i>
    <i>
      <x v="3"/>
    </i>
    <i>
      <x v="4"/>
    </i>
    <i>
      <x v="5"/>
    </i>
  </rowItems>
  <colFields count="1">
    <field x="1"/>
  </colFields>
  <colItems count="12">
    <i>
      <x/>
    </i>
    <i>
      <x v="1"/>
    </i>
    <i>
      <x v="2"/>
    </i>
    <i>
      <x v="3"/>
    </i>
    <i>
      <x v="4"/>
    </i>
    <i>
      <x v="5"/>
    </i>
    <i>
      <x v="6"/>
    </i>
    <i>
      <x v="7"/>
    </i>
    <i>
      <x v="8"/>
    </i>
    <i>
      <x v="9"/>
    </i>
    <i>
      <x v="10"/>
    </i>
    <i>
      <x v="11"/>
    </i>
  </colItems>
  <dataFields count="1">
    <dataField name="Sum of Sale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705FF23-F4BA-4DD3-9D18-7D248B5A511A}" sourceName="Region">
  <pivotTables>
    <pivotTable tabId="19" name="PivotTable3"/>
    <pivotTable tabId="19" name="PivotTable4"/>
    <pivotTable tabId="19" name="PivotTable5"/>
    <pivotTable tabId="19" name="PivotTable7"/>
  </pivotTables>
  <data>
    <tabular pivotCacheId="1279407877">
      <items count="6">
        <i x="5" s="1"/>
        <i x="1" s="1"/>
        <i x="2" s="1"/>
        <i x="0" s="1"/>
        <i x="4"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C7F9DE65-346D-4F06-ADA3-67488B9F73F1}" cache="Slicer_Region" caption="Region"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60F1D01-6CE9-492D-8C86-C13FEC5E913B}" name="Table1" displayName="Table1" ref="A1:N26" totalsRowShown="0">
  <autoFilter ref="A1:N26" xr:uid="{D60F1D01-6CE9-492D-8C86-C13FEC5E913B}"/>
  <tableColumns count="14">
    <tableColumn id="1" xr3:uid="{946CDCE3-C7F9-4954-87E5-8F81CDE091FC}" name="OrderID"/>
    <tableColumn id="2" xr3:uid="{46E22C28-562F-40EE-9DC4-D79AA73EC132}" name="OrderDate" dataDxfId="15"/>
    <tableColumn id="3" xr3:uid="{F7C9ABF8-F0AD-4064-A8EE-FB0B40B9AFBD}" name="Region"/>
    <tableColumn id="4" xr3:uid="{AD1355FA-7CDE-4D5D-A22F-4313568221FE}" name="City"/>
    <tableColumn id="5" xr3:uid="{87E6033B-BBAC-4B6C-A16A-6652B0814FC6}" name="CustomerName"/>
    <tableColumn id="6" xr3:uid="{14FD5BDD-FD56-4CCB-A0BA-CD17227A2612}" name="Product"/>
    <tableColumn id="7" xr3:uid="{2080F160-7648-4C27-8417-C3901A13715D}" name="Category"/>
    <tableColumn id="8" xr3:uid="{70E3C487-E950-47BD-9346-29A4D45A0BEF}" name="Units"/>
    <tableColumn id="9" xr3:uid="{DD593F77-0162-4BF3-8862-6C27AA94B107}" name="UnitPrice"/>
    <tableColumn id="10" xr3:uid="{DD848BDC-D6E6-4811-AB9F-5773CC43D15A}" name="DiscountPct"/>
    <tableColumn id="11" xr3:uid="{B121E0F2-8B8E-4782-9C22-DCD84F2E38C3}" name="TaxRatePct"/>
    <tableColumn id="12" xr3:uid="{B1F45579-AC8D-44C0-9768-D74423B8775D}" name="Channel"/>
    <tableColumn id="13" xr3:uid="{8C1BFDFE-831B-49C0-864E-50F52A59A240}" name="Status"/>
    <tableColumn id="16" xr3:uid="{86C17A3B-0910-4F05-A43A-27D781879CF0}" name="Total Revenue" dataDxfId="14">
      <calculatedColumnFormula>(Table1[[#This Row],[UnitPrice]]-(Table1[[#This Row],[UnitPrice]]*Table1[[#This Row],[DiscountPct]]))*Table1[[#This Row],[Units]]*(1+Table1[[#This Row],[TaxRatePct]]/100)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37205B-DBC7-490D-8B4D-2A0F4871ED8D}" name="Table1" displayName="Table1_1" ref="A1:N26" totalsRowShown="0">
  <autoFilter ref="A1:N26" xr:uid="{4D37205B-DBC7-490D-8B4D-2A0F4871ED8D}"/>
  <tableColumns count="14">
    <tableColumn id="1" xr3:uid="{DE3C2569-69C9-4BE1-BB0D-C02416679141}" name="OrderID"/>
    <tableColumn id="2" xr3:uid="{E26D2484-EE0A-4CB9-87F3-587D96E2B17C}" name="OrderDate" dataDxfId="13"/>
    <tableColumn id="3" xr3:uid="{A988256F-F64A-403A-A64B-913D69C34699}" name="Region"/>
    <tableColumn id="4" xr3:uid="{E093F5B8-C9EF-47F5-AE43-E0AF60AA5ECA}" name="City"/>
    <tableColumn id="5" xr3:uid="{02495F7D-1263-4BB6-9CA6-B1DF7952DD24}" name="CustomerName"/>
    <tableColumn id="6" xr3:uid="{E879A0D8-03C8-432C-A3FD-A388F0A51BF0}" name="Product"/>
    <tableColumn id="7" xr3:uid="{14645270-270D-4CDF-95F2-C5F9512ED403}" name="Category"/>
    <tableColumn id="8" xr3:uid="{F7CA70E2-61E1-44A6-81F1-AFF298ECCD36}" name="Units"/>
    <tableColumn id="9" xr3:uid="{24752453-FA4F-4E55-BD0A-04B7EB1791A3}" name="UnitPrice"/>
    <tableColumn id="10" xr3:uid="{80477157-9A59-4510-A34F-C6A476B26F0F}" name="DiscountPct"/>
    <tableColumn id="11" xr3:uid="{4388E6F0-33CE-44F3-995A-3619D4538D3D}" name="TaxRatePct"/>
    <tableColumn id="12" xr3:uid="{D21482BC-4AEB-4B0C-8448-B1F0237F7020}" name="Channel"/>
    <tableColumn id="13" xr3:uid="{B0FBF52D-D3A1-4BA2-AE1C-6C39479DACCC}" name="Status"/>
    <tableColumn id="16" xr3:uid="{9F5106A5-3E29-4783-9F2B-5438954D017D}" name="Total Revenue" dataDxfId="12">
      <calculatedColumnFormula>(Table1_1[[#This Row],[UnitPrice]]-(Table1_1[[#This Row],[UnitPrice]]*Table1_1[[#This Row],[DiscountPct]]))*Table1_1[[#This Row],[Units]]*(1+Table1_1[[#This Row],[TaxRatePct]]/100)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EAAA6BA-D73B-4E63-B6C2-7106A51010C1}" name="Table1" displayName="Table1_2" ref="A1:N26" totalsRowShown="0">
  <autoFilter ref="A1:N26" xr:uid="{FEAAA6BA-D73B-4E63-B6C2-7106A51010C1}"/>
  <tableColumns count="14">
    <tableColumn id="1" xr3:uid="{677F11BA-DC2D-4E43-B753-E02C6AE3565B}" name="OrderID"/>
    <tableColumn id="2" xr3:uid="{5EE23B4F-6589-4C72-A5C4-8010E357DB79}" name="OrderDate" dataDxfId="11"/>
    <tableColumn id="3" xr3:uid="{AB662B71-2076-4424-9312-F9B0133F8DB7}" name="Region"/>
    <tableColumn id="4" xr3:uid="{3CC5A921-5B6C-4193-8900-1CBF51C2756C}" name="City"/>
    <tableColumn id="5" xr3:uid="{4AFA537F-C105-496C-9B06-9452469640D9}" name="CustomerName"/>
    <tableColumn id="6" xr3:uid="{5440ACA9-3DA1-499C-86D0-31793EF803F6}" name="Product"/>
    <tableColumn id="7" xr3:uid="{C84D98BF-AD72-4031-A4AC-BEF535F80E61}" name="Category"/>
    <tableColumn id="8" xr3:uid="{AC2A3C47-BE7E-4E2A-9FF0-C2B9C6D6F91A}" name="Units"/>
    <tableColumn id="9" xr3:uid="{B4053527-E1A1-405F-B4CD-0D63121B60AC}" name="UnitPrice"/>
    <tableColumn id="10" xr3:uid="{6E702230-F769-4B03-9EED-25D5F7F32466}" name="DiscountPct"/>
    <tableColumn id="11" xr3:uid="{11F86C25-7EA1-41E1-94A3-BD81F0E65F4E}" name="TaxRatePct"/>
    <tableColumn id="12" xr3:uid="{135E0959-C609-4C2B-8449-917093FE5F4C}" name="Channel"/>
    <tableColumn id="13" xr3:uid="{D09D292D-2A0A-4F73-B0B5-4D5A476B7C1E}" name="Status"/>
    <tableColumn id="16" xr3:uid="{E78F5E64-C4E8-402A-A377-283B80B40989}" name="Total Revenue" dataDxfId="10">
      <calculatedColumnFormula>(Table1_2[[#This Row],[UnitPrice]]-(Table1_2[[#This Row],[UnitPrice]]*Table1_2[[#This Row],[DiscountPct]]))*Table1_2[[#This Row],[Units]]*(1+Table1_2[[#This Row],[TaxRatePct]]/100)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5625B9-2E49-4100-85D4-730FDA6EE180}" name="Table1" displayName="Table1_3" ref="A1:N26" totalsRowShown="0">
  <autoFilter ref="A1:N26" xr:uid="{4D5625B9-2E49-4100-85D4-730FDA6EE180}"/>
  <tableColumns count="14">
    <tableColumn id="1" xr3:uid="{FEBDD7CA-F020-4DA6-BBC0-BF54F15A87B6}" name="OrderID"/>
    <tableColumn id="2" xr3:uid="{CD936016-2CB2-46FF-B736-4B03D0BF055B}" name="OrderDate" dataDxfId="9"/>
    <tableColumn id="3" xr3:uid="{644E40E8-64D9-428B-BDA1-D69EB777BE33}" name="Region"/>
    <tableColumn id="4" xr3:uid="{9126A1BF-8DFA-466A-87BE-31299F592097}" name="City"/>
    <tableColumn id="5" xr3:uid="{C00E7D30-6830-48A4-9B14-EAB6291B5056}" name="CustomerName"/>
    <tableColumn id="6" xr3:uid="{153C6729-75F5-4FCD-B3A7-33A3F3BA9CA7}" name="Product"/>
    <tableColumn id="7" xr3:uid="{F61FB2C7-76B9-4FED-A256-B14564607970}" name="Category"/>
    <tableColumn id="8" xr3:uid="{289CF5EF-1C21-43B2-806A-25B0906DDCD7}" name="Units"/>
    <tableColumn id="9" xr3:uid="{E80FAD4A-D776-4344-BE64-26927996425B}" name="UnitPrice"/>
    <tableColumn id="10" xr3:uid="{710EB800-8D09-4CED-8451-87D4312C16EF}" name="DiscountPct"/>
    <tableColumn id="11" xr3:uid="{9AA24A58-9DE8-43D1-AC69-F45FA4510D85}" name="TaxRatePct"/>
    <tableColumn id="12" xr3:uid="{8103F954-9540-48D7-902E-8861ABBF7513}" name="Channel"/>
    <tableColumn id="13" xr3:uid="{D1AFD54A-7781-446E-A16A-1BD3FD62D8B5}" name="Status"/>
    <tableColumn id="16" xr3:uid="{1BF7A842-8C5C-47F8-88CC-75628E78BBA2}" name="Total Revenue" dataDxfId="8">
      <calculatedColumnFormula>(Table1_3[[#This Row],[UnitPrice]]-(Table1_3[[#This Row],[UnitPrice]]*Table1_3[[#This Row],[DiscountPct]]))*Table1_3[[#This Row],[Units]]*(1+Table1_3[[#This Row],[TaxRatePct]]/100)</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61B02B-7DF8-418E-86B1-842E65906D50}" name="West" displayName="West" ref="A1:N26" totalsRowShown="0">
  <autoFilter ref="A1:N26" xr:uid="{CD61B02B-7DF8-418E-86B1-842E65906D50}"/>
  <tableColumns count="14">
    <tableColumn id="1" xr3:uid="{4DE5B14F-E55D-4C96-A55D-79F2F2A643FE}" name="OrderID"/>
    <tableColumn id="2" xr3:uid="{0FFB8E16-166A-4E6D-A7AB-DD6A960C2C94}" name="OrderDate" dataDxfId="7"/>
    <tableColumn id="3" xr3:uid="{00110DFB-AC5C-4C06-9396-3A9A7A6796DA}" name="Region"/>
    <tableColumn id="4" xr3:uid="{4212B5E0-2BF0-4273-BA1E-F004365600CF}" name="City"/>
    <tableColumn id="5" xr3:uid="{9090BE95-6863-465B-B70C-F26D726BB811}" name="CustomerName"/>
    <tableColumn id="6" xr3:uid="{C4009574-D713-42F4-A3D7-49D119141604}" name="Product"/>
    <tableColumn id="7" xr3:uid="{052018CA-592B-4F29-A8CC-5D065FD4604C}" name="Category"/>
    <tableColumn id="8" xr3:uid="{7A731DD2-8E97-4EB9-BA1C-FEE32880DE6D}" name="Units"/>
    <tableColumn id="9" xr3:uid="{CB409CD3-FFB1-45EE-9756-87D6E9A2DC29}" name="UnitPrice"/>
    <tableColumn id="10" xr3:uid="{C2854FDC-54E4-4177-9E59-525376D08953}" name="DiscountPct"/>
    <tableColumn id="11" xr3:uid="{FE139918-D3E7-4185-8026-1699458A20E1}" name="TaxRatePct"/>
    <tableColumn id="12" xr3:uid="{DC652B84-4051-4A50-B5B0-F302E812CF21}" name="Channel"/>
    <tableColumn id="13" xr3:uid="{40BDB918-D03C-4891-8C10-EC555899C97D}" name="Status"/>
    <tableColumn id="16" xr3:uid="{ED276BAB-7EE3-4D32-A711-C4249822484A}" name="Total Revenue" dataDxfId="6">
      <calculatedColumnFormula>(West[[#This Row],[UnitPrice]]-(West[[#This Row],[UnitPrice]]*West[[#This Row],[DiscountPct]]))*West[[#This Row],[Units]]*(1+West[[#This Row],[TaxRatePct]]/100)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2D44BA6-0489-4D85-9F29-94C7255E22D0}" name="West_1" displayName="West_1" ref="A1:N26" totalsRowShown="0">
  <autoFilter ref="A1:N26" xr:uid="{A2D44BA6-0489-4D85-9F29-94C7255E22D0}"/>
  <tableColumns count="14">
    <tableColumn id="1" xr3:uid="{BD5D8A58-251F-47B3-8F64-E5C2FED81126}" name="OrderID"/>
    <tableColumn id="2" xr3:uid="{FA3D151E-2D1B-4B8C-A614-2ECC227AB96B}" name="OrderDate" dataDxfId="5"/>
    <tableColumn id="3" xr3:uid="{3F49ED90-55F3-46A6-9A27-8C1A82E0E502}" name="Region"/>
    <tableColumn id="4" xr3:uid="{CD2698BF-99E3-469A-8B66-6C6E86A761F2}" name="City"/>
    <tableColumn id="5" xr3:uid="{8E4ADCFF-948C-4FA6-B8C3-884DE1E9D48C}" name="CustomerName"/>
    <tableColumn id="6" xr3:uid="{AAD03A25-2564-4264-B3C5-A9536E2136AE}" name="Product"/>
    <tableColumn id="7" xr3:uid="{DD8D7633-2BA2-415C-88D2-9BEA0D99004B}" name="Category"/>
    <tableColumn id="8" xr3:uid="{1C5C31B7-F564-4430-B581-A7A44BECE835}" name="Units"/>
    <tableColumn id="9" xr3:uid="{178671B0-8268-4393-B866-8BA6B4CDE6E5}" name="UnitPrice"/>
    <tableColumn id="10" xr3:uid="{14B0B0C8-4659-434D-B45B-563FEFF13DFC}" name="DiscountPct"/>
    <tableColumn id="11" xr3:uid="{F699906A-D209-4EF6-AC12-553A10304272}" name="TaxRatePct"/>
    <tableColumn id="12" xr3:uid="{01A36D04-865F-459D-AD78-EF553FCF1826}" name="Channel"/>
    <tableColumn id="13" xr3:uid="{56EACB84-9A80-4883-BFD3-37F5A6C5EE79}" name="Status"/>
    <tableColumn id="16" xr3:uid="{C9621DAB-6444-4E7D-B6BA-0E1425CC3B10}" name="Total Revenue" dataDxfId="4">
      <calculatedColumnFormula>(West_1[[#This Row],[UnitPrice]]-(West_1[[#This Row],[UnitPrice]]*West_1[[#This Row],[DiscountPct]]))*West_1[[#This Row],[Units]]*(1+West_1[[#This Row],[TaxRatePct]]/100)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BA6DBD8-17E1-413E-8C9D-54678DF7D9E4}" name="NewTable" displayName="NewTable" ref="A1:N44" totalsRowShown="0">
  <autoFilter ref="A1:N44" xr:uid="{7BA6DBD8-17E1-413E-8C9D-54678DF7D9E4}"/>
  <tableColumns count="14">
    <tableColumn id="1" xr3:uid="{09FBF843-5B01-45F9-8410-F8C818678C09}" name="OrderID"/>
    <tableColumn id="2" xr3:uid="{6723C982-850F-40E9-B84F-78FA2D6F0FAA}" name="OrderDate" dataDxfId="3"/>
    <tableColumn id="3" xr3:uid="{5D0944A5-786C-4F72-A16D-CB0C4EC5D7D6}" name="Region"/>
    <tableColumn id="4" xr3:uid="{972615C4-75C0-46ED-A9A7-EC32908F538A}" name="City"/>
    <tableColumn id="5" xr3:uid="{47D68F54-300D-49CE-99A3-0D68C14F8F98}" name="CustomerName"/>
    <tableColumn id="6" xr3:uid="{6B163F62-ACC1-41F6-80A7-55EBF8D7F1BE}" name="Product"/>
    <tableColumn id="7" xr3:uid="{CDEE1E69-D912-4BE5-9148-5D011FA22ABF}" name="Category"/>
    <tableColumn id="8" xr3:uid="{AED4BDC6-9279-470A-A1DC-2165A27FBFF1}" name="Units"/>
    <tableColumn id="9" xr3:uid="{A0D5F09A-58A7-40D9-8D0B-13AA2627634F}" name="UnitPrice"/>
    <tableColumn id="10" xr3:uid="{67BE9E51-6540-46CB-B489-0EC9D9EE9304}" name="DiscountPct"/>
    <tableColumn id="11" xr3:uid="{D6FD3ECE-0AAA-4C5F-8FC0-2B801259AE0B}" name="TaxRatePct"/>
    <tableColumn id="12" xr3:uid="{7199A561-56D8-421B-99A5-65FE4058E276}" name="Channel"/>
    <tableColumn id="13" xr3:uid="{3AE4A407-7402-447A-AC0A-28C8ABD3BABC}" name="Status"/>
    <tableColumn id="16" xr3:uid="{476F4CCB-644C-4B60-B502-11EC80A8E473}" name="Total Revenue" dataDxfId="2">
      <calculatedColumnFormula>(NewTable[[#This Row],[UnitPrice]]-(NewTable[[#This Row],[UnitPrice]]*NewTable[[#This Row],[DiscountPct]]))*NewTable[[#This Row],[Units]]*(1+NewTable[[#This Row],[TaxRatePct]]/100)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7A097F7-199E-4455-A3F5-25513903B279}" name="NewTable" displayName="NewTable_1" ref="A1:N47" totalsRowShown="0">
  <autoFilter ref="A1:N47" xr:uid="{97A097F7-199E-4455-A3F5-25513903B279}"/>
  <tableColumns count="14">
    <tableColumn id="1" xr3:uid="{2240DF12-65DD-417A-BDFC-F6E9BCEFD2E8}" name="OrderID"/>
    <tableColumn id="2" xr3:uid="{8F72D410-1477-4082-AFE2-3D84F6EA06B5}" name="OrderDate" dataDxfId="1"/>
    <tableColumn id="3" xr3:uid="{0636FC6B-1F92-4611-BAC3-657B3804B679}" name="Region"/>
    <tableColumn id="4" xr3:uid="{5B988EB3-0997-44E1-ACAF-5BD873471993}" name="City"/>
    <tableColumn id="5" xr3:uid="{38528B48-E4AF-4A2A-8413-E8F369603111}" name="CustomerName"/>
    <tableColumn id="6" xr3:uid="{36782998-F0AE-402C-816A-F6B46A799292}" name="Product"/>
    <tableColumn id="7" xr3:uid="{9C2D5FFA-81A4-4849-A143-18FFCA81CEDE}" name="Category"/>
    <tableColumn id="8" xr3:uid="{AA27B333-982E-4986-BCCE-696859AE9D2E}" name="Units"/>
    <tableColumn id="9" xr3:uid="{C83988D4-C636-4049-8625-36452CCB7685}" name="UnitPrice"/>
    <tableColumn id="10" xr3:uid="{ACA3F08B-4408-424B-9193-70A6665A8D87}" name="DiscountPct"/>
    <tableColumn id="11" xr3:uid="{98286D99-4916-4113-AC9D-E8B64A8F51C1}" name="TaxRatePct"/>
    <tableColumn id="12" xr3:uid="{D080D1F2-859A-4871-80F5-604A70D8E2C3}" name="Channel"/>
    <tableColumn id="13" xr3:uid="{B04FE160-C2A9-4387-833C-567E6A223C16}" name="Status"/>
    <tableColumn id="16" xr3:uid="{EFA04086-C1A0-4836-872F-8FB5F99595F4}" name="Total Revenue" dataDxfId="0">
      <calculatedColumnFormula>(NewTable_1[[#This Row],[UnitPrice]]-(NewTable_1[[#This Row],[UnitPrice]]*NewTable_1[[#This Row],[DiscountPct]]))*NewTable_1[[#This Row],[Units]]*(1+NewTable_1[[#This Row],[TaxRatePct]]/100)</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240CC92-3DD5-4779-9864-75677E850BC0}" name="Data_viz" displayName="Data_viz" ref="A1:N73" totalsRowShown="0">
  <autoFilter ref="A1:N73" xr:uid="{0240CC92-3DD5-4779-9864-75677E850BC0}"/>
  <tableColumns count="14">
    <tableColumn id="1" xr3:uid="{A77F3605-1E87-4E8B-9AE1-65D7D6522639}" name="Year"/>
    <tableColumn id="2" xr3:uid="{881D3BB5-D38C-4EA9-AA49-C94B90B10FC5}" name="Month"/>
    <tableColumn id="3" xr3:uid="{4D9B947C-4397-4FC8-A437-EB13D42E8CF1}" name="Country"/>
    <tableColumn id="4" xr3:uid="{EA16EA9A-17EB-491E-B2A1-8F31AEA1A5C7}" name="Region"/>
    <tableColumn id="5" xr3:uid="{3D2A7A1E-8ECF-4097-84BD-5D8D0B60FB11}" name="Category"/>
    <tableColumn id="6" xr3:uid="{D921FB66-4D0C-4768-9F0F-3A7FF1C2F7FF}" name="SubCategory"/>
    <tableColumn id="7" xr3:uid="{A606E90A-FB32-4A1D-8614-16436F017ED0}" name="Units Sold"/>
    <tableColumn id="8" xr3:uid="{9063D457-620D-40E1-8944-63FA04EECEA0}" name="Sales"/>
    <tableColumn id="9" xr3:uid="{16626DAC-976F-4540-AFF1-95E5987B4360}" name="Cost"/>
    <tableColumn id="10" xr3:uid="{9E257957-7A68-4691-AD11-D40D61EF9BC7}" name="Profit"/>
    <tableColumn id="11" xr3:uid="{92EF9FD5-BE11-452B-8F86-2B2176FEA64C}" name="Avg Rating"/>
    <tableColumn id="12" xr3:uid="{29AD0600-023E-4DBE-9F59-D8CEC752C83F}" name="Marketing Spend"/>
    <tableColumn id="13" xr3:uid="{35FA837C-E318-4B35-B2F4-630A52263B7C}" name="Website Visitors"/>
    <tableColumn id="14" xr3:uid="{D37404EB-F29B-4495-8954-657D528A7ADB}" name="Conversion Rate"/>
  </tableColumns>
  <tableStyleInfo name="TableStyleMedium2" showFirstColumn="0" showLastColumn="0" showRowStripes="1" showColumnStripes="0"/>
</table>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2.xml"/><Relationship Id="rId4" Type="http://schemas.openxmlformats.org/officeDocument/2006/relationships/pivotTable" Target="../pivotTables/pivotTable4.xml"/></Relationships>
</file>

<file path=xl/worksheets/_rels/sheet1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8219-3AC6-41A1-88D5-B3FD177DD024}">
  <sheetPr codeName="Sheet1"/>
  <dimension ref="A1"/>
  <sheetViews>
    <sheetView topLeftCell="A88" workbookViewId="0">
      <selection activeCell="Q53" sqref="Q53:T53"/>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06A09-18D7-42FB-9010-135458976A63}">
  <sheetPr codeName="Sheet2"/>
  <dimension ref="A1:K19"/>
  <sheetViews>
    <sheetView workbookViewId="0"/>
  </sheetViews>
  <sheetFormatPr defaultRowHeight="14.4" x14ac:dyDescent="0.3"/>
  <cols>
    <col min="1" max="1" width="14" style="2" customWidth="1"/>
    <col min="3" max="3" width="21.5546875" customWidth="1"/>
    <col min="4" max="4" width="12.44140625" customWidth="1"/>
  </cols>
  <sheetData>
    <row r="1" spans="1:11" x14ac:dyDescent="0.3">
      <c r="A1" s="11" t="s">
        <v>0</v>
      </c>
      <c r="B1" s="12" t="s">
        <v>1</v>
      </c>
      <c r="C1" s="12" t="s">
        <v>2</v>
      </c>
      <c r="D1" s="12" t="s">
        <v>3</v>
      </c>
    </row>
    <row r="2" spans="1:11" x14ac:dyDescent="0.3">
      <c r="A2" s="11">
        <v>37165</v>
      </c>
      <c r="B2" s="12" t="s">
        <v>4</v>
      </c>
      <c r="C2" s="12" t="s">
        <v>5</v>
      </c>
      <c r="D2" s="12">
        <v>1200</v>
      </c>
      <c r="K2" s="15" t="s">
        <v>105</v>
      </c>
    </row>
    <row r="3" spans="1:11" x14ac:dyDescent="0.3">
      <c r="A3" s="11">
        <v>37165</v>
      </c>
      <c r="B3" s="12" t="s">
        <v>6</v>
      </c>
      <c r="C3" s="12" t="s">
        <v>7</v>
      </c>
      <c r="D3" s="12">
        <v>75</v>
      </c>
      <c r="G3" s="15" t="s">
        <v>105</v>
      </c>
    </row>
    <row r="4" spans="1:11" x14ac:dyDescent="0.3">
      <c r="A4" s="11">
        <v>37165</v>
      </c>
      <c r="B4" s="12" t="s">
        <v>8</v>
      </c>
      <c r="C4" s="12" t="s">
        <v>9</v>
      </c>
      <c r="D4" s="12">
        <v>145</v>
      </c>
      <c r="I4" s="15" t="s">
        <v>105</v>
      </c>
    </row>
    <row r="5" spans="1:11" x14ac:dyDescent="0.3">
      <c r="A5" s="2">
        <v>37530</v>
      </c>
      <c r="B5" t="s">
        <v>10</v>
      </c>
      <c r="C5" t="s">
        <v>11</v>
      </c>
      <c r="D5">
        <v>65</v>
      </c>
    </row>
    <row r="6" spans="1:11" x14ac:dyDescent="0.3">
      <c r="A6" s="2">
        <v>37895</v>
      </c>
      <c r="B6" t="s">
        <v>8</v>
      </c>
      <c r="C6" t="s">
        <v>12</v>
      </c>
      <c r="D6">
        <v>18</v>
      </c>
    </row>
    <row r="7" spans="1:11" x14ac:dyDescent="0.3">
      <c r="A7" s="11">
        <v>38261</v>
      </c>
      <c r="B7" s="12" t="s">
        <v>13</v>
      </c>
      <c r="C7" s="12" t="s">
        <v>14</v>
      </c>
      <c r="D7" s="12">
        <v>40</v>
      </c>
    </row>
    <row r="8" spans="1:11" x14ac:dyDescent="0.3">
      <c r="A8" s="11">
        <v>38626</v>
      </c>
      <c r="B8" s="12" t="s">
        <v>8</v>
      </c>
      <c r="C8" s="12" t="s">
        <v>15</v>
      </c>
      <c r="D8" s="12">
        <v>6</v>
      </c>
    </row>
    <row r="9" spans="1:11" x14ac:dyDescent="0.3">
      <c r="A9" s="11">
        <v>38626</v>
      </c>
      <c r="B9" s="12" t="s">
        <v>6</v>
      </c>
      <c r="C9" s="12" t="s">
        <v>16</v>
      </c>
      <c r="D9" s="12">
        <v>60</v>
      </c>
    </row>
    <row r="10" spans="1:11" x14ac:dyDescent="0.3">
      <c r="A10" s="11">
        <v>38991</v>
      </c>
      <c r="B10" s="12" t="s">
        <v>8</v>
      </c>
      <c r="C10" s="12" t="s">
        <v>17</v>
      </c>
      <c r="D10" s="12">
        <v>55</v>
      </c>
    </row>
    <row r="11" spans="1:11" x14ac:dyDescent="0.3">
      <c r="A11" s="2">
        <v>39356</v>
      </c>
      <c r="B11" t="s">
        <v>10</v>
      </c>
      <c r="C11" t="s">
        <v>18</v>
      </c>
      <c r="D11">
        <v>50</v>
      </c>
    </row>
    <row r="12" spans="1:11" x14ac:dyDescent="0.3">
      <c r="A12" s="13">
        <v>39722</v>
      </c>
      <c r="B12" s="14" t="s">
        <v>8</v>
      </c>
      <c r="C12" s="14" t="s">
        <v>19</v>
      </c>
      <c r="D12" s="14">
        <v>120</v>
      </c>
    </row>
    <row r="13" spans="1:11" x14ac:dyDescent="0.3">
      <c r="A13" s="13">
        <v>40087</v>
      </c>
      <c r="B13" s="14" t="s">
        <v>8</v>
      </c>
      <c r="C13" s="14" t="s">
        <v>12</v>
      </c>
      <c r="D13" s="14">
        <v>18</v>
      </c>
    </row>
    <row r="14" spans="1:11" x14ac:dyDescent="0.3">
      <c r="A14" s="13">
        <v>40452</v>
      </c>
      <c r="B14" s="14" t="s">
        <v>6</v>
      </c>
      <c r="C14" s="14" t="s">
        <v>20</v>
      </c>
      <c r="D14" s="14">
        <v>30</v>
      </c>
    </row>
    <row r="15" spans="1:11" x14ac:dyDescent="0.3">
      <c r="A15" s="13">
        <v>40817</v>
      </c>
      <c r="B15" s="14" t="s">
        <v>13</v>
      </c>
      <c r="C15" s="14" t="s">
        <v>21</v>
      </c>
      <c r="D15" s="14">
        <v>25</v>
      </c>
    </row>
    <row r="16" spans="1:11" x14ac:dyDescent="0.3">
      <c r="A16" s="8">
        <v>41183</v>
      </c>
      <c r="B16" s="9" t="s">
        <v>8</v>
      </c>
      <c r="C16" s="9" t="s">
        <v>15</v>
      </c>
      <c r="D16" s="9">
        <v>6</v>
      </c>
    </row>
    <row r="17" spans="1:4" x14ac:dyDescent="0.3">
      <c r="A17" s="5">
        <v>41548</v>
      </c>
      <c r="B17" s="6" t="s">
        <v>8</v>
      </c>
      <c r="C17" s="6" t="s">
        <v>12</v>
      </c>
      <c r="D17" s="6">
        <v>18</v>
      </c>
    </row>
    <row r="18" spans="1:4" x14ac:dyDescent="0.3">
      <c r="A18" s="8">
        <v>41913</v>
      </c>
      <c r="B18" s="9" t="s">
        <v>10</v>
      </c>
      <c r="C18" s="9" t="s">
        <v>22</v>
      </c>
      <c r="D18" s="9">
        <v>42</v>
      </c>
    </row>
    <row r="19" spans="1:4" x14ac:dyDescent="0.3">
      <c r="A19" s="5">
        <v>42278</v>
      </c>
      <c r="B19" s="6" t="s">
        <v>8</v>
      </c>
      <c r="C19" s="6" t="s">
        <v>23</v>
      </c>
      <c r="D19" s="6">
        <v>130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8E3D6-E402-409B-9222-D759892EE198}">
  <sheetPr codeName="Sheet7"/>
  <dimension ref="A1:D19"/>
  <sheetViews>
    <sheetView workbookViewId="0">
      <selection sqref="A1:D7"/>
    </sheetView>
  </sheetViews>
  <sheetFormatPr defaultRowHeight="14.4" x14ac:dyDescent="0.3"/>
  <cols>
    <col min="1" max="1" width="14" style="2" customWidth="1"/>
    <col min="3" max="3" width="21.5546875" customWidth="1"/>
    <col min="4" max="4" width="12.44140625" customWidth="1"/>
  </cols>
  <sheetData>
    <row r="1" spans="1:4" x14ac:dyDescent="0.3">
      <c r="A1" s="2" t="s">
        <v>0</v>
      </c>
      <c r="B1" t="s">
        <v>1</v>
      </c>
      <c r="C1" t="s">
        <v>2</v>
      </c>
      <c r="D1" t="s">
        <v>3</v>
      </c>
    </row>
    <row r="2" spans="1:4" x14ac:dyDescent="0.3">
      <c r="A2" s="2">
        <v>37165</v>
      </c>
      <c r="B2" t="s">
        <v>4</v>
      </c>
      <c r="C2" t="s">
        <v>5</v>
      </c>
      <c r="D2">
        <v>1200</v>
      </c>
    </row>
    <row r="3" spans="1:4" x14ac:dyDescent="0.3">
      <c r="A3" s="2">
        <v>37165</v>
      </c>
      <c r="B3" t="s">
        <v>6</v>
      </c>
      <c r="C3" t="s">
        <v>7</v>
      </c>
      <c r="D3">
        <v>75</v>
      </c>
    </row>
    <row r="4" spans="1:4" x14ac:dyDescent="0.3">
      <c r="A4" s="2">
        <v>37165</v>
      </c>
      <c r="B4" t="s">
        <v>8</v>
      </c>
      <c r="C4" t="s">
        <v>9</v>
      </c>
      <c r="D4">
        <v>145</v>
      </c>
    </row>
    <row r="5" spans="1:4" x14ac:dyDescent="0.3">
      <c r="A5" s="2">
        <v>37530</v>
      </c>
      <c r="B5" t="s">
        <v>10</v>
      </c>
      <c r="C5" t="s">
        <v>11</v>
      </c>
      <c r="D5">
        <v>65</v>
      </c>
    </row>
    <row r="6" spans="1:4" x14ac:dyDescent="0.3">
      <c r="A6" s="2">
        <v>37895</v>
      </c>
      <c r="B6" t="s">
        <v>8</v>
      </c>
      <c r="C6" t="s">
        <v>12</v>
      </c>
      <c r="D6">
        <v>18</v>
      </c>
    </row>
    <row r="7" spans="1:4" x14ac:dyDescent="0.3">
      <c r="A7" s="2">
        <v>38261</v>
      </c>
      <c r="B7" t="s">
        <v>13</v>
      </c>
      <c r="C7" t="s">
        <v>14</v>
      </c>
      <c r="D7">
        <v>40</v>
      </c>
    </row>
    <row r="8" spans="1:4" x14ac:dyDescent="0.3">
      <c r="A8" s="2">
        <v>38626</v>
      </c>
      <c r="B8" t="s">
        <v>8</v>
      </c>
      <c r="C8" t="s">
        <v>15</v>
      </c>
      <c r="D8">
        <v>6</v>
      </c>
    </row>
    <row r="9" spans="1:4" x14ac:dyDescent="0.3">
      <c r="A9" s="2">
        <v>38626</v>
      </c>
      <c r="B9" t="s">
        <v>6</v>
      </c>
      <c r="C9" t="s">
        <v>16</v>
      </c>
      <c r="D9">
        <v>60</v>
      </c>
    </row>
    <row r="10" spans="1:4" x14ac:dyDescent="0.3">
      <c r="A10" s="11">
        <v>38991</v>
      </c>
      <c r="B10" s="12" t="s">
        <v>8</v>
      </c>
      <c r="C10" s="12" t="s">
        <v>17</v>
      </c>
      <c r="D10" s="12">
        <v>55</v>
      </c>
    </row>
    <row r="11" spans="1:4" x14ac:dyDescent="0.3">
      <c r="A11" s="11">
        <v>39356</v>
      </c>
      <c r="B11" s="12" t="s">
        <v>10</v>
      </c>
      <c r="C11" s="12" t="s">
        <v>18</v>
      </c>
      <c r="D11" s="12">
        <v>50</v>
      </c>
    </row>
    <row r="12" spans="1:4" x14ac:dyDescent="0.3">
      <c r="A12" s="11">
        <v>39722</v>
      </c>
      <c r="B12" s="12" t="s">
        <v>8</v>
      </c>
      <c r="C12" s="12" t="s">
        <v>19</v>
      </c>
      <c r="D12" s="12">
        <v>120</v>
      </c>
    </row>
    <row r="13" spans="1:4" x14ac:dyDescent="0.3">
      <c r="A13" s="11">
        <v>40087</v>
      </c>
      <c r="B13" s="12" t="s">
        <v>8</v>
      </c>
      <c r="C13" s="12" t="s">
        <v>12</v>
      </c>
      <c r="D13" s="12">
        <v>18</v>
      </c>
    </row>
    <row r="14" spans="1:4" x14ac:dyDescent="0.3">
      <c r="A14" s="2">
        <v>40452</v>
      </c>
      <c r="B14" t="s">
        <v>6</v>
      </c>
      <c r="C14" t="s">
        <v>20</v>
      </c>
      <c r="D14">
        <v>30</v>
      </c>
    </row>
    <row r="15" spans="1:4" x14ac:dyDescent="0.3">
      <c r="A15" s="2">
        <v>40817</v>
      </c>
      <c r="B15" t="s">
        <v>13</v>
      </c>
      <c r="C15" t="s">
        <v>21</v>
      </c>
      <c r="D15">
        <v>25</v>
      </c>
    </row>
    <row r="16" spans="1:4" x14ac:dyDescent="0.3">
      <c r="A16" s="8">
        <v>41183</v>
      </c>
      <c r="B16" s="9" t="s">
        <v>8</v>
      </c>
      <c r="C16" s="9" t="s">
        <v>15</v>
      </c>
      <c r="D16" s="9">
        <v>6</v>
      </c>
    </row>
    <row r="17" spans="1:4" x14ac:dyDescent="0.3">
      <c r="A17" s="5">
        <v>41548</v>
      </c>
      <c r="B17" s="6" t="s">
        <v>8</v>
      </c>
      <c r="C17" s="6" t="s">
        <v>12</v>
      </c>
      <c r="D17" s="6">
        <v>18</v>
      </c>
    </row>
    <row r="18" spans="1:4" x14ac:dyDescent="0.3">
      <c r="A18" s="8">
        <v>41913</v>
      </c>
      <c r="B18" s="9" t="s">
        <v>10</v>
      </c>
      <c r="C18" s="9" t="s">
        <v>22</v>
      </c>
      <c r="D18" s="9">
        <v>42</v>
      </c>
    </row>
    <row r="19" spans="1:4" x14ac:dyDescent="0.3">
      <c r="A19" s="5">
        <v>42278</v>
      </c>
      <c r="B19" s="6" t="s">
        <v>8</v>
      </c>
      <c r="C19" s="6" t="s">
        <v>23</v>
      </c>
      <c r="D19" s="6">
        <v>130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601A2-A4B0-45CF-9D5E-0A17C28E6748}">
  <sheetPr codeName="Sheet8"/>
  <dimension ref="A1:D19"/>
  <sheetViews>
    <sheetView workbookViewId="0">
      <selection sqref="A1:D19"/>
    </sheetView>
  </sheetViews>
  <sheetFormatPr defaultRowHeight="14.4" x14ac:dyDescent="0.3"/>
  <cols>
    <col min="1" max="1" width="14" style="2" customWidth="1"/>
    <col min="3" max="3" width="21.5546875" customWidth="1"/>
    <col min="4" max="4" width="12.44140625" customWidth="1"/>
  </cols>
  <sheetData>
    <row r="1" spans="1:4" x14ac:dyDescent="0.3">
      <c r="A1" s="2" t="s">
        <v>0</v>
      </c>
      <c r="B1" t="s">
        <v>1</v>
      </c>
      <c r="C1" t="s">
        <v>2</v>
      </c>
      <c r="D1" t="s">
        <v>3</v>
      </c>
    </row>
    <row r="2" spans="1:4" x14ac:dyDescent="0.3">
      <c r="A2" s="2">
        <v>37165</v>
      </c>
      <c r="B2" t="s">
        <v>4</v>
      </c>
      <c r="C2" t="s">
        <v>5</v>
      </c>
      <c r="D2">
        <v>1200</v>
      </c>
    </row>
    <row r="3" spans="1:4" x14ac:dyDescent="0.3">
      <c r="A3" s="2">
        <v>37165</v>
      </c>
      <c r="B3" t="s">
        <v>6</v>
      </c>
      <c r="C3" t="s">
        <v>7</v>
      </c>
      <c r="D3">
        <v>75</v>
      </c>
    </row>
    <row r="4" spans="1:4" x14ac:dyDescent="0.3">
      <c r="A4" s="2">
        <v>37165</v>
      </c>
      <c r="B4" t="s">
        <v>8</v>
      </c>
      <c r="C4" t="s">
        <v>9</v>
      </c>
      <c r="D4">
        <v>145</v>
      </c>
    </row>
    <row r="5" spans="1:4" x14ac:dyDescent="0.3">
      <c r="A5" s="2">
        <v>37530</v>
      </c>
      <c r="B5" t="s">
        <v>10</v>
      </c>
      <c r="C5" t="s">
        <v>11</v>
      </c>
      <c r="D5">
        <v>65</v>
      </c>
    </row>
    <row r="6" spans="1:4" x14ac:dyDescent="0.3">
      <c r="A6" s="2">
        <v>37895</v>
      </c>
      <c r="B6" t="s">
        <v>8</v>
      </c>
      <c r="C6" t="s">
        <v>12</v>
      </c>
      <c r="D6">
        <v>18</v>
      </c>
    </row>
    <row r="7" spans="1:4" x14ac:dyDescent="0.3">
      <c r="A7" s="11">
        <v>38261</v>
      </c>
      <c r="B7" s="12" t="s">
        <v>13</v>
      </c>
      <c r="C7" s="12" t="s">
        <v>14</v>
      </c>
      <c r="D7" s="12">
        <v>40</v>
      </c>
    </row>
    <row r="8" spans="1:4" x14ac:dyDescent="0.3">
      <c r="A8" s="11">
        <v>38626</v>
      </c>
      <c r="B8" s="12" t="s">
        <v>8</v>
      </c>
      <c r="C8" s="12" t="s">
        <v>15</v>
      </c>
      <c r="D8" s="12">
        <v>6</v>
      </c>
    </row>
    <row r="9" spans="1:4" x14ac:dyDescent="0.3">
      <c r="A9" s="11">
        <v>38626</v>
      </c>
      <c r="B9" s="12" t="s">
        <v>6</v>
      </c>
      <c r="C9" s="12" t="s">
        <v>16</v>
      </c>
      <c r="D9" s="12">
        <v>60</v>
      </c>
    </row>
    <row r="10" spans="1:4" x14ac:dyDescent="0.3">
      <c r="A10" s="11">
        <v>38991</v>
      </c>
      <c r="B10" s="12" t="s">
        <v>8</v>
      </c>
      <c r="C10" s="12" t="s">
        <v>17</v>
      </c>
      <c r="D10" s="12">
        <v>55</v>
      </c>
    </row>
    <row r="11" spans="1:4" x14ac:dyDescent="0.3">
      <c r="A11" s="2">
        <v>39356</v>
      </c>
      <c r="B11" t="s">
        <v>10</v>
      </c>
      <c r="C11" t="s">
        <v>18</v>
      </c>
      <c r="D11">
        <v>50</v>
      </c>
    </row>
    <row r="12" spans="1:4" x14ac:dyDescent="0.3">
      <c r="A12" s="2">
        <v>39722</v>
      </c>
      <c r="B12" t="s">
        <v>8</v>
      </c>
      <c r="C12" t="s">
        <v>19</v>
      </c>
      <c r="D12">
        <v>120</v>
      </c>
    </row>
    <row r="13" spans="1:4" x14ac:dyDescent="0.3">
      <c r="A13" s="2">
        <v>40087</v>
      </c>
      <c r="B13" t="s">
        <v>8</v>
      </c>
      <c r="C13" t="s">
        <v>12</v>
      </c>
      <c r="D13">
        <v>18</v>
      </c>
    </row>
    <row r="14" spans="1:4" x14ac:dyDescent="0.3">
      <c r="A14" s="2">
        <v>40452</v>
      </c>
      <c r="B14" t="s">
        <v>6</v>
      </c>
      <c r="C14" t="s">
        <v>20</v>
      </c>
      <c r="D14">
        <v>30</v>
      </c>
    </row>
    <row r="15" spans="1:4" x14ac:dyDescent="0.3">
      <c r="A15" s="11">
        <v>40817</v>
      </c>
      <c r="B15" s="12" t="s">
        <v>13</v>
      </c>
      <c r="C15" s="12" t="s">
        <v>21</v>
      </c>
      <c r="D15" s="12">
        <v>25</v>
      </c>
    </row>
    <row r="16" spans="1:4" x14ac:dyDescent="0.3">
      <c r="A16" s="11">
        <v>41183</v>
      </c>
      <c r="B16" s="12" t="s">
        <v>8</v>
      </c>
      <c r="C16" s="12" t="s">
        <v>15</v>
      </c>
      <c r="D16" s="12">
        <v>6</v>
      </c>
    </row>
    <row r="17" spans="1:4" x14ac:dyDescent="0.3">
      <c r="A17" s="11">
        <v>41548</v>
      </c>
      <c r="B17" s="12" t="s">
        <v>8</v>
      </c>
      <c r="C17" s="12" t="s">
        <v>12</v>
      </c>
      <c r="D17" s="12">
        <v>18</v>
      </c>
    </row>
    <row r="18" spans="1:4" x14ac:dyDescent="0.3">
      <c r="A18" s="11">
        <v>41913</v>
      </c>
      <c r="B18" s="12" t="s">
        <v>10</v>
      </c>
      <c r="C18" s="12" t="s">
        <v>22</v>
      </c>
      <c r="D18" s="12">
        <v>42</v>
      </c>
    </row>
    <row r="19" spans="1:4" x14ac:dyDescent="0.3">
      <c r="A19" s="2">
        <v>42278</v>
      </c>
      <c r="B19" t="s">
        <v>8</v>
      </c>
      <c r="C19" t="s">
        <v>23</v>
      </c>
      <c r="D19">
        <v>130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D191A-8D13-4DA9-8E3E-918E976AF136}">
  <sheetPr codeName="Sheet9"/>
  <dimension ref="A1:O51"/>
  <sheetViews>
    <sheetView topLeftCell="A9" workbookViewId="0">
      <selection activeCell="D24" sqref="D24"/>
    </sheetView>
  </sheetViews>
  <sheetFormatPr defaultRowHeight="14.4" x14ac:dyDescent="0.3"/>
  <cols>
    <col min="1" max="1" width="13.77734375" customWidth="1"/>
    <col min="2" max="2" width="11.6640625" customWidth="1"/>
    <col min="4" max="4" width="16.6640625" customWidth="1"/>
    <col min="8" max="8" width="13.77734375" customWidth="1"/>
    <col min="10" max="10" width="13.77734375" customWidth="1"/>
    <col min="11" max="11" width="8.88671875" customWidth="1"/>
    <col min="12" max="12" width="13.5546875" customWidth="1"/>
    <col min="13" max="13" width="13.77734375" customWidth="1"/>
    <col min="14" max="14" width="13.109375" customWidth="1"/>
    <col min="15" max="15" width="12.6640625" customWidth="1"/>
  </cols>
  <sheetData>
    <row r="1" spans="1:15" x14ac:dyDescent="0.3">
      <c r="A1" s="16" t="s">
        <v>0</v>
      </c>
      <c r="B1" s="12" t="s">
        <v>1</v>
      </c>
    </row>
    <row r="2" spans="1:15" x14ac:dyDescent="0.3">
      <c r="A2" s="4">
        <v>37165</v>
      </c>
      <c r="B2" s="17" t="s">
        <v>4</v>
      </c>
    </row>
    <row r="3" spans="1:15" x14ac:dyDescent="0.3">
      <c r="A3" s="4">
        <v>37165</v>
      </c>
      <c r="B3" s="17" t="s">
        <v>6</v>
      </c>
      <c r="H3" s="18" t="s">
        <v>0</v>
      </c>
      <c r="I3" s="12" t="s">
        <v>1</v>
      </c>
      <c r="M3" s="18" t="s">
        <v>0</v>
      </c>
      <c r="N3" s="12" t="s">
        <v>1</v>
      </c>
      <c r="O3" t="s">
        <v>2</v>
      </c>
    </row>
    <row r="4" spans="1:15" x14ac:dyDescent="0.3">
      <c r="A4" s="4">
        <v>37165</v>
      </c>
      <c r="B4" s="17" t="s">
        <v>8</v>
      </c>
      <c r="H4" s="7">
        <v>37165</v>
      </c>
      <c r="I4" s="17" t="s">
        <v>4</v>
      </c>
      <c r="M4" s="7">
        <v>37165</v>
      </c>
      <c r="N4" s="17" t="s">
        <v>4</v>
      </c>
      <c r="O4" t="s">
        <v>5</v>
      </c>
    </row>
    <row r="5" spans="1:15" x14ac:dyDescent="0.3">
      <c r="A5" s="4">
        <v>37530</v>
      </c>
      <c r="B5" s="17" t="s">
        <v>10</v>
      </c>
      <c r="H5" s="7">
        <v>37165</v>
      </c>
      <c r="I5" s="17" t="s">
        <v>6</v>
      </c>
      <c r="M5" s="7">
        <v>37165</v>
      </c>
      <c r="N5" s="17" t="s">
        <v>6</v>
      </c>
      <c r="O5" t="s">
        <v>7</v>
      </c>
    </row>
    <row r="6" spans="1:15" x14ac:dyDescent="0.3">
      <c r="H6" s="7">
        <v>37165</v>
      </c>
      <c r="I6" s="17" t="s">
        <v>8</v>
      </c>
      <c r="M6" s="7">
        <v>37165</v>
      </c>
      <c r="N6" s="17" t="s">
        <v>8</v>
      </c>
      <c r="O6" t="s">
        <v>9</v>
      </c>
    </row>
    <row r="7" spans="1:15" x14ac:dyDescent="0.3">
      <c r="H7" s="7">
        <v>37530</v>
      </c>
      <c r="I7" s="17" t="s">
        <v>10</v>
      </c>
      <c r="M7" s="7">
        <v>37530</v>
      </c>
      <c r="N7" s="17" t="s">
        <v>10</v>
      </c>
      <c r="O7" t="s">
        <v>11</v>
      </c>
    </row>
    <row r="8" spans="1:15" x14ac:dyDescent="0.3">
      <c r="M8" s="2">
        <v>37895</v>
      </c>
      <c r="N8" t="s">
        <v>8</v>
      </c>
      <c r="O8" t="s">
        <v>12</v>
      </c>
    </row>
    <row r="9" spans="1:15" x14ac:dyDescent="0.3">
      <c r="M9" s="2">
        <v>38261</v>
      </c>
      <c r="N9" t="s">
        <v>13</v>
      </c>
      <c r="O9" t="s">
        <v>14</v>
      </c>
    </row>
    <row r="13" spans="1:15" x14ac:dyDescent="0.3">
      <c r="B13" s="1" t="s">
        <v>0</v>
      </c>
      <c r="C13" s="10" t="s">
        <v>1</v>
      </c>
      <c r="D13" s="10" t="s">
        <v>2</v>
      </c>
      <c r="E13" s="10" t="s">
        <v>3</v>
      </c>
    </row>
    <row r="14" spans="1:15" x14ac:dyDescent="0.3">
      <c r="B14" s="1">
        <v>37165</v>
      </c>
      <c r="C14" s="17" t="s">
        <v>4</v>
      </c>
      <c r="D14" s="17" t="s">
        <v>5</v>
      </c>
      <c r="E14" s="17">
        <v>1200</v>
      </c>
    </row>
    <row r="15" spans="1:15" x14ac:dyDescent="0.3">
      <c r="B15" s="1">
        <v>37165</v>
      </c>
      <c r="C15" s="17" t="s">
        <v>6</v>
      </c>
      <c r="D15" s="17" t="s">
        <v>7</v>
      </c>
      <c r="E15" s="17">
        <v>75</v>
      </c>
      <c r="J15" s="1" t="s">
        <v>0</v>
      </c>
      <c r="K15" s="10" t="s">
        <v>1</v>
      </c>
      <c r="L15" s="10" t="s">
        <v>2</v>
      </c>
      <c r="M15" s="10" t="s">
        <v>3</v>
      </c>
      <c r="N15" s="10" t="s">
        <v>2</v>
      </c>
      <c r="O15" s="10" t="s">
        <v>3</v>
      </c>
    </row>
    <row r="16" spans="1:15" x14ac:dyDescent="0.3">
      <c r="B16" s="1">
        <v>37165</v>
      </c>
      <c r="C16" s="17" t="s">
        <v>8</v>
      </c>
      <c r="D16" s="17" t="s">
        <v>9</v>
      </c>
      <c r="E16" s="17">
        <v>145</v>
      </c>
      <c r="J16" s="1">
        <v>37165</v>
      </c>
      <c r="K16" s="17" t="s">
        <v>4</v>
      </c>
      <c r="L16" s="17" t="s">
        <v>5</v>
      </c>
      <c r="M16" s="17">
        <v>1200</v>
      </c>
      <c r="N16" s="17" t="s">
        <v>5</v>
      </c>
      <c r="O16" s="17">
        <v>1200</v>
      </c>
    </row>
    <row r="17" spans="2:15" x14ac:dyDescent="0.3">
      <c r="B17" s="1">
        <v>37530</v>
      </c>
      <c r="C17" s="17" t="s">
        <v>10</v>
      </c>
      <c r="D17" s="17" t="s">
        <v>11</v>
      </c>
      <c r="E17" s="17">
        <v>65</v>
      </c>
      <c r="J17" s="1">
        <v>37165</v>
      </c>
      <c r="K17" s="17" t="s">
        <v>6</v>
      </c>
      <c r="L17" s="17" t="s">
        <v>7</v>
      </c>
      <c r="M17" s="17">
        <v>75</v>
      </c>
      <c r="N17" s="17" t="s">
        <v>7</v>
      </c>
      <c r="O17" s="17">
        <v>75</v>
      </c>
    </row>
    <row r="18" spans="2:15" x14ac:dyDescent="0.3">
      <c r="B18" s="1">
        <v>37895</v>
      </c>
      <c r="C18" s="17" t="s">
        <v>8</v>
      </c>
      <c r="D18" s="17" t="s">
        <v>12</v>
      </c>
      <c r="E18" s="17">
        <v>18</v>
      </c>
      <c r="J18" s="1">
        <v>37165</v>
      </c>
      <c r="K18" s="17" t="s">
        <v>8</v>
      </c>
      <c r="L18" s="17" t="s">
        <v>9</v>
      </c>
      <c r="M18" s="17">
        <v>145</v>
      </c>
      <c r="N18" s="17" t="s">
        <v>9</v>
      </c>
      <c r="O18" s="17">
        <v>145</v>
      </c>
    </row>
    <row r="19" spans="2:15" x14ac:dyDescent="0.3">
      <c r="B19" s="1">
        <v>38261</v>
      </c>
      <c r="C19" s="17" t="s">
        <v>13</v>
      </c>
      <c r="D19" s="17" t="s">
        <v>14</v>
      </c>
      <c r="E19" s="17">
        <v>40</v>
      </c>
      <c r="J19" s="1">
        <v>37530</v>
      </c>
      <c r="K19" s="17" t="s">
        <v>10</v>
      </c>
      <c r="L19" s="17" t="s">
        <v>11</v>
      </c>
      <c r="M19" s="17">
        <v>65</v>
      </c>
      <c r="N19" s="17" t="s">
        <v>11</v>
      </c>
      <c r="O19" s="17">
        <v>65</v>
      </c>
    </row>
    <row r="20" spans="2:15" x14ac:dyDescent="0.3">
      <c r="J20" s="1">
        <v>37895</v>
      </c>
      <c r="K20" s="17" t="s">
        <v>8</v>
      </c>
      <c r="L20" s="17" t="s">
        <v>12</v>
      </c>
      <c r="M20" s="17">
        <v>18</v>
      </c>
      <c r="N20" s="17" t="s">
        <v>12</v>
      </c>
      <c r="O20" s="17">
        <v>18</v>
      </c>
    </row>
    <row r="21" spans="2:15" x14ac:dyDescent="0.3">
      <c r="J21" s="1">
        <v>38261</v>
      </c>
      <c r="K21" s="17" t="s">
        <v>13</v>
      </c>
      <c r="L21" s="17" t="s">
        <v>14</v>
      </c>
      <c r="M21" s="17">
        <v>40</v>
      </c>
      <c r="N21" s="17" t="s">
        <v>14</v>
      </c>
      <c r="O21" s="17">
        <v>40</v>
      </c>
    </row>
    <row r="22" spans="2:15" x14ac:dyDescent="0.3">
      <c r="J22" s="1">
        <v>38626</v>
      </c>
      <c r="K22" s="17" t="s">
        <v>8</v>
      </c>
      <c r="L22" s="17" t="s">
        <v>15</v>
      </c>
      <c r="M22" s="17">
        <v>6</v>
      </c>
      <c r="N22" s="17" t="s">
        <v>15</v>
      </c>
      <c r="O22" s="17">
        <v>6</v>
      </c>
    </row>
    <row r="23" spans="2:15" x14ac:dyDescent="0.3">
      <c r="J23" s="1">
        <v>38626</v>
      </c>
      <c r="K23" s="17" t="s">
        <v>6</v>
      </c>
      <c r="L23" s="17" t="s">
        <v>16</v>
      </c>
      <c r="M23" s="17">
        <v>60</v>
      </c>
      <c r="N23" s="17" t="s">
        <v>16</v>
      </c>
      <c r="O23" s="17">
        <v>60</v>
      </c>
    </row>
    <row r="24" spans="2:15" x14ac:dyDescent="0.3">
      <c r="D24" s="20" t="s">
        <v>105</v>
      </c>
      <c r="J24" s="1">
        <v>38991</v>
      </c>
      <c r="K24" s="17" t="s">
        <v>8</v>
      </c>
      <c r="L24" s="17" t="s">
        <v>17</v>
      </c>
      <c r="M24" s="17">
        <v>55</v>
      </c>
      <c r="N24" s="17" t="s">
        <v>17</v>
      </c>
      <c r="O24" s="17">
        <v>55</v>
      </c>
    </row>
    <row r="25" spans="2:15" x14ac:dyDescent="0.3">
      <c r="J25" s="1">
        <v>39356</v>
      </c>
      <c r="K25" s="17" t="s">
        <v>10</v>
      </c>
      <c r="L25" s="17" t="s">
        <v>18</v>
      </c>
      <c r="M25" s="17">
        <v>50</v>
      </c>
      <c r="N25" s="17" t="s">
        <v>18</v>
      </c>
      <c r="O25" s="17">
        <v>50</v>
      </c>
    </row>
    <row r="26" spans="2:15" x14ac:dyDescent="0.3">
      <c r="J26" s="1">
        <v>39722</v>
      </c>
      <c r="K26" s="17" t="s">
        <v>8</v>
      </c>
      <c r="L26" s="17" t="s">
        <v>19</v>
      </c>
      <c r="M26" s="17">
        <v>120</v>
      </c>
      <c r="N26" s="17" t="s">
        <v>19</v>
      </c>
      <c r="O26" s="17">
        <v>120</v>
      </c>
    </row>
    <row r="27" spans="2:15" x14ac:dyDescent="0.3">
      <c r="J27" s="1">
        <v>40087</v>
      </c>
      <c r="K27" s="17" t="s">
        <v>8</v>
      </c>
      <c r="L27" s="17" t="s">
        <v>12</v>
      </c>
      <c r="M27" s="17">
        <v>18</v>
      </c>
      <c r="N27" s="17" t="s">
        <v>12</v>
      </c>
      <c r="O27" s="17">
        <v>18</v>
      </c>
    </row>
    <row r="28" spans="2:15" x14ac:dyDescent="0.3">
      <c r="J28" s="1">
        <v>40452</v>
      </c>
      <c r="K28" s="17" t="s">
        <v>6</v>
      </c>
      <c r="L28" s="17" t="s">
        <v>20</v>
      </c>
      <c r="M28" s="17">
        <v>30</v>
      </c>
      <c r="N28" s="17" t="s">
        <v>20</v>
      </c>
      <c r="O28" s="17">
        <v>30</v>
      </c>
    </row>
    <row r="29" spans="2:15" x14ac:dyDescent="0.3">
      <c r="J29" s="1">
        <v>40817</v>
      </c>
      <c r="K29" s="17" t="s">
        <v>13</v>
      </c>
      <c r="L29" s="17" t="s">
        <v>21</v>
      </c>
      <c r="M29" s="17">
        <v>25</v>
      </c>
      <c r="N29" s="17" t="s">
        <v>21</v>
      </c>
      <c r="O29" s="17">
        <v>25</v>
      </c>
    </row>
    <row r="30" spans="2:15" x14ac:dyDescent="0.3">
      <c r="J30" s="1">
        <v>41183</v>
      </c>
      <c r="K30" s="17" t="s">
        <v>8</v>
      </c>
      <c r="L30" s="17" t="s">
        <v>15</v>
      </c>
      <c r="M30" s="17">
        <v>6</v>
      </c>
      <c r="N30" s="17" t="s">
        <v>15</v>
      </c>
      <c r="O30" s="17">
        <v>6</v>
      </c>
    </row>
    <row r="31" spans="2:15" x14ac:dyDescent="0.3">
      <c r="J31" s="1">
        <v>41548</v>
      </c>
      <c r="K31" s="17" t="s">
        <v>8</v>
      </c>
      <c r="L31" s="17" t="s">
        <v>12</v>
      </c>
      <c r="M31" s="17">
        <v>18</v>
      </c>
      <c r="N31" s="17" t="s">
        <v>12</v>
      </c>
      <c r="O31" s="17">
        <v>18</v>
      </c>
    </row>
    <row r="32" spans="2:15" x14ac:dyDescent="0.3">
      <c r="J32" s="1">
        <v>41913</v>
      </c>
      <c r="K32" s="17" t="s">
        <v>10</v>
      </c>
      <c r="L32" s="17" t="s">
        <v>22</v>
      </c>
      <c r="M32" s="17">
        <v>42</v>
      </c>
      <c r="N32" s="17" t="s">
        <v>22</v>
      </c>
      <c r="O32" s="17">
        <v>42</v>
      </c>
    </row>
    <row r="33" spans="10:15" x14ac:dyDescent="0.3">
      <c r="J33" s="1">
        <v>42278</v>
      </c>
      <c r="K33" s="17" t="s">
        <v>8</v>
      </c>
      <c r="L33" s="17" t="s">
        <v>23</v>
      </c>
      <c r="M33" s="17">
        <v>130</v>
      </c>
      <c r="N33" s="17" t="s">
        <v>23</v>
      </c>
      <c r="O33" s="17">
        <v>130</v>
      </c>
    </row>
    <row r="34" spans="10:15" x14ac:dyDescent="0.3">
      <c r="J34" s="1">
        <v>37165</v>
      </c>
      <c r="K34" s="17" t="s">
        <v>4</v>
      </c>
      <c r="L34" s="17" t="s">
        <v>5</v>
      </c>
      <c r="M34" s="17">
        <v>1200</v>
      </c>
      <c r="N34" s="17" t="s">
        <v>5</v>
      </c>
      <c r="O34" s="17">
        <v>1200</v>
      </c>
    </row>
    <row r="35" spans="10:15" x14ac:dyDescent="0.3">
      <c r="J35" s="1">
        <v>37165</v>
      </c>
      <c r="K35" s="17" t="s">
        <v>6</v>
      </c>
      <c r="L35" s="17" t="s">
        <v>7</v>
      </c>
      <c r="M35" s="17">
        <v>75</v>
      </c>
      <c r="N35" s="17" t="s">
        <v>7</v>
      </c>
      <c r="O35" s="17">
        <v>75</v>
      </c>
    </row>
    <row r="36" spans="10:15" x14ac:dyDescent="0.3">
      <c r="J36" s="1">
        <v>37165</v>
      </c>
      <c r="K36" s="17" t="s">
        <v>8</v>
      </c>
      <c r="L36" s="17" t="s">
        <v>9</v>
      </c>
      <c r="M36" s="17">
        <v>145</v>
      </c>
      <c r="N36" s="17" t="s">
        <v>9</v>
      </c>
      <c r="O36" s="17">
        <v>145</v>
      </c>
    </row>
    <row r="37" spans="10:15" x14ac:dyDescent="0.3">
      <c r="J37" s="1">
        <v>37530</v>
      </c>
      <c r="K37" s="17" t="s">
        <v>10</v>
      </c>
      <c r="L37" s="17" t="s">
        <v>11</v>
      </c>
      <c r="M37" s="17">
        <v>65</v>
      </c>
      <c r="N37" s="17" t="s">
        <v>11</v>
      </c>
      <c r="O37" s="17">
        <v>65</v>
      </c>
    </row>
    <row r="38" spans="10:15" x14ac:dyDescent="0.3">
      <c r="J38" s="1">
        <v>37895</v>
      </c>
      <c r="K38" s="17" t="s">
        <v>8</v>
      </c>
      <c r="L38" s="17" t="s">
        <v>12</v>
      </c>
      <c r="M38" s="17">
        <v>18</v>
      </c>
      <c r="N38" s="17" t="s">
        <v>12</v>
      </c>
      <c r="O38" s="17">
        <v>18</v>
      </c>
    </row>
    <row r="39" spans="10:15" x14ac:dyDescent="0.3">
      <c r="J39" s="1">
        <v>38261</v>
      </c>
      <c r="K39" s="17" t="s">
        <v>13</v>
      </c>
      <c r="L39" s="17" t="s">
        <v>14</v>
      </c>
      <c r="M39" s="17">
        <v>40</v>
      </c>
      <c r="N39" s="17" t="s">
        <v>14</v>
      </c>
      <c r="O39" s="17">
        <v>40</v>
      </c>
    </row>
    <row r="40" spans="10:15" x14ac:dyDescent="0.3">
      <c r="J40" s="1">
        <v>38626</v>
      </c>
      <c r="K40" s="17" t="s">
        <v>8</v>
      </c>
      <c r="L40" s="17" t="s">
        <v>15</v>
      </c>
      <c r="M40" s="17">
        <v>6</v>
      </c>
      <c r="N40" s="17" t="s">
        <v>15</v>
      </c>
      <c r="O40" s="17">
        <v>6</v>
      </c>
    </row>
    <row r="41" spans="10:15" x14ac:dyDescent="0.3">
      <c r="J41" s="1">
        <v>38626</v>
      </c>
      <c r="K41" s="17" t="s">
        <v>6</v>
      </c>
      <c r="L41" s="17" t="s">
        <v>16</v>
      </c>
      <c r="M41" s="17">
        <v>60</v>
      </c>
      <c r="N41" s="17" t="s">
        <v>16</v>
      </c>
      <c r="O41" s="17">
        <v>60</v>
      </c>
    </row>
    <row r="42" spans="10:15" x14ac:dyDescent="0.3">
      <c r="J42" s="1">
        <v>38991</v>
      </c>
      <c r="K42" s="17" t="s">
        <v>8</v>
      </c>
      <c r="L42" s="17" t="s">
        <v>17</v>
      </c>
      <c r="M42" s="17">
        <v>55</v>
      </c>
      <c r="N42" s="17" t="s">
        <v>17</v>
      </c>
      <c r="O42" s="17">
        <v>55</v>
      </c>
    </row>
    <row r="43" spans="10:15" x14ac:dyDescent="0.3">
      <c r="J43" s="1">
        <v>39356</v>
      </c>
      <c r="K43" s="17" t="s">
        <v>10</v>
      </c>
      <c r="L43" s="17" t="s">
        <v>18</v>
      </c>
      <c r="M43" s="17">
        <v>50</v>
      </c>
      <c r="N43" s="17" t="s">
        <v>18</v>
      </c>
      <c r="O43" s="17">
        <v>50</v>
      </c>
    </row>
    <row r="44" spans="10:15" x14ac:dyDescent="0.3">
      <c r="J44" s="1">
        <v>39722</v>
      </c>
      <c r="K44" s="17" t="s">
        <v>8</v>
      </c>
      <c r="L44" s="17" t="s">
        <v>19</v>
      </c>
      <c r="M44" s="17">
        <v>120</v>
      </c>
      <c r="N44" s="17" t="s">
        <v>19</v>
      </c>
      <c r="O44" s="17">
        <v>120</v>
      </c>
    </row>
    <row r="45" spans="10:15" x14ac:dyDescent="0.3">
      <c r="J45" s="1">
        <v>40087</v>
      </c>
      <c r="K45" s="17" t="s">
        <v>8</v>
      </c>
      <c r="L45" s="17" t="s">
        <v>12</v>
      </c>
      <c r="M45" s="17">
        <v>18</v>
      </c>
      <c r="N45" s="17" t="s">
        <v>12</v>
      </c>
      <c r="O45" s="17">
        <v>18</v>
      </c>
    </row>
    <row r="46" spans="10:15" x14ac:dyDescent="0.3">
      <c r="J46" s="1">
        <v>40452</v>
      </c>
      <c r="K46" s="17" t="s">
        <v>6</v>
      </c>
      <c r="L46" s="17" t="s">
        <v>20</v>
      </c>
      <c r="M46" s="17">
        <v>30</v>
      </c>
      <c r="N46" s="17" t="s">
        <v>20</v>
      </c>
      <c r="O46" s="17">
        <v>30</v>
      </c>
    </row>
    <row r="47" spans="10:15" x14ac:dyDescent="0.3">
      <c r="J47" s="1">
        <v>40817</v>
      </c>
      <c r="K47" s="17" t="s">
        <v>13</v>
      </c>
      <c r="L47" s="17" t="s">
        <v>21</v>
      </c>
      <c r="M47" s="17">
        <v>25</v>
      </c>
      <c r="N47" s="17" t="s">
        <v>21</v>
      </c>
      <c r="O47" s="17">
        <v>25</v>
      </c>
    </row>
    <row r="48" spans="10:15" x14ac:dyDescent="0.3">
      <c r="J48" s="1">
        <v>41183</v>
      </c>
      <c r="K48" s="17" t="s">
        <v>8</v>
      </c>
      <c r="L48" s="17" t="s">
        <v>15</v>
      </c>
      <c r="M48" s="17">
        <v>6</v>
      </c>
      <c r="N48" s="17" t="s">
        <v>15</v>
      </c>
      <c r="O48" s="17">
        <v>6</v>
      </c>
    </row>
    <row r="49" spans="10:15" x14ac:dyDescent="0.3">
      <c r="J49" s="1">
        <v>41548</v>
      </c>
      <c r="K49" s="17" t="s">
        <v>8</v>
      </c>
      <c r="L49" s="17" t="s">
        <v>12</v>
      </c>
      <c r="M49" s="17">
        <v>18</v>
      </c>
      <c r="N49" s="17" t="s">
        <v>12</v>
      </c>
      <c r="O49" s="17">
        <v>18</v>
      </c>
    </row>
    <row r="50" spans="10:15" x14ac:dyDescent="0.3">
      <c r="J50" s="1">
        <v>41913</v>
      </c>
      <c r="K50" s="17" t="s">
        <v>10</v>
      </c>
      <c r="L50" s="17" t="s">
        <v>22</v>
      </c>
      <c r="M50" s="17">
        <v>42</v>
      </c>
      <c r="N50" s="17" t="s">
        <v>22</v>
      </c>
      <c r="O50" s="17">
        <v>42</v>
      </c>
    </row>
    <row r="51" spans="10:15" x14ac:dyDescent="0.3">
      <c r="J51" s="1">
        <v>42278</v>
      </c>
      <c r="K51" s="17" t="s">
        <v>8</v>
      </c>
      <c r="L51" s="17" t="s">
        <v>23</v>
      </c>
      <c r="M51" s="17">
        <v>130</v>
      </c>
      <c r="N51" s="17" t="s">
        <v>23</v>
      </c>
      <c r="O51" s="17">
        <v>130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43DF4-29F5-40E0-ADEC-DE49A4734C86}">
  <sheetPr codeName="Sheet3"/>
  <dimension ref="A1:V26"/>
  <sheetViews>
    <sheetView workbookViewId="0">
      <selection activeCell="N2" sqref="N2"/>
    </sheetView>
  </sheetViews>
  <sheetFormatPr defaultRowHeight="14.4" x14ac:dyDescent="0.3"/>
  <cols>
    <col min="1" max="1" width="9.44140625" customWidth="1"/>
    <col min="2" max="2" width="14.6640625" style="2" customWidth="1"/>
    <col min="4" max="4" width="12.21875" customWidth="1"/>
    <col min="5" max="5" width="16.109375" customWidth="1"/>
    <col min="6" max="6" width="18.44140625" customWidth="1"/>
    <col min="7" max="7" width="16.44140625" customWidth="1"/>
    <col min="8" max="8" width="16.21875" customWidth="1"/>
    <col min="9" max="9" width="14.109375" customWidth="1"/>
    <col min="10" max="10" width="13.6640625" customWidth="1"/>
    <col min="11" max="11" width="16.44140625" customWidth="1"/>
    <col min="12" max="12" width="13.44140625" customWidth="1"/>
    <col min="13" max="13" width="15.886718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1001</v>
      </c>
      <c r="B2" s="2">
        <v>45660</v>
      </c>
      <c r="C2" t="s">
        <v>52</v>
      </c>
      <c r="D2" t="s">
        <v>36</v>
      </c>
      <c r="E2" t="s">
        <v>106</v>
      </c>
      <c r="F2" t="s">
        <v>126</v>
      </c>
      <c r="G2" t="s">
        <v>38</v>
      </c>
      <c r="H2">
        <v>2</v>
      </c>
      <c r="I2">
        <v>52000</v>
      </c>
      <c r="J2">
        <v>0.05</v>
      </c>
      <c r="K2">
        <v>18</v>
      </c>
      <c r="L2" t="s">
        <v>39</v>
      </c>
      <c r="M2" t="s">
        <v>40</v>
      </c>
      <c r="N2">
        <f>(Table1[[#This Row],[UnitPrice]]-(Table1[[#This Row],[UnitPrice]]*Table1[[#This Row],[DiscountPct]]))*Table1[[#This Row],[Units]]*(1+Table1[[#This Row],[TaxRatePct]]/100)</f>
        <v>116584</v>
      </c>
    </row>
    <row r="3" spans="1:22" x14ac:dyDescent="0.3">
      <c r="A3">
        <v>1002</v>
      </c>
      <c r="B3" s="2">
        <v>45660</v>
      </c>
      <c r="C3" t="s">
        <v>41</v>
      </c>
      <c r="D3" t="s">
        <v>42</v>
      </c>
      <c r="E3" t="s">
        <v>107</v>
      </c>
      <c r="F3" t="s">
        <v>43</v>
      </c>
      <c r="G3" t="s">
        <v>38</v>
      </c>
      <c r="H3">
        <v>5</v>
      </c>
      <c r="I3">
        <v>750</v>
      </c>
      <c r="J3">
        <v>0</v>
      </c>
      <c r="K3">
        <v>18</v>
      </c>
      <c r="L3" t="s">
        <v>39</v>
      </c>
      <c r="M3" t="s">
        <v>40</v>
      </c>
      <c r="N3">
        <f>(Table1[[#This Row],[UnitPrice]]-(Table1[[#This Row],[UnitPrice]]*Table1[[#This Row],[DiscountPct]]))*Table1[[#This Row],[Units]]*(1+Table1[[#This Row],[TaxRatePct]]/100)</f>
        <v>4425</v>
      </c>
    </row>
    <row r="4" spans="1:22" x14ac:dyDescent="0.3">
      <c r="A4">
        <v>1003</v>
      </c>
      <c r="B4" s="2">
        <v>45660</v>
      </c>
      <c r="C4" t="s">
        <v>58</v>
      </c>
      <c r="D4" t="s">
        <v>44</v>
      </c>
      <c r="E4" t="s">
        <v>108</v>
      </c>
      <c r="F4" t="s">
        <v>45</v>
      </c>
      <c r="G4" t="s">
        <v>46</v>
      </c>
      <c r="H4">
        <v>3</v>
      </c>
      <c r="I4">
        <v>8500</v>
      </c>
      <c r="J4">
        <v>0.1</v>
      </c>
      <c r="K4">
        <v>10</v>
      </c>
      <c r="L4" t="s">
        <v>47</v>
      </c>
      <c r="M4" t="s">
        <v>40</v>
      </c>
      <c r="N4">
        <f>(Table1[[#This Row],[UnitPrice]]-(Table1[[#This Row],[UnitPrice]]*Table1[[#This Row],[DiscountPct]]))*Table1[[#This Row],[Units]]*(1+Table1[[#This Row],[TaxRatePct]]/100)</f>
        <v>25245.000000000004</v>
      </c>
    </row>
    <row r="5" spans="1:22" x14ac:dyDescent="0.3">
      <c r="A5">
        <v>1004</v>
      </c>
      <c r="B5" s="2">
        <v>45661</v>
      </c>
      <c r="C5" t="s">
        <v>48</v>
      </c>
      <c r="D5" t="s">
        <v>49</v>
      </c>
      <c r="E5" t="s">
        <v>109</v>
      </c>
      <c r="F5" t="s">
        <v>50</v>
      </c>
      <c r="G5" t="s">
        <v>46</v>
      </c>
      <c r="H5">
        <v>4</v>
      </c>
      <c r="I5">
        <v>1600</v>
      </c>
      <c r="J5">
        <v>0.05</v>
      </c>
      <c r="K5">
        <v>18</v>
      </c>
      <c r="L5" t="s">
        <v>39</v>
      </c>
      <c r="M5" t="s">
        <v>51</v>
      </c>
      <c r="N5">
        <f>(Table1[[#This Row],[UnitPrice]]-(Table1[[#This Row],[UnitPrice]]*Table1[[#This Row],[DiscountPct]]))*Table1[[#This Row],[Units]]*(1+Table1[[#This Row],[TaxRatePct]]/100)</f>
        <v>7174.4</v>
      </c>
    </row>
    <row r="6" spans="1:22" x14ac:dyDescent="0.3">
      <c r="A6">
        <v>1005</v>
      </c>
      <c r="B6" s="2">
        <v>45662</v>
      </c>
      <c r="C6" t="s">
        <v>52</v>
      </c>
      <c r="D6" t="s">
        <v>36</v>
      </c>
      <c r="E6" t="s">
        <v>110</v>
      </c>
      <c r="F6" t="s">
        <v>127</v>
      </c>
      <c r="G6" t="s">
        <v>38</v>
      </c>
      <c r="H6">
        <v>1</v>
      </c>
      <c r="I6">
        <v>14500</v>
      </c>
      <c r="J6">
        <v>0.15</v>
      </c>
      <c r="K6">
        <v>18</v>
      </c>
      <c r="L6" t="s">
        <v>39</v>
      </c>
      <c r="M6" t="s">
        <v>40</v>
      </c>
      <c r="N6">
        <f>(Table1[[#This Row],[UnitPrice]]-(Table1[[#This Row],[UnitPrice]]*Table1[[#This Row],[DiscountPct]]))*Table1[[#This Row],[Units]]*(1+Table1[[#This Row],[TaxRatePct]]/100)</f>
        <v>14543.5</v>
      </c>
      <c r="U6" s="10" t="s">
        <v>26</v>
      </c>
      <c r="V6" s="10" t="s">
        <v>132</v>
      </c>
    </row>
    <row r="7" spans="1:22" x14ac:dyDescent="0.3">
      <c r="A7">
        <v>1006</v>
      </c>
      <c r="B7" s="2">
        <v>45663</v>
      </c>
      <c r="C7" t="s">
        <v>41</v>
      </c>
      <c r="D7" t="s">
        <v>54</v>
      </c>
      <c r="E7" t="s">
        <v>111</v>
      </c>
      <c r="F7" t="s">
        <v>55</v>
      </c>
      <c r="G7" t="s">
        <v>56</v>
      </c>
      <c r="H7">
        <v>20</v>
      </c>
      <c r="I7">
        <v>80</v>
      </c>
      <c r="J7">
        <v>0</v>
      </c>
      <c r="K7">
        <v>18</v>
      </c>
      <c r="L7" t="s">
        <v>57</v>
      </c>
      <c r="M7" t="s">
        <v>40</v>
      </c>
      <c r="N7">
        <f>(Table1[[#This Row],[UnitPrice]]-(Table1[[#This Row],[UnitPrice]]*Table1[[#This Row],[DiscountPct]]))*Table1[[#This Row],[Units]]*(1+Table1[[#This Row],[TaxRatePct]]/100)</f>
        <v>1888</v>
      </c>
      <c r="U7" t="str" cm="1">
        <f t="array" ref="U7:U10">_xlfn.UNIQUE(Table1[Region])</f>
        <v>North</v>
      </c>
      <c r="V7">
        <f>SUMIFS(Table1[Total Revenue],Table1[Status],"Completed",Table1[Region],U7)</f>
        <v>184807.69999999998</v>
      </c>
    </row>
    <row r="8" spans="1:22" x14ac:dyDescent="0.3">
      <c r="A8">
        <v>1007</v>
      </c>
      <c r="B8" s="2">
        <v>45664</v>
      </c>
      <c r="C8" t="s">
        <v>58</v>
      </c>
      <c r="D8" t="s">
        <v>44</v>
      </c>
      <c r="E8" t="s">
        <v>112</v>
      </c>
      <c r="F8" t="s">
        <v>59</v>
      </c>
      <c r="G8" t="s">
        <v>38</v>
      </c>
      <c r="H8">
        <v>2</v>
      </c>
      <c r="I8">
        <v>3500</v>
      </c>
      <c r="J8">
        <v>0.05</v>
      </c>
      <c r="K8">
        <v>10</v>
      </c>
      <c r="L8" t="s">
        <v>39</v>
      </c>
      <c r="M8" t="s">
        <v>40</v>
      </c>
      <c r="N8">
        <f>(Table1[[#This Row],[UnitPrice]]-(Table1[[#This Row],[UnitPrice]]*Table1[[#This Row],[DiscountPct]]))*Table1[[#This Row],[Units]]*(1+Table1[[#This Row],[TaxRatePct]]/100)</f>
        <v>7315.0000000000009</v>
      </c>
      <c r="U8" t="str">
        <v>South</v>
      </c>
      <c r="V8">
        <f>SUMIFS(Table1[Total Revenue],Table1[Status],"Completed",Table1[Region],U8)</f>
        <v>239129.36</v>
      </c>
    </row>
    <row r="9" spans="1:22" x14ac:dyDescent="0.3">
      <c r="A9">
        <v>1008</v>
      </c>
      <c r="B9" s="2">
        <v>45665</v>
      </c>
      <c r="C9" t="s">
        <v>48</v>
      </c>
      <c r="D9" t="s">
        <v>60</v>
      </c>
      <c r="E9" t="s">
        <v>113</v>
      </c>
      <c r="F9" t="s">
        <v>128</v>
      </c>
      <c r="G9" t="s">
        <v>38</v>
      </c>
      <c r="H9">
        <v>1</v>
      </c>
      <c r="I9">
        <v>62000</v>
      </c>
      <c r="J9">
        <v>0.08</v>
      </c>
      <c r="K9">
        <v>18</v>
      </c>
      <c r="L9" t="s">
        <v>39</v>
      </c>
      <c r="M9" t="s">
        <v>62</v>
      </c>
      <c r="N9">
        <f>(Table1[[#This Row],[UnitPrice]]-(Table1[[#This Row],[UnitPrice]]*Table1[[#This Row],[DiscountPct]]))*Table1[[#This Row],[Units]]*(1+Table1[[#This Row],[TaxRatePct]]/100)</f>
        <v>67307.199999999997</v>
      </c>
      <c r="R9" s="10" t="s">
        <v>131</v>
      </c>
      <c r="U9" t="str">
        <v>West</v>
      </c>
      <c r="V9">
        <f>SUMIFS(Table1[Total Revenue],Table1[Status],"Completed",Table1[Region],U9)</f>
        <v>74498</v>
      </c>
    </row>
    <row r="10" spans="1:22" x14ac:dyDescent="0.3">
      <c r="A10">
        <v>1009</v>
      </c>
      <c r="B10" s="2">
        <v>45666</v>
      </c>
      <c r="C10" t="s">
        <v>52</v>
      </c>
      <c r="D10" t="s">
        <v>63</v>
      </c>
      <c r="E10" t="s">
        <v>114</v>
      </c>
      <c r="F10" t="s">
        <v>64</v>
      </c>
      <c r="G10" t="s">
        <v>46</v>
      </c>
      <c r="H10">
        <v>1</v>
      </c>
      <c r="I10">
        <v>18500</v>
      </c>
      <c r="J10">
        <v>0.12</v>
      </c>
      <c r="K10">
        <v>18</v>
      </c>
      <c r="L10" t="s">
        <v>47</v>
      </c>
      <c r="M10" t="s">
        <v>40</v>
      </c>
      <c r="N10">
        <f>(Table1[[#This Row],[UnitPrice]]-(Table1[[#This Row],[UnitPrice]]*Table1[[#This Row],[DiscountPct]]))*Table1[[#This Row],[Units]]*(1+Table1[[#This Row],[TaxRatePct]]/100)</f>
        <v>19210.399999999998</v>
      </c>
      <c r="R10">
        <f>SUMIF(Table1[Status],"Completed",Table1[Total Revenue])</f>
        <v>694810.66</v>
      </c>
      <c r="U10" t="str">
        <v>East</v>
      </c>
      <c r="V10">
        <f>SUMIFS(Table1[Total Revenue],Table1[Status],"Completed",Table1[Region],U10)</f>
        <v>196375.59999999998</v>
      </c>
    </row>
    <row r="11" spans="1:22" x14ac:dyDescent="0.3">
      <c r="A11">
        <v>1010</v>
      </c>
      <c r="B11" s="2">
        <v>45667</v>
      </c>
      <c r="C11" t="s">
        <v>41</v>
      </c>
      <c r="D11" t="s">
        <v>42</v>
      </c>
      <c r="E11" t="s">
        <v>115</v>
      </c>
      <c r="F11" t="s">
        <v>129</v>
      </c>
      <c r="G11" t="s">
        <v>38</v>
      </c>
      <c r="H11">
        <v>2</v>
      </c>
      <c r="I11">
        <v>22000</v>
      </c>
      <c r="J11">
        <v>0.05</v>
      </c>
      <c r="K11">
        <v>18</v>
      </c>
      <c r="L11" t="s">
        <v>39</v>
      </c>
      <c r="M11" t="s">
        <v>40</v>
      </c>
      <c r="N11">
        <f>(Table1[[#This Row],[UnitPrice]]-(Table1[[#This Row],[UnitPrice]]*Table1[[#This Row],[DiscountPct]]))*Table1[[#This Row],[Units]]*(1+Table1[[#This Row],[TaxRatePct]]/100)</f>
        <v>49324</v>
      </c>
    </row>
    <row r="12" spans="1:22" x14ac:dyDescent="0.3">
      <c r="A12">
        <v>1011</v>
      </c>
      <c r="B12" s="2">
        <v>45668</v>
      </c>
      <c r="C12" t="s">
        <v>58</v>
      </c>
      <c r="D12" t="s">
        <v>66</v>
      </c>
      <c r="E12" t="s">
        <v>116</v>
      </c>
      <c r="F12" t="s">
        <v>67</v>
      </c>
      <c r="G12" t="s">
        <v>38</v>
      </c>
      <c r="H12">
        <v>1</v>
      </c>
      <c r="I12">
        <v>13500</v>
      </c>
      <c r="J12">
        <v>7.0000000000000007E-2</v>
      </c>
      <c r="K12">
        <v>10</v>
      </c>
      <c r="L12" t="s">
        <v>47</v>
      </c>
      <c r="M12" t="s">
        <v>40</v>
      </c>
      <c r="N12">
        <f>(Table1[[#This Row],[UnitPrice]]-(Table1[[#This Row],[UnitPrice]]*Table1[[#This Row],[DiscountPct]]))*Table1[[#This Row],[Units]]*(1+Table1[[#This Row],[TaxRatePct]]/100)</f>
        <v>13810.500000000002</v>
      </c>
    </row>
    <row r="13" spans="1:22" x14ac:dyDescent="0.3">
      <c r="A13">
        <v>1012</v>
      </c>
      <c r="B13" s="2">
        <v>45669</v>
      </c>
      <c r="C13" t="s">
        <v>48</v>
      </c>
      <c r="D13" t="s">
        <v>49</v>
      </c>
      <c r="E13" t="s">
        <v>117</v>
      </c>
      <c r="F13" t="s">
        <v>68</v>
      </c>
      <c r="G13" t="s">
        <v>46</v>
      </c>
      <c r="H13">
        <v>2</v>
      </c>
      <c r="I13">
        <v>9800</v>
      </c>
      <c r="J13">
        <v>0</v>
      </c>
      <c r="K13">
        <v>18</v>
      </c>
      <c r="L13" t="s">
        <v>57</v>
      </c>
      <c r="M13" t="s">
        <v>40</v>
      </c>
      <c r="N13">
        <f>(Table1[[#This Row],[UnitPrice]]-(Table1[[#This Row],[UnitPrice]]*Table1[[#This Row],[DiscountPct]]))*Table1[[#This Row],[Units]]*(1+Table1[[#This Row],[TaxRatePct]]/100)</f>
        <v>23128</v>
      </c>
    </row>
    <row r="14" spans="1:22" x14ac:dyDescent="0.3">
      <c r="A14">
        <v>1013</v>
      </c>
      <c r="B14" s="2">
        <v>45670</v>
      </c>
      <c r="C14" t="s">
        <v>52</v>
      </c>
      <c r="D14" t="s">
        <v>36</v>
      </c>
      <c r="E14" t="s">
        <v>106</v>
      </c>
      <c r="F14" t="s">
        <v>69</v>
      </c>
      <c r="G14" t="s">
        <v>70</v>
      </c>
      <c r="H14">
        <v>4</v>
      </c>
      <c r="I14">
        <v>1200</v>
      </c>
      <c r="J14">
        <v>0.05</v>
      </c>
      <c r="K14">
        <v>18</v>
      </c>
      <c r="L14" t="s">
        <v>39</v>
      </c>
      <c r="M14" t="s">
        <v>40</v>
      </c>
      <c r="N14">
        <f>(Table1[[#This Row],[UnitPrice]]-(Table1[[#This Row],[UnitPrice]]*Table1[[#This Row],[DiscountPct]]))*Table1[[#This Row],[Units]]*(1+Table1[[#This Row],[TaxRatePct]]/100)</f>
        <v>5380.7999999999993</v>
      </c>
    </row>
    <row r="15" spans="1:22" x14ac:dyDescent="0.3">
      <c r="A15">
        <v>1014</v>
      </c>
      <c r="B15" s="2">
        <v>45671</v>
      </c>
      <c r="C15" t="s">
        <v>41</v>
      </c>
      <c r="D15" t="s">
        <v>71</v>
      </c>
      <c r="E15" t="s">
        <v>118</v>
      </c>
      <c r="F15" t="s">
        <v>72</v>
      </c>
      <c r="G15" t="s">
        <v>38</v>
      </c>
      <c r="H15">
        <v>3</v>
      </c>
      <c r="I15">
        <v>2600</v>
      </c>
      <c r="J15">
        <v>0.03</v>
      </c>
      <c r="K15">
        <v>18</v>
      </c>
      <c r="L15" t="s">
        <v>39</v>
      </c>
      <c r="M15" t="s">
        <v>40</v>
      </c>
      <c r="N15">
        <f>(Table1[[#This Row],[UnitPrice]]-(Table1[[#This Row],[UnitPrice]]*Table1[[#This Row],[DiscountPct]]))*Table1[[#This Row],[Units]]*(1+Table1[[#This Row],[TaxRatePct]]/100)</f>
        <v>8927.8799999999992</v>
      </c>
    </row>
    <row r="16" spans="1:22" x14ac:dyDescent="0.3">
      <c r="A16">
        <v>1015</v>
      </c>
      <c r="B16" s="2">
        <v>45672</v>
      </c>
      <c r="C16" t="s">
        <v>58</v>
      </c>
      <c r="D16" t="s">
        <v>73</v>
      </c>
      <c r="E16" t="s">
        <v>119</v>
      </c>
      <c r="F16" t="s">
        <v>50</v>
      </c>
      <c r="G16" t="s">
        <v>46</v>
      </c>
      <c r="H16">
        <v>5</v>
      </c>
      <c r="I16">
        <v>1500</v>
      </c>
      <c r="J16">
        <v>0.05</v>
      </c>
      <c r="K16">
        <v>10</v>
      </c>
      <c r="L16" t="s">
        <v>47</v>
      </c>
      <c r="M16" t="s">
        <v>40</v>
      </c>
      <c r="N16">
        <f>(Table1[[#This Row],[UnitPrice]]-(Table1[[#This Row],[UnitPrice]]*Table1[[#This Row],[DiscountPct]]))*Table1[[#This Row],[Units]]*(1+Table1[[#This Row],[TaxRatePct]]/100)</f>
        <v>7837.5000000000009</v>
      </c>
    </row>
    <row r="17" spans="1:14" x14ac:dyDescent="0.3">
      <c r="A17">
        <v>1016</v>
      </c>
      <c r="B17" s="2">
        <v>45673</v>
      </c>
      <c r="C17" t="s">
        <v>48</v>
      </c>
      <c r="D17" t="s">
        <v>74</v>
      </c>
      <c r="E17" t="s">
        <v>120</v>
      </c>
      <c r="F17" t="s">
        <v>55</v>
      </c>
      <c r="G17" t="s">
        <v>56</v>
      </c>
      <c r="H17">
        <v>30</v>
      </c>
      <c r="I17">
        <v>75</v>
      </c>
      <c r="J17">
        <v>0</v>
      </c>
      <c r="K17">
        <v>18</v>
      </c>
      <c r="L17" t="s">
        <v>57</v>
      </c>
      <c r="M17" t="s">
        <v>40</v>
      </c>
      <c r="N17">
        <f>(Table1[[#This Row],[UnitPrice]]-(Table1[[#This Row],[UnitPrice]]*Table1[[#This Row],[DiscountPct]]))*Table1[[#This Row],[Units]]*(1+Table1[[#This Row],[TaxRatePct]]/100)</f>
        <v>2655</v>
      </c>
    </row>
    <row r="18" spans="1:14" x14ac:dyDescent="0.3">
      <c r="A18">
        <v>1017</v>
      </c>
      <c r="B18" s="2">
        <v>45674</v>
      </c>
      <c r="C18" t="s">
        <v>52</v>
      </c>
      <c r="D18" t="s">
        <v>76</v>
      </c>
      <c r="E18" t="s">
        <v>121</v>
      </c>
      <c r="F18" t="s">
        <v>127</v>
      </c>
      <c r="G18" t="s">
        <v>38</v>
      </c>
      <c r="H18">
        <v>1</v>
      </c>
      <c r="I18">
        <v>14800</v>
      </c>
      <c r="J18">
        <v>0.1</v>
      </c>
      <c r="K18">
        <v>18</v>
      </c>
      <c r="L18" t="s">
        <v>39</v>
      </c>
      <c r="M18" t="s">
        <v>62</v>
      </c>
      <c r="N18">
        <f>(Table1[[#This Row],[UnitPrice]]-(Table1[[#This Row],[UnitPrice]]*Table1[[#This Row],[DiscountPct]]))*Table1[[#This Row],[Units]]*(1+Table1[[#This Row],[TaxRatePct]]/100)</f>
        <v>15717.599999999999</v>
      </c>
    </row>
    <row r="19" spans="1:14" x14ac:dyDescent="0.3">
      <c r="A19">
        <v>1018</v>
      </c>
      <c r="B19" s="2">
        <v>45675</v>
      </c>
      <c r="C19" t="s">
        <v>41</v>
      </c>
      <c r="D19" t="s">
        <v>42</v>
      </c>
      <c r="E19" t="s">
        <v>122</v>
      </c>
      <c r="F19" t="s">
        <v>45</v>
      </c>
      <c r="G19" t="s">
        <v>46</v>
      </c>
      <c r="H19">
        <v>4</v>
      </c>
      <c r="I19">
        <v>8700</v>
      </c>
      <c r="J19">
        <v>0.08</v>
      </c>
      <c r="K19">
        <v>18</v>
      </c>
      <c r="L19" t="s">
        <v>47</v>
      </c>
      <c r="M19" t="s">
        <v>40</v>
      </c>
      <c r="N19">
        <f>(Table1[[#This Row],[UnitPrice]]-(Table1[[#This Row],[UnitPrice]]*Table1[[#This Row],[DiscountPct]]))*Table1[[#This Row],[Units]]*(1+Table1[[#This Row],[TaxRatePct]]/100)</f>
        <v>37778.879999999997</v>
      </c>
    </row>
    <row r="20" spans="1:14" x14ac:dyDescent="0.3">
      <c r="A20">
        <v>1019</v>
      </c>
      <c r="B20" s="2">
        <v>45676</v>
      </c>
      <c r="C20" t="s">
        <v>58</v>
      </c>
      <c r="D20" t="s">
        <v>44</v>
      </c>
      <c r="E20" t="s">
        <v>123</v>
      </c>
      <c r="F20" t="s">
        <v>43</v>
      </c>
      <c r="G20" t="s">
        <v>38</v>
      </c>
      <c r="H20">
        <v>10</v>
      </c>
      <c r="I20">
        <v>700</v>
      </c>
      <c r="J20">
        <v>0.02</v>
      </c>
      <c r="K20">
        <v>10</v>
      </c>
      <c r="L20" t="s">
        <v>39</v>
      </c>
      <c r="M20" t="s">
        <v>40</v>
      </c>
      <c r="N20">
        <f>(Table1[[#This Row],[UnitPrice]]-(Table1[[#This Row],[UnitPrice]]*Table1[[#This Row],[DiscountPct]]))*Table1[[#This Row],[Units]]*(1+Table1[[#This Row],[TaxRatePct]]/100)</f>
        <v>7546.0000000000009</v>
      </c>
    </row>
    <row r="21" spans="1:14" x14ac:dyDescent="0.3">
      <c r="A21">
        <v>1020</v>
      </c>
      <c r="B21" s="2">
        <v>45677</v>
      </c>
      <c r="C21" t="s">
        <v>48</v>
      </c>
      <c r="D21" t="s">
        <v>49</v>
      </c>
      <c r="E21" t="s">
        <v>124</v>
      </c>
      <c r="F21" t="s">
        <v>126</v>
      </c>
      <c r="G21" t="s">
        <v>38</v>
      </c>
      <c r="H21">
        <v>3</v>
      </c>
      <c r="I21">
        <v>51000</v>
      </c>
      <c r="J21">
        <v>0.06</v>
      </c>
      <c r="K21">
        <v>18</v>
      </c>
      <c r="L21" t="s">
        <v>39</v>
      </c>
      <c r="M21" t="s">
        <v>40</v>
      </c>
      <c r="N21">
        <f>(Table1[[#This Row],[UnitPrice]]-(Table1[[#This Row],[UnitPrice]]*Table1[[#This Row],[DiscountPct]]))*Table1[[#This Row],[Units]]*(1+Table1[[#This Row],[TaxRatePct]]/100)</f>
        <v>169707.59999999998</v>
      </c>
    </row>
    <row r="22" spans="1:14" x14ac:dyDescent="0.3">
      <c r="A22">
        <v>1021</v>
      </c>
      <c r="B22" s="2">
        <v>45678</v>
      </c>
      <c r="C22" t="s">
        <v>52</v>
      </c>
      <c r="D22" t="s">
        <v>36</v>
      </c>
      <c r="E22" t="s">
        <v>110</v>
      </c>
      <c r="F22" t="s">
        <v>64</v>
      </c>
      <c r="G22" t="s">
        <v>46</v>
      </c>
      <c r="H22">
        <v>1</v>
      </c>
      <c r="I22">
        <v>19000</v>
      </c>
      <c r="J22">
        <v>0.15</v>
      </c>
      <c r="K22">
        <v>18</v>
      </c>
      <c r="L22" t="s">
        <v>47</v>
      </c>
      <c r="M22" t="s">
        <v>40</v>
      </c>
      <c r="N22">
        <f>(Table1[[#This Row],[UnitPrice]]-(Table1[[#This Row],[UnitPrice]]*Table1[[#This Row],[DiscountPct]]))*Table1[[#This Row],[Units]]*(1+Table1[[#This Row],[TaxRatePct]]/100)</f>
        <v>19057</v>
      </c>
    </row>
    <row r="23" spans="1:14" x14ac:dyDescent="0.3">
      <c r="A23">
        <v>1022</v>
      </c>
      <c r="B23" s="2">
        <v>45679</v>
      </c>
      <c r="C23" t="s">
        <v>41</v>
      </c>
      <c r="D23" t="s">
        <v>54</v>
      </c>
      <c r="E23" t="s">
        <v>125</v>
      </c>
      <c r="F23" t="s">
        <v>128</v>
      </c>
      <c r="G23" t="s">
        <v>38</v>
      </c>
      <c r="H23">
        <v>2</v>
      </c>
      <c r="I23">
        <v>63000</v>
      </c>
      <c r="J23">
        <v>0.08</v>
      </c>
      <c r="K23">
        <v>18</v>
      </c>
      <c r="L23" t="s">
        <v>39</v>
      </c>
      <c r="M23" t="s">
        <v>40</v>
      </c>
      <c r="N23">
        <f>(Table1[[#This Row],[UnitPrice]]-(Table1[[#This Row],[UnitPrice]]*Table1[[#This Row],[DiscountPct]]))*Table1[[#This Row],[Units]]*(1+Table1[[#This Row],[TaxRatePct]]/100)</f>
        <v>136785.60000000001</v>
      </c>
    </row>
    <row r="24" spans="1:14" x14ac:dyDescent="0.3">
      <c r="A24">
        <v>1023</v>
      </c>
      <c r="B24" s="2">
        <v>45680</v>
      </c>
      <c r="C24" t="s">
        <v>58</v>
      </c>
      <c r="D24" t="s">
        <v>66</v>
      </c>
      <c r="E24" t="s">
        <v>116</v>
      </c>
      <c r="F24" t="s">
        <v>78</v>
      </c>
      <c r="G24" t="s">
        <v>38</v>
      </c>
      <c r="H24">
        <v>6</v>
      </c>
      <c r="I24">
        <v>1800</v>
      </c>
      <c r="J24">
        <v>0</v>
      </c>
      <c r="K24">
        <v>18</v>
      </c>
      <c r="L24" t="s">
        <v>39</v>
      </c>
      <c r="M24" t="s">
        <v>40</v>
      </c>
      <c r="N24">
        <f>(Table1[[#This Row],[UnitPrice]]-(Table1[[#This Row],[UnitPrice]]*Table1[[#This Row],[DiscountPct]]))*Table1[[#This Row],[Units]]*(1+Table1[[#This Row],[TaxRatePct]]/100)</f>
        <v>12744</v>
      </c>
    </row>
    <row r="25" spans="1:14" x14ac:dyDescent="0.3">
      <c r="A25">
        <v>1024</v>
      </c>
      <c r="B25" s="2">
        <v>45681</v>
      </c>
      <c r="C25" t="s">
        <v>48</v>
      </c>
      <c r="D25" t="s">
        <v>79</v>
      </c>
      <c r="E25" t="s">
        <v>117</v>
      </c>
      <c r="F25" t="s">
        <v>80</v>
      </c>
      <c r="G25" t="s">
        <v>56</v>
      </c>
      <c r="H25">
        <v>50</v>
      </c>
      <c r="I25">
        <v>15</v>
      </c>
      <c r="J25">
        <v>0</v>
      </c>
      <c r="K25">
        <v>18</v>
      </c>
      <c r="L25" t="s">
        <v>57</v>
      </c>
      <c r="M25" t="s">
        <v>40</v>
      </c>
      <c r="N25">
        <f>(Table1[[#This Row],[UnitPrice]]-(Table1[[#This Row],[UnitPrice]]*Table1[[#This Row],[DiscountPct]]))*Table1[[#This Row],[Units]]*(1+Table1[[#This Row],[TaxRatePct]]/100)</f>
        <v>885</v>
      </c>
    </row>
    <row r="26" spans="1:14" x14ac:dyDescent="0.3">
      <c r="A26">
        <v>1025</v>
      </c>
      <c r="B26" s="2">
        <v>45682</v>
      </c>
      <c r="C26" t="s">
        <v>52</v>
      </c>
      <c r="D26" t="s">
        <v>63</v>
      </c>
      <c r="E26" t="s">
        <v>114</v>
      </c>
      <c r="F26" t="s">
        <v>82</v>
      </c>
      <c r="G26" t="s">
        <v>38</v>
      </c>
      <c r="H26">
        <v>3</v>
      </c>
      <c r="I26">
        <v>3200</v>
      </c>
      <c r="J26">
        <v>0.05</v>
      </c>
      <c r="K26">
        <v>10</v>
      </c>
      <c r="L26" t="s">
        <v>39</v>
      </c>
      <c r="M26" t="s">
        <v>40</v>
      </c>
      <c r="N26">
        <f>(Table1[[#This Row],[UnitPrice]]-(Table1[[#This Row],[UnitPrice]]*Table1[[#This Row],[DiscountPct]]))*Table1[[#This Row],[Units]]*(1+Table1[[#This Row],[TaxRatePct]]/100)</f>
        <v>10032</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37DC6-CACE-4863-96C2-362398D3B166}">
  <sheetPr codeName="Sheet4"/>
  <dimension ref="A1:V26"/>
  <sheetViews>
    <sheetView workbookViewId="0">
      <selection activeCell="V7" sqref="V7"/>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2001</v>
      </c>
      <c r="B2" s="2">
        <v>45691</v>
      </c>
      <c r="C2" t="s">
        <v>52</v>
      </c>
      <c r="D2" t="s">
        <v>36</v>
      </c>
      <c r="E2" t="s">
        <v>133</v>
      </c>
      <c r="F2" t="s">
        <v>126</v>
      </c>
      <c r="G2" t="s">
        <v>38</v>
      </c>
      <c r="H2">
        <v>1</v>
      </c>
      <c r="I2">
        <v>54000</v>
      </c>
      <c r="J2">
        <v>0.04</v>
      </c>
      <c r="K2">
        <v>18</v>
      </c>
      <c r="L2" t="s">
        <v>39</v>
      </c>
      <c r="M2" t="s">
        <v>40</v>
      </c>
      <c r="N2">
        <f>(Table1_1[[#This Row],[UnitPrice]]-(Table1_1[[#This Row],[UnitPrice]]*Table1_1[[#This Row],[DiscountPct]]))*Table1_1[[#This Row],[Units]]*(1+Table1_1[[#This Row],[TaxRatePct]]/100)</f>
        <v>61171.199999999997</v>
      </c>
    </row>
    <row r="3" spans="1:22" x14ac:dyDescent="0.3">
      <c r="A3">
        <v>2002</v>
      </c>
      <c r="B3" s="2">
        <v>45691</v>
      </c>
      <c r="C3" t="s">
        <v>41</v>
      </c>
      <c r="D3" t="s">
        <v>42</v>
      </c>
      <c r="E3" t="s">
        <v>134</v>
      </c>
      <c r="F3" t="s">
        <v>43</v>
      </c>
      <c r="G3" t="s">
        <v>38</v>
      </c>
      <c r="H3">
        <v>10</v>
      </c>
      <c r="I3">
        <v>720</v>
      </c>
      <c r="J3">
        <v>0</v>
      </c>
      <c r="K3">
        <v>18</v>
      </c>
      <c r="L3" t="s">
        <v>39</v>
      </c>
      <c r="M3" t="s">
        <v>40</v>
      </c>
      <c r="N3">
        <f>(Table1_1[[#This Row],[UnitPrice]]-(Table1_1[[#This Row],[UnitPrice]]*Table1_1[[#This Row],[DiscountPct]]))*Table1_1[[#This Row],[Units]]*(1+Table1_1[[#This Row],[TaxRatePct]]/100)</f>
        <v>8496</v>
      </c>
    </row>
    <row r="4" spans="1:22" x14ac:dyDescent="0.3">
      <c r="A4">
        <v>2003</v>
      </c>
      <c r="B4" s="2">
        <v>45691</v>
      </c>
      <c r="C4" t="s">
        <v>58</v>
      </c>
      <c r="D4" t="s">
        <v>44</v>
      </c>
      <c r="E4" t="s">
        <v>135</v>
      </c>
      <c r="F4" t="s">
        <v>45</v>
      </c>
      <c r="G4" t="s">
        <v>46</v>
      </c>
      <c r="H4">
        <v>2</v>
      </c>
      <c r="I4">
        <v>9200</v>
      </c>
      <c r="J4">
        <v>0.05</v>
      </c>
      <c r="K4">
        <v>10</v>
      </c>
      <c r="L4" t="s">
        <v>47</v>
      </c>
      <c r="M4" t="s">
        <v>40</v>
      </c>
      <c r="N4">
        <f>(Table1_1[[#This Row],[UnitPrice]]-(Table1_1[[#This Row],[UnitPrice]]*Table1_1[[#This Row],[DiscountPct]]))*Table1_1[[#This Row],[Units]]*(1+Table1_1[[#This Row],[TaxRatePct]]/100)</f>
        <v>19228</v>
      </c>
    </row>
    <row r="5" spans="1:22" x14ac:dyDescent="0.3">
      <c r="A5">
        <v>2004</v>
      </c>
      <c r="B5" s="2">
        <v>45692</v>
      </c>
      <c r="C5" t="s">
        <v>48</v>
      </c>
      <c r="D5" t="s">
        <v>49</v>
      </c>
      <c r="E5" t="s">
        <v>136</v>
      </c>
      <c r="F5" t="s">
        <v>50</v>
      </c>
      <c r="G5" t="s">
        <v>46</v>
      </c>
      <c r="H5">
        <v>6</v>
      </c>
      <c r="I5">
        <v>1400</v>
      </c>
      <c r="J5">
        <v>0.08</v>
      </c>
      <c r="K5">
        <v>18</v>
      </c>
      <c r="L5" t="s">
        <v>39</v>
      </c>
      <c r="M5" t="s">
        <v>51</v>
      </c>
      <c r="N5">
        <f>(Table1_1[[#This Row],[UnitPrice]]-(Table1_1[[#This Row],[UnitPrice]]*Table1_1[[#This Row],[DiscountPct]]))*Table1_1[[#This Row],[Units]]*(1+Table1_1[[#This Row],[TaxRatePct]]/100)</f>
        <v>9119.0399999999991</v>
      </c>
    </row>
    <row r="6" spans="1:22" x14ac:dyDescent="0.3">
      <c r="A6">
        <v>2005</v>
      </c>
      <c r="B6" s="2">
        <v>45693</v>
      </c>
      <c r="C6" t="s">
        <v>52</v>
      </c>
      <c r="D6" t="s">
        <v>36</v>
      </c>
      <c r="E6" t="s">
        <v>137</v>
      </c>
      <c r="F6" t="s">
        <v>127</v>
      </c>
      <c r="G6" t="s">
        <v>38</v>
      </c>
      <c r="H6">
        <v>1</v>
      </c>
      <c r="I6">
        <v>15200</v>
      </c>
      <c r="J6">
        <v>0.12</v>
      </c>
      <c r="K6">
        <v>18</v>
      </c>
      <c r="L6" t="s">
        <v>39</v>
      </c>
      <c r="M6" t="s">
        <v>40</v>
      </c>
      <c r="N6">
        <f>(Table1_1[[#This Row],[UnitPrice]]-(Table1_1[[#This Row],[UnitPrice]]*Table1_1[[#This Row],[DiscountPct]]))*Table1_1[[#This Row],[Units]]*(1+Table1_1[[#This Row],[TaxRatePct]]/100)</f>
        <v>15783.679999999998</v>
      </c>
      <c r="U6" s="10" t="s">
        <v>26</v>
      </c>
      <c r="V6" s="10" t="s">
        <v>132</v>
      </c>
    </row>
    <row r="7" spans="1:22" x14ac:dyDescent="0.3">
      <c r="A7">
        <v>2006</v>
      </c>
      <c r="B7" s="2">
        <v>45694</v>
      </c>
      <c r="C7" t="s">
        <v>41</v>
      </c>
      <c r="D7" t="s">
        <v>54</v>
      </c>
      <c r="E7" t="s">
        <v>138</v>
      </c>
      <c r="F7" t="s">
        <v>55</v>
      </c>
      <c r="G7" t="s">
        <v>56</v>
      </c>
      <c r="H7">
        <v>40</v>
      </c>
      <c r="I7">
        <v>70</v>
      </c>
      <c r="J7">
        <v>0</v>
      </c>
      <c r="K7">
        <v>18</v>
      </c>
      <c r="L7" t="s">
        <v>57</v>
      </c>
      <c r="M7" t="s">
        <v>40</v>
      </c>
      <c r="N7">
        <f>(Table1_1[[#This Row],[UnitPrice]]-(Table1_1[[#This Row],[UnitPrice]]*Table1_1[[#This Row],[DiscountPct]]))*Table1_1[[#This Row],[Units]]*(1+Table1_1[[#This Row],[TaxRatePct]]/100)</f>
        <v>3304</v>
      </c>
      <c r="U7" t="str" cm="1">
        <f t="array" ref="U7:U10">_xlfn.UNIQUE(Table1[Region])</f>
        <v>North</v>
      </c>
      <c r="V7">
        <f>SUMIFS(Table1[Total Revenue],Table1[Status],"Completed",Table1[Region],U7)</f>
        <v>184807.69999999998</v>
      </c>
    </row>
    <row r="8" spans="1:22" x14ac:dyDescent="0.3">
      <c r="A8">
        <v>2007</v>
      </c>
      <c r="B8" s="2">
        <v>45695</v>
      </c>
      <c r="C8" t="s">
        <v>58</v>
      </c>
      <c r="D8" t="s">
        <v>44</v>
      </c>
      <c r="E8" t="s">
        <v>139</v>
      </c>
      <c r="F8" t="s">
        <v>59</v>
      </c>
      <c r="G8" t="s">
        <v>38</v>
      </c>
      <c r="H8">
        <v>30</v>
      </c>
      <c r="I8">
        <v>3300</v>
      </c>
      <c r="J8">
        <v>0.05</v>
      </c>
      <c r="K8">
        <v>10</v>
      </c>
      <c r="L8" t="s">
        <v>39</v>
      </c>
      <c r="M8" t="s">
        <v>40</v>
      </c>
      <c r="N8">
        <f>(Table1_1[[#This Row],[UnitPrice]]-(Table1_1[[#This Row],[UnitPrice]]*Table1_1[[#This Row],[DiscountPct]]))*Table1_1[[#This Row],[Units]]*(1+Table1_1[[#This Row],[TaxRatePct]]/100)</f>
        <v>103455.00000000001</v>
      </c>
      <c r="U8" t="str">
        <v>South</v>
      </c>
      <c r="V8">
        <f>SUMIFS(Table1[Total Revenue],Table1[Status],"Completed",Table1[Region],U8)</f>
        <v>239129.36</v>
      </c>
    </row>
    <row r="9" spans="1:22" x14ac:dyDescent="0.3">
      <c r="A9">
        <v>2008</v>
      </c>
      <c r="B9" s="2">
        <v>45696</v>
      </c>
      <c r="C9" t="s">
        <v>48</v>
      </c>
      <c r="D9" t="s">
        <v>74</v>
      </c>
      <c r="E9" t="s">
        <v>140</v>
      </c>
      <c r="F9" t="s">
        <v>128</v>
      </c>
      <c r="G9" t="s">
        <v>38</v>
      </c>
      <c r="H9">
        <v>2</v>
      </c>
      <c r="I9">
        <v>61000</v>
      </c>
      <c r="J9">
        <v>0.1</v>
      </c>
      <c r="K9">
        <v>18</v>
      </c>
      <c r="L9" t="s">
        <v>39</v>
      </c>
      <c r="M9" t="s">
        <v>62</v>
      </c>
      <c r="N9">
        <f>(Table1_1[[#This Row],[UnitPrice]]-(Table1_1[[#This Row],[UnitPrice]]*Table1_1[[#This Row],[DiscountPct]]))*Table1_1[[#This Row],[Units]]*(1+Table1_1[[#This Row],[TaxRatePct]]/100)</f>
        <v>129564</v>
      </c>
      <c r="R9" s="10" t="s">
        <v>131</v>
      </c>
      <c r="U9" t="str">
        <v>West</v>
      </c>
      <c r="V9">
        <f>SUMIFS(Table1[Total Revenue],Table1[Status],"Completed",Table1[Region],U9)</f>
        <v>74498</v>
      </c>
    </row>
    <row r="10" spans="1:22" x14ac:dyDescent="0.3">
      <c r="A10">
        <v>2009</v>
      </c>
      <c r="B10" s="2">
        <v>45697</v>
      </c>
      <c r="C10" t="s">
        <v>52</v>
      </c>
      <c r="D10" t="s">
        <v>63</v>
      </c>
      <c r="E10" t="s">
        <v>141</v>
      </c>
      <c r="F10" t="s">
        <v>64</v>
      </c>
      <c r="G10" t="s">
        <v>46</v>
      </c>
      <c r="H10">
        <v>1</v>
      </c>
      <c r="I10">
        <v>19500</v>
      </c>
      <c r="J10">
        <v>0.1</v>
      </c>
      <c r="K10">
        <v>18</v>
      </c>
      <c r="L10" t="s">
        <v>47</v>
      </c>
      <c r="M10" t="s">
        <v>40</v>
      </c>
      <c r="N10">
        <f>(Table1_1[[#This Row],[UnitPrice]]-(Table1_1[[#This Row],[UnitPrice]]*Table1_1[[#This Row],[DiscountPct]]))*Table1_1[[#This Row],[Units]]*(1+Table1_1[[#This Row],[TaxRatePct]]/100)</f>
        <v>20709</v>
      </c>
      <c r="R10">
        <f>SUMIF(Table1[Status],"Completed",Table1[Total Revenue])</f>
        <v>694810.66</v>
      </c>
      <c r="U10" t="str">
        <v>East</v>
      </c>
      <c r="V10">
        <f>SUMIFS(Table1[Total Revenue],Table1[Status],"Completed",Table1[Region],U10)</f>
        <v>196375.59999999998</v>
      </c>
    </row>
    <row r="11" spans="1:22" x14ac:dyDescent="0.3">
      <c r="A11">
        <v>2010</v>
      </c>
      <c r="B11" s="2">
        <v>45698</v>
      </c>
      <c r="C11" t="s">
        <v>41</v>
      </c>
      <c r="D11" t="s">
        <v>42</v>
      </c>
      <c r="E11" t="s">
        <v>142</v>
      </c>
      <c r="F11" t="s">
        <v>129</v>
      </c>
      <c r="G11" t="s">
        <v>38</v>
      </c>
      <c r="H11">
        <v>1</v>
      </c>
      <c r="I11">
        <v>23000</v>
      </c>
      <c r="J11">
        <v>0.05</v>
      </c>
      <c r="K11">
        <v>18</v>
      </c>
      <c r="L11" t="s">
        <v>39</v>
      </c>
      <c r="M11" t="s">
        <v>40</v>
      </c>
      <c r="N11">
        <f>(Table1_1[[#This Row],[UnitPrice]]-(Table1_1[[#This Row],[UnitPrice]]*Table1_1[[#This Row],[DiscountPct]]))*Table1_1[[#This Row],[Units]]*(1+Table1_1[[#This Row],[TaxRatePct]]/100)</f>
        <v>25783</v>
      </c>
    </row>
    <row r="12" spans="1:22" x14ac:dyDescent="0.3">
      <c r="A12">
        <v>2011</v>
      </c>
      <c r="B12" s="2">
        <v>45699</v>
      </c>
      <c r="C12" t="s">
        <v>58</v>
      </c>
      <c r="D12" t="s">
        <v>66</v>
      </c>
      <c r="E12" t="s">
        <v>143</v>
      </c>
      <c r="F12" t="s">
        <v>67</v>
      </c>
      <c r="G12" t="s">
        <v>38</v>
      </c>
      <c r="H12">
        <v>12</v>
      </c>
      <c r="I12">
        <v>12800</v>
      </c>
      <c r="J12">
        <v>0.06</v>
      </c>
      <c r="K12">
        <v>10</v>
      </c>
      <c r="L12" t="s">
        <v>47</v>
      </c>
      <c r="M12" t="s">
        <v>40</v>
      </c>
      <c r="N12">
        <f>(Table1_1[[#This Row],[UnitPrice]]-(Table1_1[[#This Row],[UnitPrice]]*Table1_1[[#This Row],[DiscountPct]]))*Table1_1[[#This Row],[Units]]*(1+Table1_1[[#This Row],[TaxRatePct]]/100)</f>
        <v>158822.40000000002</v>
      </c>
    </row>
    <row r="13" spans="1:22" x14ac:dyDescent="0.3">
      <c r="A13">
        <v>2012</v>
      </c>
      <c r="B13" s="2">
        <v>45700</v>
      </c>
      <c r="C13" t="s">
        <v>48</v>
      </c>
      <c r="D13" t="s">
        <v>79</v>
      </c>
      <c r="E13" t="s">
        <v>144</v>
      </c>
      <c r="F13" t="s">
        <v>68</v>
      </c>
      <c r="G13" t="s">
        <v>46</v>
      </c>
      <c r="H13">
        <v>1</v>
      </c>
      <c r="I13">
        <v>10200</v>
      </c>
      <c r="J13">
        <v>0</v>
      </c>
      <c r="K13">
        <v>18</v>
      </c>
      <c r="L13" t="s">
        <v>57</v>
      </c>
      <c r="M13" t="s">
        <v>40</v>
      </c>
      <c r="N13">
        <f>(Table1_1[[#This Row],[UnitPrice]]-(Table1_1[[#This Row],[UnitPrice]]*Table1_1[[#This Row],[DiscountPct]]))*Table1_1[[#This Row],[Units]]*(1+Table1_1[[#This Row],[TaxRatePct]]/100)</f>
        <v>12036</v>
      </c>
    </row>
    <row r="14" spans="1:22" x14ac:dyDescent="0.3">
      <c r="A14">
        <v>2013</v>
      </c>
      <c r="B14" s="2">
        <v>45701</v>
      </c>
      <c r="C14" t="s">
        <v>52</v>
      </c>
      <c r="D14" t="s">
        <v>36</v>
      </c>
      <c r="E14" t="s">
        <v>106</v>
      </c>
      <c r="F14" t="s">
        <v>69</v>
      </c>
      <c r="G14" t="s">
        <v>70</v>
      </c>
      <c r="H14">
        <v>5</v>
      </c>
      <c r="I14">
        <v>1100</v>
      </c>
      <c r="J14">
        <v>0.05</v>
      </c>
      <c r="K14">
        <v>18</v>
      </c>
      <c r="L14" t="s">
        <v>39</v>
      </c>
      <c r="M14" t="s">
        <v>40</v>
      </c>
      <c r="N14">
        <f>(Table1_1[[#This Row],[UnitPrice]]-(Table1_1[[#This Row],[UnitPrice]]*Table1_1[[#This Row],[DiscountPct]]))*Table1_1[[#This Row],[Units]]*(1+Table1_1[[#This Row],[TaxRatePct]]/100)</f>
        <v>6165.5</v>
      </c>
    </row>
    <row r="15" spans="1:22" x14ac:dyDescent="0.3">
      <c r="A15">
        <v>2014</v>
      </c>
      <c r="B15" s="2">
        <v>45702</v>
      </c>
      <c r="C15" t="s">
        <v>41</v>
      </c>
      <c r="D15" t="s">
        <v>71</v>
      </c>
      <c r="E15" t="s">
        <v>145</v>
      </c>
      <c r="F15" t="s">
        <v>72</v>
      </c>
      <c r="G15" t="s">
        <v>38</v>
      </c>
      <c r="H15">
        <v>14</v>
      </c>
      <c r="I15">
        <v>2500</v>
      </c>
      <c r="J15">
        <v>0.04</v>
      </c>
      <c r="K15">
        <v>18</v>
      </c>
      <c r="L15" t="s">
        <v>39</v>
      </c>
      <c r="M15" t="s">
        <v>40</v>
      </c>
      <c r="N15">
        <f>(Table1_1[[#This Row],[UnitPrice]]-(Table1_1[[#This Row],[UnitPrice]]*Table1_1[[#This Row],[DiscountPct]]))*Table1_1[[#This Row],[Units]]*(1+Table1_1[[#This Row],[TaxRatePct]]/100)</f>
        <v>39648</v>
      </c>
    </row>
    <row r="16" spans="1:22" x14ac:dyDescent="0.3">
      <c r="A16">
        <v>2015</v>
      </c>
      <c r="B16" s="2">
        <v>45703</v>
      </c>
      <c r="C16" t="s">
        <v>58</v>
      </c>
      <c r="D16" t="s">
        <v>73</v>
      </c>
      <c r="E16" t="s">
        <v>146</v>
      </c>
      <c r="F16" t="s">
        <v>50</v>
      </c>
      <c r="G16" t="s">
        <v>46</v>
      </c>
      <c r="H16">
        <v>3</v>
      </c>
      <c r="I16">
        <v>1600</v>
      </c>
      <c r="J16">
        <v>0.05</v>
      </c>
      <c r="K16">
        <v>10</v>
      </c>
      <c r="L16" t="s">
        <v>47</v>
      </c>
      <c r="M16" t="s">
        <v>40</v>
      </c>
      <c r="N16">
        <f>(Table1_1[[#This Row],[UnitPrice]]-(Table1_1[[#This Row],[UnitPrice]]*Table1_1[[#This Row],[DiscountPct]]))*Table1_1[[#This Row],[Units]]*(1+Table1_1[[#This Row],[TaxRatePct]]/100)</f>
        <v>5016</v>
      </c>
    </row>
    <row r="17" spans="1:14" x14ac:dyDescent="0.3">
      <c r="A17">
        <v>2016</v>
      </c>
      <c r="B17" s="2">
        <v>45704</v>
      </c>
      <c r="C17" t="s">
        <v>48</v>
      </c>
      <c r="D17" t="s">
        <v>60</v>
      </c>
      <c r="E17" t="s">
        <v>120</v>
      </c>
      <c r="F17" t="s">
        <v>55</v>
      </c>
      <c r="G17" t="s">
        <v>56</v>
      </c>
      <c r="H17">
        <v>25</v>
      </c>
      <c r="I17">
        <v>78</v>
      </c>
      <c r="J17">
        <v>0</v>
      </c>
      <c r="K17">
        <v>18</v>
      </c>
      <c r="L17" t="s">
        <v>57</v>
      </c>
      <c r="M17" t="s">
        <v>40</v>
      </c>
      <c r="N17">
        <f>(Table1_1[[#This Row],[UnitPrice]]-(Table1_1[[#This Row],[UnitPrice]]*Table1_1[[#This Row],[DiscountPct]]))*Table1_1[[#This Row],[Units]]*(1+Table1_1[[#This Row],[TaxRatePct]]/100)</f>
        <v>2301</v>
      </c>
    </row>
    <row r="18" spans="1:14" x14ac:dyDescent="0.3">
      <c r="A18">
        <v>2017</v>
      </c>
      <c r="B18" s="2">
        <v>45705</v>
      </c>
      <c r="C18" t="s">
        <v>52</v>
      </c>
      <c r="D18" t="s">
        <v>76</v>
      </c>
      <c r="E18" t="s">
        <v>147</v>
      </c>
      <c r="F18" t="s">
        <v>127</v>
      </c>
      <c r="G18" t="s">
        <v>38</v>
      </c>
      <c r="H18">
        <v>1</v>
      </c>
      <c r="I18">
        <v>14900</v>
      </c>
      <c r="J18">
        <v>0.08</v>
      </c>
      <c r="K18">
        <v>18</v>
      </c>
      <c r="L18" t="s">
        <v>39</v>
      </c>
      <c r="M18" t="s">
        <v>62</v>
      </c>
      <c r="N18">
        <f>(Table1_1[[#This Row],[UnitPrice]]-(Table1_1[[#This Row],[UnitPrice]]*Table1_1[[#This Row],[DiscountPct]]))*Table1_1[[#This Row],[Units]]*(1+Table1_1[[#This Row],[TaxRatePct]]/100)</f>
        <v>16175.439999999999</v>
      </c>
    </row>
    <row r="19" spans="1:14" x14ac:dyDescent="0.3">
      <c r="A19">
        <v>2018</v>
      </c>
      <c r="B19" s="2">
        <v>45706</v>
      </c>
      <c r="C19" t="s">
        <v>41</v>
      </c>
      <c r="D19" t="s">
        <v>42</v>
      </c>
      <c r="E19" t="s">
        <v>122</v>
      </c>
      <c r="F19" t="s">
        <v>45</v>
      </c>
      <c r="G19" t="s">
        <v>46</v>
      </c>
      <c r="H19">
        <v>2</v>
      </c>
      <c r="I19">
        <v>8900</v>
      </c>
      <c r="J19">
        <v>0.03</v>
      </c>
      <c r="K19">
        <v>18</v>
      </c>
      <c r="L19" t="s">
        <v>47</v>
      </c>
      <c r="M19" t="s">
        <v>40</v>
      </c>
      <c r="N19">
        <f>(Table1_1[[#This Row],[UnitPrice]]-(Table1_1[[#This Row],[UnitPrice]]*Table1_1[[#This Row],[DiscountPct]]))*Table1_1[[#This Row],[Units]]*(1+Table1_1[[#This Row],[TaxRatePct]]/100)</f>
        <v>20373.879999999997</v>
      </c>
    </row>
    <row r="20" spans="1:14" x14ac:dyDescent="0.3">
      <c r="A20">
        <v>2019</v>
      </c>
      <c r="B20" s="2">
        <v>45707</v>
      </c>
      <c r="C20" t="s">
        <v>58</v>
      </c>
      <c r="D20" t="s">
        <v>44</v>
      </c>
      <c r="E20" t="s">
        <v>123</v>
      </c>
      <c r="F20" t="s">
        <v>43</v>
      </c>
      <c r="G20" t="s">
        <v>38</v>
      </c>
      <c r="H20">
        <v>12</v>
      </c>
      <c r="I20">
        <v>680</v>
      </c>
      <c r="J20">
        <v>0.02</v>
      </c>
      <c r="K20">
        <v>10</v>
      </c>
      <c r="L20" t="s">
        <v>39</v>
      </c>
      <c r="M20" t="s">
        <v>40</v>
      </c>
      <c r="N20">
        <f>(Table1_1[[#This Row],[UnitPrice]]-(Table1_1[[#This Row],[UnitPrice]]*Table1_1[[#This Row],[DiscountPct]]))*Table1_1[[#This Row],[Units]]*(1+Table1_1[[#This Row],[TaxRatePct]]/100)</f>
        <v>8796.48</v>
      </c>
    </row>
    <row r="21" spans="1:14" x14ac:dyDescent="0.3">
      <c r="A21">
        <v>2020</v>
      </c>
      <c r="B21" s="2">
        <v>45708</v>
      </c>
      <c r="C21" t="s">
        <v>48</v>
      </c>
      <c r="D21" t="s">
        <v>49</v>
      </c>
      <c r="E21" t="s">
        <v>124</v>
      </c>
      <c r="F21" t="s">
        <v>126</v>
      </c>
      <c r="G21" t="s">
        <v>38</v>
      </c>
      <c r="H21">
        <v>2</v>
      </c>
      <c r="I21">
        <v>52000</v>
      </c>
      <c r="J21">
        <v>7.0000000000000007E-2</v>
      </c>
      <c r="K21">
        <v>18</v>
      </c>
      <c r="L21" t="s">
        <v>39</v>
      </c>
      <c r="M21" t="s">
        <v>40</v>
      </c>
      <c r="N21">
        <f>(Table1_1[[#This Row],[UnitPrice]]-(Table1_1[[#This Row],[UnitPrice]]*Table1_1[[#This Row],[DiscountPct]]))*Table1_1[[#This Row],[Units]]*(1+Table1_1[[#This Row],[TaxRatePct]]/100)</f>
        <v>114129.59999999999</v>
      </c>
    </row>
    <row r="22" spans="1:14" x14ac:dyDescent="0.3">
      <c r="A22">
        <v>2021</v>
      </c>
      <c r="B22" s="2">
        <v>45709</v>
      </c>
      <c r="C22" t="s">
        <v>52</v>
      </c>
      <c r="D22" t="s">
        <v>36</v>
      </c>
      <c r="E22" t="s">
        <v>110</v>
      </c>
      <c r="F22" t="s">
        <v>64</v>
      </c>
      <c r="G22" t="s">
        <v>46</v>
      </c>
      <c r="H22">
        <v>1</v>
      </c>
      <c r="I22">
        <v>20000</v>
      </c>
      <c r="J22">
        <v>0.15</v>
      </c>
      <c r="K22">
        <v>18</v>
      </c>
      <c r="L22" t="s">
        <v>47</v>
      </c>
      <c r="M22" t="s">
        <v>40</v>
      </c>
      <c r="N22">
        <f>(Table1_1[[#This Row],[UnitPrice]]-(Table1_1[[#This Row],[UnitPrice]]*Table1_1[[#This Row],[DiscountPct]]))*Table1_1[[#This Row],[Units]]*(1+Table1_1[[#This Row],[TaxRatePct]]/100)</f>
        <v>20060</v>
      </c>
    </row>
    <row r="23" spans="1:14" x14ac:dyDescent="0.3">
      <c r="A23">
        <v>2022</v>
      </c>
      <c r="B23" s="2">
        <v>45710</v>
      </c>
      <c r="C23" t="s">
        <v>41</v>
      </c>
      <c r="D23" t="s">
        <v>54</v>
      </c>
      <c r="E23" t="s">
        <v>125</v>
      </c>
      <c r="F23" t="s">
        <v>128</v>
      </c>
      <c r="G23" t="s">
        <v>38</v>
      </c>
      <c r="H23">
        <v>3</v>
      </c>
      <c r="I23">
        <v>62500</v>
      </c>
      <c r="J23">
        <v>0.06</v>
      </c>
      <c r="K23">
        <v>18</v>
      </c>
      <c r="L23" t="s">
        <v>39</v>
      </c>
      <c r="M23" t="s">
        <v>40</v>
      </c>
      <c r="N23">
        <f>(Table1_1[[#This Row],[UnitPrice]]-(Table1_1[[#This Row],[UnitPrice]]*Table1_1[[#This Row],[DiscountPct]]))*Table1_1[[#This Row],[Units]]*(1+Table1_1[[#This Row],[TaxRatePct]]/100)</f>
        <v>207975</v>
      </c>
    </row>
    <row r="24" spans="1:14" x14ac:dyDescent="0.3">
      <c r="A24">
        <v>2023</v>
      </c>
      <c r="B24" s="2">
        <v>45711</v>
      </c>
      <c r="C24" t="s">
        <v>58</v>
      </c>
      <c r="D24" t="s">
        <v>66</v>
      </c>
      <c r="E24" t="s">
        <v>116</v>
      </c>
      <c r="F24" t="s">
        <v>78</v>
      </c>
      <c r="G24" t="s">
        <v>38</v>
      </c>
      <c r="H24">
        <v>7</v>
      </c>
      <c r="I24">
        <v>1750</v>
      </c>
      <c r="J24">
        <v>0</v>
      </c>
      <c r="K24">
        <v>18</v>
      </c>
      <c r="L24" t="s">
        <v>39</v>
      </c>
      <c r="M24" t="s">
        <v>40</v>
      </c>
      <c r="N24">
        <f>(Table1_1[[#This Row],[UnitPrice]]-(Table1_1[[#This Row],[UnitPrice]]*Table1_1[[#This Row],[DiscountPct]]))*Table1_1[[#This Row],[Units]]*(1+Table1_1[[#This Row],[TaxRatePct]]/100)</f>
        <v>14455</v>
      </c>
    </row>
    <row r="25" spans="1:14" x14ac:dyDescent="0.3">
      <c r="A25">
        <v>2024</v>
      </c>
      <c r="B25" s="2">
        <v>45712</v>
      </c>
      <c r="C25" t="s">
        <v>48</v>
      </c>
      <c r="D25" t="s">
        <v>79</v>
      </c>
      <c r="E25" t="s">
        <v>144</v>
      </c>
      <c r="F25" t="s">
        <v>80</v>
      </c>
      <c r="G25" t="s">
        <v>56</v>
      </c>
      <c r="H25">
        <v>60</v>
      </c>
      <c r="I25">
        <v>12</v>
      </c>
      <c r="J25">
        <v>0</v>
      </c>
      <c r="K25">
        <v>18</v>
      </c>
      <c r="L25" t="s">
        <v>57</v>
      </c>
      <c r="M25" t="s">
        <v>40</v>
      </c>
      <c r="N25">
        <f>(Table1_1[[#This Row],[UnitPrice]]-(Table1_1[[#This Row],[UnitPrice]]*Table1_1[[#This Row],[DiscountPct]]))*Table1_1[[#This Row],[Units]]*(1+Table1_1[[#This Row],[TaxRatePct]]/100)</f>
        <v>849.59999999999991</v>
      </c>
    </row>
    <row r="26" spans="1:14" x14ac:dyDescent="0.3">
      <c r="A26">
        <v>2025</v>
      </c>
      <c r="B26" s="2">
        <v>45713</v>
      </c>
      <c r="C26" t="s">
        <v>52</v>
      </c>
      <c r="D26" t="s">
        <v>63</v>
      </c>
      <c r="E26" t="s">
        <v>114</v>
      </c>
      <c r="F26" t="s">
        <v>82</v>
      </c>
      <c r="G26" t="s">
        <v>38</v>
      </c>
      <c r="H26">
        <v>24</v>
      </c>
      <c r="I26">
        <v>3100</v>
      </c>
      <c r="J26">
        <v>0.05</v>
      </c>
      <c r="K26">
        <v>10</v>
      </c>
      <c r="L26" t="s">
        <v>39</v>
      </c>
      <c r="M26" t="s">
        <v>40</v>
      </c>
      <c r="N26">
        <f>(Table1_1[[#This Row],[UnitPrice]]-(Table1_1[[#This Row],[UnitPrice]]*Table1_1[[#This Row],[DiscountPct]]))*Table1_1[[#This Row],[Units]]*(1+Table1_1[[#This Row],[TaxRatePct]]/100)</f>
        <v>77748</v>
      </c>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CEE9E-B4B6-4CC6-B512-A1C6BE70C767}">
  <sheetPr codeName="Sheet5"/>
  <dimension ref="A1:V26"/>
  <sheetViews>
    <sheetView topLeftCell="L1" workbookViewId="0">
      <selection activeCell="T5" sqref="T5"/>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3001</v>
      </c>
      <c r="B2" s="2">
        <v>45719</v>
      </c>
      <c r="C2" t="s">
        <v>52</v>
      </c>
      <c r="D2" t="s">
        <v>36</v>
      </c>
      <c r="E2" t="s">
        <v>148</v>
      </c>
      <c r="F2" t="s">
        <v>126</v>
      </c>
      <c r="G2" t="s">
        <v>38</v>
      </c>
      <c r="H2">
        <v>1</v>
      </c>
      <c r="I2">
        <v>54500</v>
      </c>
      <c r="J2">
        <v>0.05</v>
      </c>
      <c r="K2">
        <v>18</v>
      </c>
      <c r="L2" t="s">
        <v>39</v>
      </c>
      <c r="M2" t="s">
        <v>40</v>
      </c>
      <c r="N2">
        <f>(Table1_2[[#This Row],[UnitPrice]]-(Table1_2[[#This Row],[UnitPrice]]*Table1_2[[#This Row],[DiscountPct]]))*Table1_2[[#This Row],[Units]]*(1+Table1_2[[#This Row],[TaxRatePct]]/100)</f>
        <v>61094.5</v>
      </c>
    </row>
    <row r="3" spans="1:22" x14ac:dyDescent="0.3">
      <c r="A3">
        <v>3002</v>
      </c>
      <c r="B3" s="2">
        <v>45719</v>
      </c>
      <c r="C3" t="s">
        <v>41</v>
      </c>
      <c r="D3" t="s">
        <v>42</v>
      </c>
      <c r="E3" t="s">
        <v>149</v>
      </c>
      <c r="F3" t="s">
        <v>43</v>
      </c>
      <c r="G3" t="s">
        <v>38</v>
      </c>
      <c r="H3">
        <v>6</v>
      </c>
      <c r="I3">
        <v>700</v>
      </c>
      <c r="J3">
        <v>0</v>
      </c>
      <c r="K3">
        <v>18</v>
      </c>
      <c r="L3" t="s">
        <v>39</v>
      </c>
      <c r="M3" t="s">
        <v>40</v>
      </c>
      <c r="N3">
        <f>(Table1_2[[#This Row],[UnitPrice]]-(Table1_2[[#This Row],[UnitPrice]]*Table1_2[[#This Row],[DiscountPct]]))*Table1_2[[#This Row],[Units]]*(1+Table1_2[[#This Row],[TaxRatePct]]/100)</f>
        <v>4956</v>
      </c>
    </row>
    <row r="4" spans="1:22" x14ac:dyDescent="0.3">
      <c r="A4">
        <v>3003</v>
      </c>
      <c r="B4" s="2">
        <v>45719</v>
      </c>
      <c r="C4" t="s">
        <v>58</v>
      </c>
      <c r="D4" t="s">
        <v>44</v>
      </c>
      <c r="E4" t="s">
        <v>150</v>
      </c>
      <c r="F4" t="s">
        <v>45</v>
      </c>
      <c r="G4" t="s">
        <v>46</v>
      </c>
      <c r="H4">
        <v>24</v>
      </c>
      <c r="I4">
        <v>8800</v>
      </c>
      <c r="J4">
        <v>0.1</v>
      </c>
      <c r="K4">
        <v>10</v>
      </c>
      <c r="L4" t="s">
        <v>47</v>
      </c>
      <c r="M4" t="s">
        <v>40</v>
      </c>
      <c r="N4">
        <f>(Table1_2[[#This Row],[UnitPrice]]-(Table1_2[[#This Row],[UnitPrice]]*Table1_2[[#This Row],[DiscountPct]]))*Table1_2[[#This Row],[Units]]*(1+Table1_2[[#This Row],[TaxRatePct]]/100)</f>
        <v>209088.00000000003</v>
      </c>
    </row>
    <row r="5" spans="1:22" x14ac:dyDescent="0.3">
      <c r="A5">
        <v>3004</v>
      </c>
      <c r="B5" s="2">
        <v>45720</v>
      </c>
      <c r="C5" t="s">
        <v>48</v>
      </c>
      <c r="D5" t="s">
        <v>49</v>
      </c>
      <c r="E5" t="s">
        <v>151</v>
      </c>
      <c r="F5" t="s">
        <v>50</v>
      </c>
      <c r="G5" t="s">
        <v>46</v>
      </c>
      <c r="H5">
        <v>5</v>
      </c>
      <c r="I5">
        <v>1550</v>
      </c>
      <c r="J5">
        <v>0.08</v>
      </c>
      <c r="K5">
        <v>18</v>
      </c>
      <c r="L5" t="s">
        <v>39</v>
      </c>
      <c r="M5" t="s">
        <v>51</v>
      </c>
      <c r="N5">
        <f>(Table1_2[[#This Row],[UnitPrice]]-(Table1_2[[#This Row],[UnitPrice]]*Table1_2[[#This Row],[DiscountPct]]))*Table1_2[[#This Row],[Units]]*(1+Table1_2[[#This Row],[TaxRatePct]]/100)</f>
        <v>8413.4</v>
      </c>
    </row>
    <row r="6" spans="1:22" x14ac:dyDescent="0.3">
      <c r="A6">
        <v>3005</v>
      </c>
      <c r="B6" s="2">
        <v>45721</v>
      </c>
      <c r="C6" t="s">
        <v>52</v>
      </c>
      <c r="D6" t="s">
        <v>36</v>
      </c>
      <c r="E6" t="s">
        <v>152</v>
      </c>
      <c r="F6" t="s">
        <v>127</v>
      </c>
      <c r="G6" t="s">
        <v>38</v>
      </c>
      <c r="H6">
        <v>1</v>
      </c>
      <c r="I6">
        <v>15000</v>
      </c>
      <c r="J6">
        <v>0.12</v>
      </c>
      <c r="K6">
        <v>18</v>
      </c>
      <c r="L6" t="s">
        <v>39</v>
      </c>
      <c r="M6" t="s">
        <v>40</v>
      </c>
      <c r="N6">
        <f>(Table1_2[[#This Row],[UnitPrice]]-(Table1_2[[#This Row],[UnitPrice]]*Table1_2[[#This Row],[DiscountPct]]))*Table1_2[[#This Row],[Units]]*(1+Table1_2[[#This Row],[TaxRatePct]]/100)</f>
        <v>15576</v>
      </c>
      <c r="U6" s="10" t="s">
        <v>26</v>
      </c>
      <c r="V6" s="10" t="s">
        <v>132</v>
      </c>
    </row>
    <row r="7" spans="1:22" x14ac:dyDescent="0.3">
      <c r="A7">
        <v>3006</v>
      </c>
      <c r="B7" s="2">
        <v>45722</v>
      </c>
      <c r="C7" t="s">
        <v>41</v>
      </c>
      <c r="D7" t="s">
        <v>54</v>
      </c>
      <c r="E7" t="s">
        <v>138</v>
      </c>
      <c r="F7" t="s">
        <v>55</v>
      </c>
      <c r="G7" t="s">
        <v>56</v>
      </c>
      <c r="H7">
        <v>25</v>
      </c>
      <c r="I7">
        <v>75</v>
      </c>
      <c r="J7">
        <v>0</v>
      </c>
      <c r="K7">
        <v>18</v>
      </c>
      <c r="L7" t="s">
        <v>57</v>
      </c>
      <c r="M7" t="s">
        <v>40</v>
      </c>
      <c r="N7">
        <f>(Table1_2[[#This Row],[UnitPrice]]-(Table1_2[[#This Row],[UnitPrice]]*Table1_2[[#This Row],[DiscountPct]]))*Table1_2[[#This Row],[Units]]*(1+Table1_2[[#This Row],[TaxRatePct]]/100)</f>
        <v>2212.5</v>
      </c>
      <c r="U7" t="str" cm="1">
        <f t="array" ref="U7:U10">_xlfn.UNIQUE(Table1[Region])</f>
        <v>North</v>
      </c>
      <c r="V7">
        <f>SUMIFS(Table1[Total Revenue],Table1[Status],"Completed",Table1[Region],U7)</f>
        <v>184807.69999999998</v>
      </c>
    </row>
    <row r="8" spans="1:22" x14ac:dyDescent="0.3">
      <c r="A8">
        <v>3007</v>
      </c>
      <c r="B8" s="2">
        <v>45723</v>
      </c>
      <c r="C8" t="s">
        <v>58</v>
      </c>
      <c r="D8" t="s">
        <v>44</v>
      </c>
      <c r="E8" t="s">
        <v>139</v>
      </c>
      <c r="F8" t="s">
        <v>59</v>
      </c>
      <c r="G8" t="s">
        <v>38</v>
      </c>
      <c r="H8">
        <v>12</v>
      </c>
      <c r="I8">
        <v>3400</v>
      </c>
      <c r="J8">
        <v>0.05</v>
      </c>
      <c r="K8">
        <v>10</v>
      </c>
      <c r="L8" t="s">
        <v>39</v>
      </c>
      <c r="M8" t="s">
        <v>40</v>
      </c>
      <c r="N8">
        <f>(Table1_2[[#This Row],[UnitPrice]]-(Table1_2[[#This Row],[UnitPrice]]*Table1_2[[#This Row],[DiscountPct]]))*Table1_2[[#This Row],[Units]]*(1+Table1_2[[#This Row],[TaxRatePct]]/100)</f>
        <v>42636</v>
      </c>
      <c r="U8" t="str">
        <v>South</v>
      </c>
      <c r="V8">
        <f>SUMIFS(Table1[Total Revenue],Table1[Status],"Completed",Table1[Region],U8)</f>
        <v>239129.36</v>
      </c>
    </row>
    <row r="9" spans="1:22" x14ac:dyDescent="0.3">
      <c r="A9">
        <v>3008</v>
      </c>
      <c r="B9" s="2">
        <v>45724</v>
      </c>
      <c r="C9" t="s">
        <v>48</v>
      </c>
      <c r="D9" t="s">
        <v>74</v>
      </c>
      <c r="E9" t="s">
        <v>140</v>
      </c>
      <c r="F9" t="s">
        <v>128</v>
      </c>
      <c r="G9" t="s">
        <v>38</v>
      </c>
      <c r="H9">
        <v>1</v>
      </c>
      <c r="I9">
        <v>61500</v>
      </c>
      <c r="J9">
        <v>0.1</v>
      </c>
      <c r="K9">
        <v>18</v>
      </c>
      <c r="L9" t="s">
        <v>39</v>
      </c>
      <c r="M9" t="s">
        <v>62</v>
      </c>
      <c r="N9">
        <f>(Table1_2[[#This Row],[UnitPrice]]-(Table1_2[[#This Row],[UnitPrice]]*Table1_2[[#This Row],[DiscountPct]]))*Table1_2[[#This Row],[Units]]*(1+Table1_2[[#This Row],[TaxRatePct]]/100)</f>
        <v>65313</v>
      </c>
      <c r="R9" s="10" t="s">
        <v>131</v>
      </c>
      <c r="U9" t="str">
        <v>West</v>
      </c>
      <c r="V9">
        <f>SUMIFS(Table1[Total Revenue],Table1[Status],"Completed",Table1[Region],U9)</f>
        <v>74498</v>
      </c>
    </row>
    <row r="10" spans="1:22" x14ac:dyDescent="0.3">
      <c r="A10">
        <v>3009</v>
      </c>
      <c r="B10" s="2">
        <v>45725</v>
      </c>
      <c r="C10" t="s">
        <v>52</v>
      </c>
      <c r="D10" t="s">
        <v>63</v>
      </c>
      <c r="E10" t="s">
        <v>153</v>
      </c>
      <c r="F10" t="s">
        <v>64</v>
      </c>
      <c r="G10" t="s">
        <v>46</v>
      </c>
      <c r="H10">
        <v>11</v>
      </c>
      <c r="I10">
        <v>20500</v>
      </c>
      <c r="J10">
        <v>0.13</v>
      </c>
      <c r="K10">
        <v>18</v>
      </c>
      <c r="L10" t="s">
        <v>47</v>
      </c>
      <c r="M10" t="s">
        <v>40</v>
      </c>
      <c r="N10">
        <f>(Table1_2[[#This Row],[UnitPrice]]-(Table1_2[[#This Row],[UnitPrice]]*Table1_2[[#This Row],[DiscountPct]]))*Table1_2[[#This Row],[Units]]*(1+Table1_2[[#This Row],[TaxRatePct]]/100)</f>
        <v>231498.3</v>
      </c>
      <c r="R10">
        <f>SUMIF(Table1[Status],"Completed",Table1[Total Revenue])</f>
        <v>694810.66</v>
      </c>
      <c r="U10" t="str">
        <v>East</v>
      </c>
      <c r="V10">
        <f>SUMIFS(Table1[Total Revenue],Table1[Status],"Completed",Table1[Region],U10)</f>
        <v>196375.59999999998</v>
      </c>
    </row>
    <row r="11" spans="1:22" x14ac:dyDescent="0.3">
      <c r="A11">
        <v>3010</v>
      </c>
      <c r="B11" s="2">
        <v>45726</v>
      </c>
      <c r="C11" t="s">
        <v>41</v>
      </c>
      <c r="D11" t="s">
        <v>42</v>
      </c>
      <c r="E11" t="s">
        <v>142</v>
      </c>
      <c r="F11" t="s">
        <v>129</v>
      </c>
      <c r="G11" t="s">
        <v>38</v>
      </c>
      <c r="H11">
        <v>2</v>
      </c>
      <c r="I11">
        <v>23500</v>
      </c>
      <c r="J11">
        <v>0.06</v>
      </c>
      <c r="K11">
        <v>18</v>
      </c>
      <c r="L11" t="s">
        <v>39</v>
      </c>
      <c r="M11" t="s">
        <v>40</v>
      </c>
      <c r="N11">
        <f>(Table1_2[[#This Row],[UnitPrice]]-(Table1_2[[#This Row],[UnitPrice]]*Table1_2[[#This Row],[DiscountPct]]))*Table1_2[[#This Row],[Units]]*(1+Table1_2[[#This Row],[TaxRatePct]]/100)</f>
        <v>52132.399999999994</v>
      </c>
    </row>
    <row r="12" spans="1:22" x14ac:dyDescent="0.3">
      <c r="A12">
        <v>3011</v>
      </c>
      <c r="B12" s="2">
        <v>45727</v>
      </c>
      <c r="C12" t="s">
        <v>58</v>
      </c>
      <c r="D12" t="s">
        <v>66</v>
      </c>
      <c r="E12" t="s">
        <v>143</v>
      </c>
      <c r="F12" t="s">
        <v>67</v>
      </c>
      <c r="G12" t="s">
        <v>38</v>
      </c>
      <c r="H12">
        <v>11</v>
      </c>
      <c r="I12">
        <v>13000</v>
      </c>
      <c r="J12">
        <v>0.05</v>
      </c>
      <c r="K12">
        <v>10</v>
      </c>
      <c r="L12" t="s">
        <v>47</v>
      </c>
      <c r="M12" t="s">
        <v>40</v>
      </c>
      <c r="N12">
        <f>(Table1_2[[#This Row],[UnitPrice]]-(Table1_2[[#This Row],[UnitPrice]]*Table1_2[[#This Row],[DiscountPct]]))*Table1_2[[#This Row],[Units]]*(1+Table1_2[[#This Row],[TaxRatePct]]/100)</f>
        <v>149435</v>
      </c>
    </row>
    <row r="13" spans="1:22" x14ac:dyDescent="0.3">
      <c r="A13">
        <v>3012</v>
      </c>
      <c r="B13" s="2">
        <v>45728</v>
      </c>
      <c r="C13" t="s">
        <v>48</v>
      </c>
      <c r="D13" t="s">
        <v>79</v>
      </c>
      <c r="E13" t="s">
        <v>144</v>
      </c>
      <c r="F13" t="s">
        <v>68</v>
      </c>
      <c r="G13" t="s">
        <v>46</v>
      </c>
      <c r="H13">
        <v>1</v>
      </c>
      <c r="I13">
        <v>9900</v>
      </c>
      <c r="J13">
        <v>0</v>
      </c>
      <c r="K13">
        <v>18</v>
      </c>
      <c r="L13" t="s">
        <v>57</v>
      </c>
      <c r="M13" t="s">
        <v>40</v>
      </c>
      <c r="N13">
        <f>(Table1_2[[#This Row],[UnitPrice]]-(Table1_2[[#This Row],[UnitPrice]]*Table1_2[[#This Row],[DiscountPct]]))*Table1_2[[#This Row],[Units]]*(1+Table1_2[[#This Row],[TaxRatePct]]/100)</f>
        <v>11682</v>
      </c>
    </row>
    <row r="14" spans="1:22" x14ac:dyDescent="0.3">
      <c r="A14">
        <v>3013</v>
      </c>
      <c r="B14" s="2">
        <v>45729</v>
      </c>
      <c r="C14" t="s">
        <v>52</v>
      </c>
      <c r="D14" t="s">
        <v>36</v>
      </c>
      <c r="E14" t="s">
        <v>106</v>
      </c>
      <c r="F14" t="s">
        <v>69</v>
      </c>
      <c r="G14" t="s">
        <v>70</v>
      </c>
      <c r="H14">
        <v>3</v>
      </c>
      <c r="I14">
        <v>1250</v>
      </c>
      <c r="J14">
        <v>0.04</v>
      </c>
      <c r="K14">
        <v>18</v>
      </c>
      <c r="L14" t="s">
        <v>39</v>
      </c>
      <c r="M14" t="s">
        <v>40</v>
      </c>
      <c r="N14">
        <f>(Table1_2[[#This Row],[UnitPrice]]-(Table1_2[[#This Row],[UnitPrice]]*Table1_2[[#This Row],[DiscountPct]]))*Table1_2[[#This Row],[Units]]*(1+Table1_2[[#This Row],[TaxRatePct]]/100)</f>
        <v>4248</v>
      </c>
    </row>
    <row r="15" spans="1:22" x14ac:dyDescent="0.3">
      <c r="A15">
        <v>3014</v>
      </c>
      <c r="B15" s="2">
        <v>45730</v>
      </c>
      <c r="C15" t="s">
        <v>41</v>
      </c>
      <c r="D15" t="s">
        <v>71</v>
      </c>
      <c r="E15" t="s">
        <v>145</v>
      </c>
      <c r="F15" t="s">
        <v>72</v>
      </c>
      <c r="G15" t="s">
        <v>38</v>
      </c>
      <c r="H15">
        <v>4</v>
      </c>
      <c r="I15">
        <v>2700</v>
      </c>
      <c r="J15">
        <v>0.05</v>
      </c>
      <c r="K15">
        <v>18</v>
      </c>
      <c r="L15" t="s">
        <v>39</v>
      </c>
      <c r="M15" t="s">
        <v>40</v>
      </c>
      <c r="N15">
        <f>(Table1_2[[#This Row],[UnitPrice]]-(Table1_2[[#This Row],[UnitPrice]]*Table1_2[[#This Row],[DiscountPct]]))*Table1_2[[#This Row],[Units]]*(1+Table1_2[[#This Row],[TaxRatePct]]/100)</f>
        <v>12106.8</v>
      </c>
    </row>
    <row r="16" spans="1:22" x14ac:dyDescent="0.3">
      <c r="A16">
        <v>3015</v>
      </c>
      <c r="B16" s="2">
        <v>45731</v>
      </c>
      <c r="C16" t="s">
        <v>58</v>
      </c>
      <c r="D16" t="s">
        <v>73</v>
      </c>
      <c r="E16" t="s">
        <v>146</v>
      </c>
      <c r="F16" t="s">
        <v>50</v>
      </c>
      <c r="G16" t="s">
        <v>46</v>
      </c>
      <c r="H16">
        <v>2</v>
      </c>
      <c r="I16">
        <v>1700</v>
      </c>
      <c r="J16">
        <v>0.05</v>
      </c>
      <c r="K16">
        <v>10</v>
      </c>
      <c r="L16" t="s">
        <v>47</v>
      </c>
      <c r="M16" t="s">
        <v>40</v>
      </c>
      <c r="N16">
        <f>(Table1_2[[#This Row],[UnitPrice]]-(Table1_2[[#This Row],[UnitPrice]]*Table1_2[[#This Row],[DiscountPct]]))*Table1_2[[#This Row],[Units]]*(1+Table1_2[[#This Row],[TaxRatePct]]/100)</f>
        <v>3553.0000000000005</v>
      </c>
    </row>
    <row r="17" spans="1:14" x14ac:dyDescent="0.3">
      <c r="A17">
        <v>3016</v>
      </c>
      <c r="B17" s="2">
        <v>45732</v>
      </c>
      <c r="C17" t="s">
        <v>48</v>
      </c>
      <c r="D17" t="s">
        <v>60</v>
      </c>
      <c r="E17" t="s">
        <v>120</v>
      </c>
      <c r="F17" t="s">
        <v>55</v>
      </c>
      <c r="G17" t="s">
        <v>56</v>
      </c>
      <c r="H17">
        <v>35</v>
      </c>
      <c r="I17">
        <v>78</v>
      </c>
      <c r="J17">
        <v>0</v>
      </c>
      <c r="K17">
        <v>18</v>
      </c>
      <c r="L17" t="s">
        <v>57</v>
      </c>
      <c r="M17" t="s">
        <v>40</v>
      </c>
      <c r="N17">
        <f>(Table1_2[[#This Row],[UnitPrice]]-(Table1_2[[#This Row],[UnitPrice]]*Table1_2[[#This Row],[DiscountPct]]))*Table1_2[[#This Row],[Units]]*(1+Table1_2[[#This Row],[TaxRatePct]]/100)</f>
        <v>3221.3999999999996</v>
      </c>
    </row>
    <row r="18" spans="1:14" x14ac:dyDescent="0.3">
      <c r="A18">
        <v>3017</v>
      </c>
      <c r="B18" s="2">
        <v>45733</v>
      </c>
      <c r="C18" t="s">
        <v>52</v>
      </c>
      <c r="D18" t="s">
        <v>76</v>
      </c>
      <c r="E18" t="s">
        <v>147</v>
      </c>
      <c r="F18" t="s">
        <v>127</v>
      </c>
      <c r="G18" t="s">
        <v>38</v>
      </c>
      <c r="H18">
        <v>1</v>
      </c>
      <c r="I18">
        <v>14700</v>
      </c>
      <c r="J18">
        <v>0.1</v>
      </c>
      <c r="K18">
        <v>18</v>
      </c>
      <c r="L18" t="s">
        <v>39</v>
      </c>
      <c r="M18" t="s">
        <v>62</v>
      </c>
      <c r="N18">
        <f>(Table1_2[[#This Row],[UnitPrice]]-(Table1_2[[#This Row],[UnitPrice]]*Table1_2[[#This Row],[DiscountPct]]))*Table1_2[[#This Row],[Units]]*(1+Table1_2[[#This Row],[TaxRatePct]]/100)</f>
        <v>15611.4</v>
      </c>
    </row>
    <row r="19" spans="1:14" x14ac:dyDescent="0.3">
      <c r="A19">
        <v>3018</v>
      </c>
      <c r="B19" s="2">
        <v>45734</v>
      </c>
      <c r="C19" t="s">
        <v>41</v>
      </c>
      <c r="D19" t="s">
        <v>42</v>
      </c>
      <c r="E19" t="s">
        <v>122</v>
      </c>
      <c r="F19" t="s">
        <v>45</v>
      </c>
      <c r="G19" t="s">
        <v>46</v>
      </c>
      <c r="H19">
        <v>13</v>
      </c>
      <c r="I19">
        <v>8900</v>
      </c>
      <c r="J19">
        <v>0.04</v>
      </c>
      <c r="K19">
        <v>18</v>
      </c>
      <c r="L19" t="s">
        <v>47</v>
      </c>
      <c r="M19" t="s">
        <v>40</v>
      </c>
      <c r="N19">
        <f>(Table1_2[[#This Row],[UnitPrice]]-(Table1_2[[#This Row],[UnitPrice]]*Table1_2[[#This Row],[DiscountPct]]))*Table1_2[[#This Row],[Units]]*(1+Table1_2[[#This Row],[TaxRatePct]]/100)</f>
        <v>131064.95999999999</v>
      </c>
    </row>
    <row r="20" spans="1:14" x14ac:dyDescent="0.3">
      <c r="A20">
        <v>3019</v>
      </c>
      <c r="B20" s="2">
        <v>45735</v>
      </c>
      <c r="C20" t="s">
        <v>58</v>
      </c>
      <c r="D20" t="s">
        <v>44</v>
      </c>
      <c r="E20" t="s">
        <v>123</v>
      </c>
      <c r="F20" t="s">
        <v>43</v>
      </c>
      <c r="G20" t="s">
        <v>38</v>
      </c>
      <c r="H20">
        <v>15</v>
      </c>
      <c r="I20">
        <v>690</v>
      </c>
      <c r="J20">
        <v>0.02</v>
      </c>
      <c r="K20">
        <v>10</v>
      </c>
      <c r="L20" t="s">
        <v>39</v>
      </c>
      <c r="M20" t="s">
        <v>40</v>
      </c>
      <c r="N20">
        <f>(Table1_2[[#This Row],[UnitPrice]]-(Table1_2[[#This Row],[UnitPrice]]*Table1_2[[#This Row],[DiscountPct]]))*Table1_2[[#This Row],[Units]]*(1+Table1_2[[#This Row],[TaxRatePct]]/100)</f>
        <v>11157.300000000001</v>
      </c>
    </row>
    <row r="21" spans="1:14" x14ac:dyDescent="0.3">
      <c r="A21">
        <v>3020</v>
      </c>
      <c r="B21" s="2">
        <v>45736</v>
      </c>
      <c r="C21" t="s">
        <v>48</v>
      </c>
      <c r="D21" t="s">
        <v>49</v>
      </c>
      <c r="E21" t="s">
        <v>124</v>
      </c>
      <c r="F21" t="s">
        <v>126</v>
      </c>
      <c r="G21" t="s">
        <v>38</v>
      </c>
      <c r="H21">
        <v>2</v>
      </c>
      <c r="I21">
        <v>52500</v>
      </c>
      <c r="J21">
        <v>7.0000000000000007E-2</v>
      </c>
      <c r="K21">
        <v>18</v>
      </c>
      <c r="L21" t="s">
        <v>39</v>
      </c>
      <c r="M21" t="s">
        <v>40</v>
      </c>
      <c r="N21">
        <f>(Table1_2[[#This Row],[UnitPrice]]-(Table1_2[[#This Row],[UnitPrice]]*Table1_2[[#This Row],[DiscountPct]]))*Table1_2[[#This Row],[Units]]*(1+Table1_2[[#This Row],[TaxRatePct]]/100)</f>
        <v>115227</v>
      </c>
    </row>
    <row r="22" spans="1:14" x14ac:dyDescent="0.3">
      <c r="A22">
        <v>3021</v>
      </c>
      <c r="B22" s="2">
        <v>45737</v>
      </c>
      <c r="C22" t="s">
        <v>52</v>
      </c>
      <c r="D22" t="s">
        <v>36</v>
      </c>
      <c r="E22" t="s">
        <v>110</v>
      </c>
      <c r="F22" t="s">
        <v>64</v>
      </c>
      <c r="G22" t="s">
        <v>46</v>
      </c>
      <c r="H22">
        <v>1</v>
      </c>
      <c r="I22">
        <v>21000</v>
      </c>
      <c r="J22">
        <v>0.14000000000000001</v>
      </c>
      <c r="K22">
        <v>18</v>
      </c>
      <c r="L22" t="s">
        <v>47</v>
      </c>
      <c r="M22" t="s">
        <v>40</v>
      </c>
      <c r="N22">
        <f>(Table1_2[[#This Row],[UnitPrice]]-(Table1_2[[#This Row],[UnitPrice]]*Table1_2[[#This Row],[DiscountPct]]))*Table1_2[[#This Row],[Units]]*(1+Table1_2[[#This Row],[TaxRatePct]]/100)</f>
        <v>21310.799999999999</v>
      </c>
    </row>
    <row r="23" spans="1:14" x14ac:dyDescent="0.3">
      <c r="A23">
        <v>3022</v>
      </c>
      <c r="B23" s="2">
        <v>45738</v>
      </c>
      <c r="C23" t="s">
        <v>41</v>
      </c>
      <c r="D23" t="s">
        <v>54</v>
      </c>
      <c r="E23" t="s">
        <v>125</v>
      </c>
      <c r="F23" t="s">
        <v>128</v>
      </c>
      <c r="G23" t="s">
        <v>38</v>
      </c>
      <c r="H23">
        <v>3</v>
      </c>
      <c r="I23">
        <v>64000</v>
      </c>
      <c r="J23">
        <v>0.06</v>
      </c>
      <c r="K23">
        <v>18</v>
      </c>
      <c r="L23" t="s">
        <v>39</v>
      </c>
      <c r="M23" t="s">
        <v>40</v>
      </c>
      <c r="N23">
        <f>(Table1_2[[#This Row],[UnitPrice]]-(Table1_2[[#This Row],[UnitPrice]]*Table1_2[[#This Row],[DiscountPct]]))*Table1_2[[#This Row],[Units]]*(1+Table1_2[[#This Row],[TaxRatePct]]/100)</f>
        <v>212966.39999999999</v>
      </c>
    </row>
    <row r="24" spans="1:14" x14ac:dyDescent="0.3">
      <c r="A24">
        <v>3023</v>
      </c>
      <c r="B24" s="2">
        <v>45739</v>
      </c>
      <c r="C24" t="s">
        <v>58</v>
      </c>
      <c r="D24" t="s">
        <v>66</v>
      </c>
      <c r="E24" t="s">
        <v>116</v>
      </c>
      <c r="F24" t="s">
        <v>78</v>
      </c>
      <c r="G24" t="s">
        <v>38</v>
      </c>
      <c r="H24">
        <v>8</v>
      </c>
      <c r="I24">
        <v>1700</v>
      </c>
      <c r="J24">
        <v>0</v>
      </c>
      <c r="K24">
        <v>18</v>
      </c>
      <c r="L24" t="s">
        <v>39</v>
      </c>
      <c r="M24" t="s">
        <v>40</v>
      </c>
      <c r="N24">
        <f>(Table1_2[[#This Row],[UnitPrice]]-(Table1_2[[#This Row],[UnitPrice]]*Table1_2[[#This Row],[DiscountPct]]))*Table1_2[[#This Row],[Units]]*(1+Table1_2[[#This Row],[TaxRatePct]]/100)</f>
        <v>16048</v>
      </c>
    </row>
    <row r="25" spans="1:14" x14ac:dyDescent="0.3">
      <c r="A25">
        <v>3024</v>
      </c>
      <c r="B25" s="2">
        <v>45740</v>
      </c>
      <c r="C25" t="s">
        <v>48</v>
      </c>
      <c r="D25" t="s">
        <v>79</v>
      </c>
      <c r="E25" t="s">
        <v>144</v>
      </c>
      <c r="F25" t="s">
        <v>80</v>
      </c>
      <c r="G25" t="s">
        <v>56</v>
      </c>
      <c r="H25">
        <v>55</v>
      </c>
      <c r="I25">
        <v>14</v>
      </c>
      <c r="J25">
        <v>0</v>
      </c>
      <c r="K25">
        <v>18</v>
      </c>
      <c r="L25" t="s">
        <v>57</v>
      </c>
      <c r="M25" t="s">
        <v>40</v>
      </c>
      <c r="N25">
        <f>(Table1_2[[#This Row],[UnitPrice]]-(Table1_2[[#This Row],[UnitPrice]]*Table1_2[[#This Row],[DiscountPct]]))*Table1_2[[#This Row],[Units]]*(1+Table1_2[[#This Row],[TaxRatePct]]/100)</f>
        <v>908.59999999999991</v>
      </c>
    </row>
    <row r="26" spans="1:14" x14ac:dyDescent="0.3">
      <c r="A26">
        <v>3025</v>
      </c>
      <c r="B26" s="2">
        <v>45741</v>
      </c>
      <c r="C26" t="s">
        <v>52</v>
      </c>
      <c r="D26" t="s">
        <v>63</v>
      </c>
      <c r="E26" t="s">
        <v>114</v>
      </c>
      <c r="F26" t="s">
        <v>82</v>
      </c>
      <c r="G26" t="s">
        <v>38</v>
      </c>
      <c r="H26">
        <v>4</v>
      </c>
      <c r="I26">
        <v>3050</v>
      </c>
      <c r="J26">
        <v>0.05</v>
      </c>
      <c r="K26">
        <v>10</v>
      </c>
      <c r="L26" t="s">
        <v>39</v>
      </c>
      <c r="M26" t="s">
        <v>40</v>
      </c>
      <c r="N26">
        <f>(Table1_2[[#This Row],[UnitPrice]]-(Table1_2[[#This Row],[UnitPrice]]*Table1_2[[#This Row],[DiscountPct]]))*Table1_2[[#This Row],[Units]]*(1+Table1_2[[#This Row],[TaxRatePct]]/100)</f>
        <v>12749.000000000002</v>
      </c>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BF8E5-C2CB-47F4-9F89-21D1DA810065}">
  <sheetPr codeName="Sheet6"/>
  <dimension ref="A1:V26"/>
  <sheetViews>
    <sheetView topLeftCell="L1" workbookViewId="0">
      <selection activeCell="T5" sqref="T5"/>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4001</v>
      </c>
      <c r="B2" s="2">
        <v>45749</v>
      </c>
      <c r="C2" t="s">
        <v>52</v>
      </c>
      <c r="D2" t="s">
        <v>36</v>
      </c>
      <c r="E2" t="s">
        <v>154</v>
      </c>
      <c r="F2" t="s">
        <v>126</v>
      </c>
      <c r="G2" t="s">
        <v>38</v>
      </c>
      <c r="H2">
        <v>2</v>
      </c>
      <c r="I2">
        <v>56000</v>
      </c>
      <c r="J2">
        <v>0.05</v>
      </c>
      <c r="K2">
        <v>18</v>
      </c>
      <c r="L2" t="s">
        <v>39</v>
      </c>
      <c r="M2" t="s">
        <v>40</v>
      </c>
      <c r="N2">
        <f>(Table1_3[[#This Row],[UnitPrice]]-(Table1_3[[#This Row],[UnitPrice]]*Table1_3[[#This Row],[DiscountPct]]))*Table1_3[[#This Row],[Units]]*(1+Table1_3[[#This Row],[TaxRatePct]]/100)</f>
        <v>125552</v>
      </c>
    </row>
    <row r="3" spans="1:22" x14ac:dyDescent="0.3">
      <c r="A3">
        <v>4002</v>
      </c>
      <c r="B3" s="2">
        <v>45749</v>
      </c>
      <c r="C3" t="s">
        <v>41</v>
      </c>
      <c r="D3" t="s">
        <v>42</v>
      </c>
      <c r="E3" t="s">
        <v>134</v>
      </c>
      <c r="F3" t="s">
        <v>43</v>
      </c>
      <c r="G3" t="s">
        <v>38</v>
      </c>
      <c r="H3">
        <v>7</v>
      </c>
      <c r="I3">
        <v>740</v>
      </c>
      <c r="J3">
        <v>0</v>
      </c>
      <c r="K3">
        <v>18</v>
      </c>
      <c r="L3" t="s">
        <v>39</v>
      </c>
      <c r="M3" t="s">
        <v>40</v>
      </c>
      <c r="N3">
        <f>(Table1_3[[#This Row],[UnitPrice]]-(Table1_3[[#This Row],[UnitPrice]]*Table1_3[[#This Row],[DiscountPct]]))*Table1_3[[#This Row],[Units]]*(1+Table1_3[[#This Row],[TaxRatePct]]/100)</f>
        <v>6112.4</v>
      </c>
    </row>
    <row r="4" spans="1:22" x14ac:dyDescent="0.3">
      <c r="A4">
        <v>4003</v>
      </c>
      <c r="B4" s="2">
        <v>45749</v>
      </c>
      <c r="C4" t="s">
        <v>58</v>
      </c>
      <c r="D4" t="s">
        <v>44</v>
      </c>
      <c r="E4" t="s">
        <v>155</v>
      </c>
      <c r="F4" t="s">
        <v>45</v>
      </c>
      <c r="G4" t="s">
        <v>46</v>
      </c>
      <c r="H4">
        <v>3</v>
      </c>
      <c r="I4">
        <v>9100</v>
      </c>
      <c r="J4">
        <v>0.1</v>
      </c>
      <c r="K4">
        <v>10</v>
      </c>
      <c r="L4" t="s">
        <v>47</v>
      </c>
      <c r="M4" t="s">
        <v>40</v>
      </c>
      <c r="N4">
        <f>(Table1_3[[#This Row],[UnitPrice]]-(Table1_3[[#This Row],[UnitPrice]]*Table1_3[[#This Row],[DiscountPct]]))*Table1_3[[#This Row],[Units]]*(1+Table1_3[[#This Row],[TaxRatePct]]/100)</f>
        <v>27027.000000000004</v>
      </c>
    </row>
    <row r="5" spans="1:22" x14ac:dyDescent="0.3">
      <c r="A5">
        <v>4004</v>
      </c>
      <c r="B5" s="2">
        <v>45750</v>
      </c>
      <c r="C5" t="s">
        <v>48</v>
      </c>
      <c r="D5" t="s">
        <v>49</v>
      </c>
      <c r="E5" t="s">
        <v>136</v>
      </c>
      <c r="F5" t="s">
        <v>50</v>
      </c>
      <c r="G5" t="s">
        <v>46</v>
      </c>
      <c r="H5">
        <v>6</v>
      </c>
      <c r="I5">
        <v>1650</v>
      </c>
      <c r="J5">
        <v>0.08</v>
      </c>
      <c r="K5">
        <v>18</v>
      </c>
      <c r="L5" t="s">
        <v>39</v>
      </c>
      <c r="M5" t="s">
        <v>51</v>
      </c>
      <c r="N5">
        <f>(Table1_3[[#This Row],[UnitPrice]]-(Table1_3[[#This Row],[UnitPrice]]*Table1_3[[#This Row],[DiscountPct]]))*Table1_3[[#This Row],[Units]]*(1+Table1_3[[#This Row],[TaxRatePct]]/100)</f>
        <v>10747.439999999999</v>
      </c>
    </row>
    <row r="6" spans="1:22" x14ac:dyDescent="0.3">
      <c r="A6">
        <v>4005</v>
      </c>
      <c r="B6" s="2">
        <v>45751</v>
      </c>
      <c r="C6" t="s">
        <v>52</v>
      </c>
      <c r="D6" t="s">
        <v>36</v>
      </c>
      <c r="E6" t="s">
        <v>156</v>
      </c>
      <c r="F6" t="s">
        <v>127</v>
      </c>
      <c r="G6" t="s">
        <v>38</v>
      </c>
      <c r="H6">
        <v>2</v>
      </c>
      <c r="I6">
        <v>15800</v>
      </c>
      <c r="J6">
        <v>0.12</v>
      </c>
      <c r="K6">
        <v>18</v>
      </c>
      <c r="L6" t="s">
        <v>39</v>
      </c>
      <c r="M6" t="s">
        <v>40</v>
      </c>
      <c r="N6">
        <f>(Table1_3[[#This Row],[UnitPrice]]-(Table1_3[[#This Row],[UnitPrice]]*Table1_3[[#This Row],[DiscountPct]]))*Table1_3[[#This Row],[Units]]*(1+Table1_3[[#This Row],[TaxRatePct]]/100)</f>
        <v>32813.439999999995</v>
      </c>
      <c r="U6" s="10" t="s">
        <v>26</v>
      </c>
      <c r="V6" s="10" t="s">
        <v>132</v>
      </c>
    </row>
    <row r="7" spans="1:22" x14ac:dyDescent="0.3">
      <c r="A7">
        <v>4006</v>
      </c>
      <c r="B7" s="2">
        <v>45752</v>
      </c>
      <c r="C7" t="s">
        <v>41</v>
      </c>
      <c r="D7" t="s">
        <v>54</v>
      </c>
      <c r="E7" t="s">
        <v>138</v>
      </c>
      <c r="F7" t="s">
        <v>55</v>
      </c>
      <c r="G7" t="s">
        <v>56</v>
      </c>
      <c r="H7">
        <v>30</v>
      </c>
      <c r="I7">
        <v>72</v>
      </c>
      <c r="J7">
        <v>0</v>
      </c>
      <c r="K7">
        <v>18</v>
      </c>
      <c r="L7" t="s">
        <v>57</v>
      </c>
      <c r="M7" t="s">
        <v>40</v>
      </c>
      <c r="N7">
        <f>(Table1_3[[#This Row],[UnitPrice]]-(Table1_3[[#This Row],[UnitPrice]]*Table1_3[[#This Row],[DiscountPct]]))*Table1_3[[#This Row],[Units]]*(1+Table1_3[[#This Row],[TaxRatePct]]/100)</f>
        <v>2548.7999999999997</v>
      </c>
      <c r="U7" t="str" cm="1">
        <f t="array" ref="U7:U10">_xlfn.UNIQUE(Table1[Region])</f>
        <v>North</v>
      </c>
      <c r="V7">
        <f>SUMIFS(Table1[Total Revenue],Table1[Status],"Completed",Table1[Region],U7)</f>
        <v>184807.69999999998</v>
      </c>
    </row>
    <row r="8" spans="1:22" x14ac:dyDescent="0.3">
      <c r="A8">
        <v>4007</v>
      </c>
      <c r="B8" s="2">
        <v>45753</v>
      </c>
      <c r="C8" t="s">
        <v>58</v>
      </c>
      <c r="D8" t="s">
        <v>44</v>
      </c>
      <c r="E8" t="s">
        <v>139</v>
      </c>
      <c r="F8" t="s">
        <v>59</v>
      </c>
      <c r="G8" t="s">
        <v>38</v>
      </c>
      <c r="H8">
        <v>12</v>
      </c>
      <c r="I8">
        <v>3600</v>
      </c>
      <c r="J8">
        <v>0.05</v>
      </c>
      <c r="K8">
        <v>10</v>
      </c>
      <c r="L8" t="s">
        <v>39</v>
      </c>
      <c r="M8" t="s">
        <v>40</v>
      </c>
      <c r="N8">
        <f>(Table1_3[[#This Row],[UnitPrice]]-(Table1_3[[#This Row],[UnitPrice]]*Table1_3[[#This Row],[DiscountPct]]))*Table1_3[[#This Row],[Units]]*(1+Table1_3[[#This Row],[TaxRatePct]]/100)</f>
        <v>45144.000000000007</v>
      </c>
      <c r="U8" t="str">
        <v>South</v>
      </c>
      <c r="V8">
        <f>SUMIFS(Table1[Total Revenue],Table1[Status],"Completed",Table1[Region],U8)</f>
        <v>239129.36</v>
      </c>
    </row>
    <row r="9" spans="1:22" x14ac:dyDescent="0.3">
      <c r="A9">
        <v>4008</v>
      </c>
      <c r="B9" s="2">
        <v>45754</v>
      </c>
      <c r="C9" t="s">
        <v>48</v>
      </c>
      <c r="D9" t="s">
        <v>74</v>
      </c>
      <c r="E9" t="s">
        <v>113</v>
      </c>
      <c r="F9" t="s">
        <v>128</v>
      </c>
      <c r="G9" t="s">
        <v>38</v>
      </c>
      <c r="H9">
        <v>10</v>
      </c>
      <c r="I9">
        <v>63000</v>
      </c>
      <c r="J9">
        <v>0.08</v>
      </c>
      <c r="K9">
        <v>18</v>
      </c>
      <c r="L9" t="s">
        <v>39</v>
      </c>
      <c r="M9" t="s">
        <v>62</v>
      </c>
      <c r="N9">
        <f>(Table1_3[[#This Row],[UnitPrice]]-(Table1_3[[#This Row],[UnitPrice]]*Table1_3[[#This Row],[DiscountPct]]))*Table1_3[[#This Row],[Units]]*(1+Table1_3[[#This Row],[TaxRatePct]]/100)</f>
        <v>683928</v>
      </c>
      <c r="R9" s="10" t="s">
        <v>131</v>
      </c>
      <c r="U9" t="str">
        <v>West</v>
      </c>
      <c r="V9">
        <f>SUMIFS(Table1[Total Revenue],Table1[Status],"Completed",Table1[Region],U9)</f>
        <v>74498</v>
      </c>
    </row>
    <row r="10" spans="1:22" x14ac:dyDescent="0.3">
      <c r="A10">
        <v>4009</v>
      </c>
      <c r="B10" s="2">
        <v>45755</v>
      </c>
      <c r="C10" t="s">
        <v>52</v>
      </c>
      <c r="D10" t="s">
        <v>63</v>
      </c>
      <c r="E10" t="s">
        <v>157</v>
      </c>
      <c r="F10" t="s">
        <v>64</v>
      </c>
      <c r="G10" t="s">
        <v>46</v>
      </c>
      <c r="H10">
        <v>11</v>
      </c>
      <c r="I10">
        <v>19800</v>
      </c>
      <c r="J10">
        <v>0.12</v>
      </c>
      <c r="K10">
        <v>18</v>
      </c>
      <c r="L10" t="s">
        <v>47</v>
      </c>
      <c r="M10" t="s">
        <v>40</v>
      </c>
      <c r="N10">
        <f>(Table1_3[[#This Row],[UnitPrice]]-(Table1_3[[#This Row],[UnitPrice]]*Table1_3[[#This Row],[DiscountPct]]))*Table1_3[[#This Row],[Units]]*(1+Table1_3[[#This Row],[TaxRatePct]]/100)</f>
        <v>226163.52</v>
      </c>
      <c r="R10">
        <f>SUMIF(Table1[Status],"Completed",Table1[Total Revenue])</f>
        <v>694810.66</v>
      </c>
      <c r="U10" t="str">
        <v>East</v>
      </c>
      <c r="V10">
        <f>SUMIFS(Table1[Total Revenue],Table1[Status],"Completed",Table1[Region],U10)</f>
        <v>196375.59999999998</v>
      </c>
    </row>
    <row r="11" spans="1:22" x14ac:dyDescent="0.3">
      <c r="A11">
        <v>4010</v>
      </c>
      <c r="B11" s="2">
        <v>45756</v>
      </c>
      <c r="C11" t="s">
        <v>41</v>
      </c>
      <c r="D11" t="s">
        <v>42</v>
      </c>
      <c r="E11" t="s">
        <v>142</v>
      </c>
      <c r="F11" t="s">
        <v>129</v>
      </c>
      <c r="G11" t="s">
        <v>38</v>
      </c>
      <c r="H11">
        <v>2</v>
      </c>
      <c r="I11">
        <v>24000</v>
      </c>
      <c r="J11">
        <v>0.05</v>
      </c>
      <c r="K11">
        <v>18</v>
      </c>
      <c r="L11" t="s">
        <v>39</v>
      </c>
      <c r="M11" t="s">
        <v>40</v>
      </c>
      <c r="N11">
        <f>(Table1_3[[#This Row],[UnitPrice]]-(Table1_3[[#This Row],[UnitPrice]]*Table1_3[[#This Row],[DiscountPct]]))*Table1_3[[#This Row],[Units]]*(1+Table1_3[[#This Row],[TaxRatePct]]/100)</f>
        <v>53808</v>
      </c>
    </row>
    <row r="12" spans="1:22" x14ac:dyDescent="0.3">
      <c r="A12">
        <v>4011</v>
      </c>
      <c r="B12" s="2">
        <v>45757</v>
      </c>
      <c r="C12" t="s">
        <v>58</v>
      </c>
      <c r="D12" t="s">
        <v>66</v>
      </c>
      <c r="E12" t="s">
        <v>143</v>
      </c>
      <c r="F12" t="s">
        <v>67</v>
      </c>
      <c r="G12" t="s">
        <v>38</v>
      </c>
      <c r="H12">
        <v>1</v>
      </c>
      <c r="I12">
        <v>13200</v>
      </c>
      <c r="J12">
        <v>0.06</v>
      </c>
      <c r="K12">
        <v>10</v>
      </c>
      <c r="L12" t="s">
        <v>47</v>
      </c>
      <c r="M12" t="s">
        <v>40</v>
      </c>
      <c r="N12">
        <f>(Table1_3[[#This Row],[UnitPrice]]-(Table1_3[[#This Row],[UnitPrice]]*Table1_3[[#This Row],[DiscountPct]]))*Table1_3[[#This Row],[Units]]*(1+Table1_3[[#This Row],[TaxRatePct]]/100)</f>
        <v>13648.800000000001</v>
      </c>
    </row>
    <row r="13" spans="1:22" x14ac:dyDescent="0.3">
      <c r="A13">
        <v>4012</v>
      </c>
      <c r="B13" s="2">
        <v>45758</v>
      </c>
      <c r="C13" t="s">
        <v>48</v>
      </c>
      <c r="D13" t="s">
        <v>79</v>
      </c>
      <c r="E13" t="s">
        <v>117</v>
      </c>
      <c r="F13" t="s">
        <v>68</v>
      </c>
      <c r="G13" t="s">
        <v>46</v>
      </c>
      <c r="H13">
        <v>2</v>
      </c>
      <c r="I13">
        <v>9800</v>
      </c>
      <c r="J13">
        <v>0</v>
      </c>
      <c r="K13">
        <v>18</v>
      </c>
      <c r="L13" t="s">
        <v>57</v>
      </c>
      <c r="M13" t="s">
        <v>40</v>
      </c>
      <c r="N13">
        <f>(Table1_3[[#This Row],[UnitPrice]]-(Table1_3[[#This Row],[UnitPrice]]*Table1_3[[#This Row],[DiscountPct]]))*Table1_3[[#This Row],[Units]]*(1+Table1_3[[#This Row],[TaxRatePct]]/100)</f>
        <v>23128</v>
      </c>
    </row>
    <row r="14" spans="1:22" x14ac:dyDescent="0.3">
      <c r="A14">
        <v>4013</v>
      </c>
      <c r="B14" s="2">
        <v>45759</v>
      </c>
      <c r="C14" t="s">
        <v>52</v>
      </c>
      <c r="D14" t="s">
        <v>36</v>
      </c>
      <c r="E14" t="s">
        <v>148</v>
      </c>
      <c r="F14" t="s">
        <v>69</v>
      </c>
      <c r="G14" t="s">
        <v>70</v>
      </c>
      <c r="H14">
        <v>6</v>
      </c>
      <c r="I14">
        <v>1150</v>
      </c>
      <c r="J14">
        <v>0.04</v>
      </c>
      <c r="K14">
        <v>18</v>
      </c>
      <c r="L14" t="s">
        <v>39</v>
      </c>
      <c r="M14" t="s">
        <v>40</v>
      </c>
      <c r="N14">
        <f>(Table1_3[[#This Row],[UnitPrice]]-(Table1_3[[#This Row],[UnitPrice]]*Table1_3[[#This Row],[DiscountPct]]))*Table1_3[[#This Row],[Units]]*(1+Table1_3[[#This Row],[TaxRatePct]]/100)</f>
        <v>7816.32</v>
      </c>
    </row>
    <row r="15" spans="1:22" x14ac:dyDescent="0.3">
      <c r="A15">
        <v>4014</v>
      </c>
      <c r="B15" s="2">
        <v>45760</v>
      </c>
      <c r="C15" t="s">
        <v>41</v>
      </c>
      <c r="D15" t="s">
        <v>71</v>
      </c>
      <c r="E15" t="s">
        <v>118</v>
      </c>
      <c r="F15" t="s">
        <v>72</v>
      </c>
      <c r="G15" t="s">
        <v>38</v>
      </c>
      <c r="H15">
        <v>3</v>
      </c>
      <c r="I15">
        <v>2550</v>
      </c>
      <c r="J15">
        <v>0.05</v>
      </c>
      <c r="K15">
        <v>18</v>
      </c>
      <c r="L15" t="s">
        <v>39</v>
      </c>
      <c r="M15" t="s">
        <v>40</v>
      </c>
      <c r="N15">
        <f>(Table1_3[[#This Row],[UnitPrice]]-(Table1_3[[#This Row],[UnitPrice]]*Table1_3[[#This Row],[DiscountPct]]))*Table1_3[[#This Row],[Units]]*(1+Table1_3[[#This Row],[TaxRatePct]]/100)</f>
        <v>8575.65</v>
      </c>
    </row>
    <row r="16" spans="1:22" x14ac:dyDescent="0.3">
      <c r="A16">
        <v>4015</v>
      </c>
      <c r="B16" s="2">
        <v>45761</v>
      </c>
      <c r="C16" t="s">
        <v>58</v>
      </c>
      <c r="D16" t="s">
        <v>73</v>
      </c>
      <c r="E16" t="s">
        <v>119</v>
      </c>
      <c r="F16" t="s">
        <v>50</v>
      </c>
      <c r="G16" t="s">
        <v>46</v>
      </c>
      <c r="H16">
        <v>4</v>
      </c>
      <c r="I16">
        <v>1650</v>
      </c>
      <c r="J16">
        <v>0.05</v>
      </c>
      <c r="K16">
        <v>10</v>
      </c>
      <c r="L16" t="s">
        <v>47</v>
      </c>
      <c r="M16" t="s">
        <v>40</v>
      </c>
      <c r="N16">
        <f>(Table1_3[[#This Row],[UnitPrice]]-(Table1_3[[#This Row],[UnitPrice]]*Table1_3[[#This Row],[DiscountPct]]))*Table1_3[[#This Row],[Units]]*(1+Table1_3[[#This Row],[TaxRatePct]]/100)</f>
        <v>6897.0000000000009</v>
      </c>
    </row>
    <row r="17" spans="1:14" x14ac:dyDescent="0.3">
      <c r="A17">
        <v>4016</v>
      </c>
      <c r="B17" s="2">
        <v>45762</v>
      </c>
      <c r="C17" t="s">
        <v>48</v>
      </c>
      <c r="D17" t="s">
        <v>60</v>
      </c>
      <c r="E17" t="s">
        <v>120</v>
      </c>
      <c r="F17" t="s">
        <v>55</v>
      </c>
      <c r="G17" t="s">
        <v>56</v>
      </c>
      <c r="H17">
        <v>28</v>
      </c>
      <c r="I17">
        <v>80</v>
      </c>
      <c r="J17">
        <v>0</v>
      </c>
      <c r="K17">
        <v>18</v>
      </c>
      <c r="L17" t="s">
        <v>57</v>
      </c>
      <c r="M17" t="s">
        <v>40</v>
      </c>
      <c r="N17">
        <f>(Table1_3[[#This Row],[UnitPrice]]-(Table1_3[[#This Row],[UnitPrice]]*Table1_3[[#This Row],[DiscountPct]]))*Table1_3[[#This Row],[Units]]*(1+Table1_3[[#This Row],[TaxRatePct]]/100)</f>
        <v>2643.2</v>
      </c>
    </row>
    <row r="18" spans="1:14" x14ac:dyDescent="0.3">
      <c r="A18">
        <v>4017</v>
      </c>
      <c r="B18" s="2">
        <v>45763</v>
      </c>
      <c r="C18" t="s">
        <v>52</v>
      </c>
      <c r="D18" t="s">
        <v>76</v>
      </c>
      <c r="E18" t="s">
        <v>121</v>
      </c>
      <c r="F18" t="s">
        <v>127</v>
      </c>
      <c r="G18" t="s">
        <v>38</v>
      </c>
      <c r="H18">
        <v>1</v>
      </c>
      <c r="I18">
        <v>15200</v>
      </c>
      <c r="J18">
        <v>0.09</v>
      </c>
      <c r="K18">
        <v>18</v>
      </c>
      <c r="L18" t="s">
        <v>39</v>
      </c>
      <c r="M18" t="s">
        <v>62</v>
      </c>
      <c r="N18">
        <f>(Table1_3[[#This Row],[UnitPrice]]-(Table1_3[[#This Row],[UnitPrice]]*Table1_3[[#This Row],[DiscountPct]]))*Table1_3[[#This Row],[Units]]*(1+Table1_3[[#This Row],[TaxRatePct]]/100)</f>
        <v>16321.759999999998</v>
      </c>
    </row>
    <row r="19" spans="1:14" x14ac:dyDescent="0.3">
      <c r="A19">
        <v>4018</v>
      </c>
      <c r="B19" s="2">
        <v>45764</v>
      </c>
      <c r="C19" t="s">
        <v>41</v>
      </c>
      <c r="D19" t="s">
        <v>42</v>
      </c>
      <c r="E19" t="s">
        <v>122</v>
      </c>
      <c r="F19" t="s">
        <v>45</v>
      </c>
      <c r="G19" t="s">
        <v>46</v>
      </c>
      <c r="H19">
        <v>22</v>
      </c>
      <c r="I19">
        <v>9000</v>
      </c>
      <c r="J19">
        <v>0.05</v>
      </c>
      <c r="K19">
        <v>18</v>
      </c>
      <c r="L19" t="s">
        <v>47</v>
      </c>
      <c r="M19" t="s">
        <v>40</v>
      </c>
      <c r="N19">
        <f>(Table1_3[[#This Row],[UnitPrice]]-(Table1_3[[#This Row],[UnitPrice]]*Table1_3[[#This Row],[DiscountPct]]))*Table1_3[[#This Row],[Units]]*(1+Table1_3[[#This Row],[TaxRatePct]]/100)</f>
        <v>221958</v>
      </c>
    </row>
    <row r="20" spans="1:14" x14ac:dyDescent="0.3">
      <c r="A20">
        <v>4019</v>
      </c>
      <c r="B20" s="2">
        <v>45765</v>
      </c>
      <c r="C20" t="s">
        <v>58</v>
      </c>
      <c r="D20" t="s">
        <v>44</v>
      </c>
      <c r="E20" t="s">
        <v>123</v>
      </c>
      <c r="F20" t="s">
        <v>43</v>
      </c>
      <c r="G20" t="s">
        <v>38</v>
      </c>
      <c r="H20">
        <v>10</v>
      </c>
      <c r="I20">
        <v>710</v>
      </c>
      <c r="J20">
        <v>0.02</v>
      </c>
      <c r="K20">
        <v>10</v>
      </c>
      <c r="L20" t="s">
        <v>39</v>
      </c>
      <c r="M20" t="s">
        <v>40</v>
      </c>
      <c r="N20">
        <f>(Table1_3[[#This Row],[UnitPrice]]-(Table1_3[[#This Row],[UnitPrice]]*Table1_3[[#This Row],[DiscountPct]]))*Table1_3[[#This Row],[Units]]*(1+Table1_3[[#This Row],[TaxRatePct]]/100)</f>
        <v>7653.8</v>
      </c>
    </row>
    <row r="21" spans="1:14" x14ac:dyDescent="0.3">
      <c r="A21">
        <v>4020</v>
      </c>
      <c r="B21" s="2">
        <v>45766</v>
      </c>
      <c r="C21" t="s">
        <v>48</v>
      </c>
      <c r="D21" t="s">
        <v>49</v>
      </c>
      <c r="E21" t="s">
        <v>124</v>
      </c>
      <c r="F21" t="s">
        <v>126</v>
      </c>
      <c r="G21" t="s">
        <v>38</v>
      </c>
      <c r="H21">
        <v>2</v>
      </c>
      <c r="I21">
        <v>53000</v>
      </c>
      <c r="J21">
        <v>0.06</v>
      </c>
      <c r="K21">
        <v>18</v>
      </c>
      <c r="L21" t="s">
        <v>39</v>
      </c>
      <c r="M21" t="s">
        <v>40</v>
      </c>
      <c r="N21">
        <f>(Table1_3[[#This Row],[UnitPrice]]-(Table1_3[[#This Row],[UnitPrice]]*Table1_3[[#This Row],[DiscountPct]]))*Table1_3[[#This Row],[Units]]*(1+Table1_3[[#This Row],[TaxRatePct]]/100)</f>
        <v>117575.2</v>
      </c>
    </row>
    <row r="22" spans="1:14" x14ac:dyDescent="0.3">
      <c r="A22">
        <v>4021</v>
      </c>
      <c r="B22" s="2">
        <v>45767</v>
      </c>
      <c r="C22" t="s">
        <v>52</v>
      </c>
      <c r="D22" t="s">
        <v>36</v>
      </c>
      <c r="E22" t="s">
        <v>110</v>
      </c>
      <c r="F22" t="s">
        <v>64</v>
      </c>
      <c r="G22" t="s">
        <v>46</v>
      </c>
      <c r="H22">
        <v>1</v>
      </c>
      <c r="I22">
        <v>20500</v>
      </c>
      <c r="J22">
        <v>0.15</v>
      </c>
      <c r="K22">
        <v>18</v>
      </c>
      <c r="L22" t="s">
        <v>47</v>
      </c>
      <c r="M22" t="s">
        <v>40</v>
      </c>
      <c r="N22">
        <f>(Table1_3[[#This Row],[UnitPrice]]-(Table1_3[[#This Row],[UnitPrice]]*Table1_3[[#This Row],[DiscountPct]]))*Table1_3[[#This Row],[Units]]*(1+Table1_3[[#This Row],[TaxRatePct]]/100)</f>
        <v>20561.5</v>
      </c>
    </row>
    <row r="23" spans="1:14" x14ac:dyDescent="0.3">
      <c r="A23">
        <v>4022</v>
      </c>
      <c r="B23" s="2">
        <v>45768</v>
      </c>
      <c r="C23" t="s">
        <v>41</v>
      </c>
      <c r="D23" t="s">
        <v>54</v>
      </c>
      <c r="E23" t="s">
        <v>125</v>
      </c>
      <c r="F23" t="s">
        <v>128</v>
      </c>
      <c r="G23" t="s">
        <v>38</v>
      </c>
      <c r="H23">
        <v>3</v>
      </c>
      <c r="I23">
        <v>66000</v>
      </c>
      <c r="J23">
        <v>0.09</v>
      </c>
      <c r="K23">
        <v>18</v>
      </c>
      <c r="L23" t="s">
        <v>39</v>
      </c>
      <c r="M23" t="s">
        <v>40</v>
      </c>
      <c r="N23">
        <f>(Table1_3[[#This Row],[UnitPrice]]-(Table1_3[[#This Row],[UnitPrice]]*Table1_3[[#This Row],[DiscountPct]]))*Table1_3[[#This Row],[Units]]*(1+Table1_3[[#This Row],[TaxRatePct]]/100)</f>
        <v>212612.4</v>
      </c>
    </row>
    <row r="24" spans="1:14" x14ac:dyDescent="0.3">
      <c r="A24">
        <v>4023</v>
      </c>
      <c r="B24" s="2">
        <v>45769</v>
      </c>
      <c r="C24" t="s">
        <v>58</v>
      </c>
      <c r="D24" t="s">
        <v>66</v>
      </c>
      <c r="E24" t="s">
        <v>116</v>
      </c>
      <c r="F24" t="s">
        <v>78</v>
      </c>
      <c r="G24" t="s">
        <v>38</v>
      </c>
      <c r="H24">
        <v>5</v>
      </c>
      <c r="I24">
        <v>1850</v>
      </c>
      <c r="J24">
        <v>0</v>
      </c>
      <c r="K24">
        <v>18</v>
      </c>
      <c r="L24" t="s">
        <v>39</v>
      </c>
      <c r="M24" t="s">
        <v>40</v>
      </c>
      <c r="N24">
        <f>(Table1_3[[#This Row],[UnitPrice]]-(Table1_3[[#This Row],[UnitPrice]]*Table1_3[[#This Row],[DiscountPct]]))*Table1_3[[#This Row],[Units]]*(1+Table1_3[[#This Row],[TaxRatePct]]/100)</f>
        <v>10915</v>
      </c>
    </row>
    <row r="25" spans="1:14" x14ac:dyDescent="0.3">
      <c r="A25">
        <v>4024</v>
      </c>
      <c r="B25" s="2">
        <v>45770</v>
      </c>
      <c r="C25" t="s">
        <v>48</v>
      </c>
      <c r="D25" t="s">
        <v>79</v>
      </c>
      <c r="E25" t="s">
        <v>144</v>
      </c>
      <c r="F25" t="s">
        <v>80</v>
      </c>
      <c r="G25" t="s">
        <v>56</v>
      </c>
      <c r="H25">
        <v>70</v>
      </c>
      <c r="I25">
        <v>11</v>
      </c>
      <c r="J25">
        <v>0</v>
      </c>
      <c r="K25">
        <v>18</v>
      </c>
      <c r="L25" t="s">
        <v>57</v>
      </c>
      <c r="M25" t="s">
        <v>40</v>
      </c>
      <c r="N25">
        <f>(Table1_3[[#This Row],[UnitPrice]]-(Table1_3[[#This Row],[UnitPrice]]*Table1_3[[#This Row],[DiscountPct]]))*Table1_3[[#This Row],[Units]]*(1+Table1_3[[#This Row],[TaxRatePct]]/100)</f>
        <v>908.59999999999991</v>
      </c>
    </row>
    <row r="26" spans="1:14" x14ac:dyDescent="0.3">
      <c r="A26">
        <v>4025</v>
      </c>
      <c r="B26" s="2">
        <v>45771</v>
      </c>
      <c r="C26" t="s">
        <v>52</v>
      </c>
      <c r="D26" t="s">
        <v>63</v>
      </c>
      <c r="E26" t="s">
        <v>114</v>
      </c>
      <c r="F26" t="s">
        <v>82</v>
      </c>
      <c r="G26" t="s">
        <v>38</v>
      </c>
      <c r="H26">
        <v>5</v>
      </c>
      <c r="I26">
        <v>3200</v>
      </c>
      <c r="J26">
        <v>0.05</v>
      </c>
      <c r="K26">
        <v>10</v>
      </c>
      <c r="L26" t="s">
        <v>39</v>
      </c>
      <c r="M26" t="s">
        <v>40</v>
      </c>
      <c r="N26">
        <f>(Table1_3[[#This Row],[UnitPrice]]-(Table1_3[[#This Row],[UnitPrice]]*Table1_3[[#This Row],[DiscountPct]]))*Table1_3[[#This Row],[Units]]*(1+Table1_3[[#This Row],[TaxRatePct]]/100)</f>
        <v>16720</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603C-8301-4E18-B177-0AEF33B46E52}">
  <sheetPr codeName="Sheet10"/>
  <dimension ref="A1:V26"/>
  <sheetViews>
    <sheetView topLeftCell="L1" workbookViewId="0">
      <selection activeCell="R10" sqref="R10"/>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4001</v>
      </c>
      <c r="B2" s="2">
        <v>45749</v>
      </c>
      <c r="C2" t="s">
        <v>52</v>
      </c>
      <c r="D2" t="s">
        <v>36</v>
      </c>
      <c r="E2" t="s">
        <v>154</v>
      </c>
      <c r="F2" t="s">
        <v>126</v>
      </c>
      <c r="G2" t="s">
        <v>38</v>
      </c>
      <c r="H2">
        <v>2</v>
      </c>
      <c r="I2">
        <v>56000</v>
      </c>
      <c r="J2">
        <v>0.05</v>
      </c>
      <c r="K2">
        <v>18</v>
      </c>
      <c r="L2" t="s">
        <v>39</v>
      </c>
      <c r="M2" t="s">
        <v>40</v>
      </c>
      <c r="N2">
        <f>(West[[#This Row],[UnitPrice]]-(West[[#This Row],[UnitPrice]]*West[[#This Row],[DiscountPct]]))*West[[#This Row],[Units]]*(1+West[[#This Row],[TaxRatePct]]/100)</f>
        <v>125552</v>
      </c>
    </row>
    <row r="3" spans="1:22" x14ac:dyDescent="0.3">
      <c r="A3">
        <v>4002</v>
      </c>
      <c r="B3" s="2">
        <v>45749</v>
      </c>
      <c r="C3" t="s">
        <v>41</v>
      </c>
      <c r="D3" t="s">
        <v>42</v>
      </c>
      <c r="E3" t="s">
        <v>134</v>
      </c>
      <c r="F3" t="s">
        <v>43</v>
      </c>
      <c r="G3" t="s">
        <v>38</v>
      </c>
      <c r="H3">
        <v>7</v>
      </c>
      <c r="I3">
        <v>740</v>
      </c>
      <c r="J3">
        <v>0</v>
      </c>
      <c r="K3">
        <v>18</v>
      </c>
      <c r="L3" t="s">
        <v>39</v>
      </c>
      <c r="M3" t="s">
        <v>40</v>
      </c>
      <c r="N3">
        <f>(West[[#This Row],[UnitPrice]]-(West[[#This Row],[UnitPrice]]*West[[#This Row],[DiscountPct]]))*West[[#This Row],[Units]]*(1+West[[#This Row],[TaxRatePct]]/100)</f>
        <v>6112.4</v>
      </c>
    </row>
    <row r="4" spans="1:22" x14ac:dyDescent="0.3">
      <c r="A4">
        <v>4003</v>
      </c>
      <c r="B4" s="2">
        <v>45749</v>
      </c>
      <c r="C4" t="s">
        <v>58</v>
      </c>
      <c r="D4" t="s">
        <v>44</v>
      </c>
      <c r="E4" t="s">
        <v>155</v>
      </c>
      <c r="F4" t="s">
        <v>45</v>
      </c>
      <c r="G4" t="s">
        <v>46</v>
      </c>
      <c r="H4">
        <v>3</v>
      </c>
      <c r="I4">
        <v>9100</v>
      </c>
      <c r="J4">
        <v>0.1</v>
      </c>
      <c r="K4">
        <v>10</v>
      </c>
      <c r="L4" t="s">
        <v>47</v>
      </c>
      <c r="M4" t="s">
        <v>40</v>
      </c>
      <c r="N4">
        <f>(West[[#This Row],[UnitPrice]]-(West[[#This Row],[UnitPrice]]*West[[#This Row],[DiscountPct]]))*West[[#This Row],[Units]]*(1+West[[#This Row],[TaxRatePct]]/100)</f>
        <v>27027.000000000004</v>
      </c>
    </row>
    <row r="5" spans="1:22" x14ac:dyDescent="0.3">
      <c r="A5">
        <v>4004</v>
      </c>
      <c r="B5" s="2">
        <v>45750</v>
      </c>
      <c r="C5" t="s">
        <v>48</v>
      </c>
      <c r="D5" t="s">
        <v>49</v>
      </c>
      <c r="E5" t="s">
        <v>136</v>
      </c>
      <c r="F5" t="s">
        <v>50</v>
      </c>
      <c r="G5" t="s">
        <v>46</v>
      </c>
      <c r="H5">
        <v>6</v>
      </c>
      <c r="I5">
        <v>1650</v>
      </c>
      <c r="J5">
        <v>0.08</v>
      </c>
      <c r="K5">
        <v>18</v>
      </c>
      <c r="L5" t="s">
        <v>39</v>
      </c>
      <c r="M5" t="s">
        <v>51</v>
      </c>
      <c r="N5">
        <f>(West[[#This Row],[UnitPrice]]-(West[[#This Row],[UnitPrice]]*West[[#This Row],[DiscountPct]]))*West[[#This Row],[Units]]*(1+West[[#This Row],[TaxRatePct]]/100)</f>
        <v>10747.439999999999</v>
      </c>
    </row>
    <row r="6" spans="1:22" x14ac:dyDescent="0.3">
      <c r="A6">
        <v>4005</v>
      </c>
      <c r="B6" s="2">
        <v>45751</v>
      </c>
      <c r="C6" t="s">
        <v>52</v>
      </c>
      <c r="D6" t="s">
        <v>36</v>
      </c>
      <c r="E6" t="s">
        <v>156</v>
      </c>
      <c r="F6" t="s">
        <v>127</v>
      </c>
      <c r="G6" t="s">
        <v>38</v>
      </c>
      <c r="H6">
        <v>2</v>
      </c>
      <c r="I6">
        <v>15800</v>
      </c>
      <c r="J6">
        <v>0.12</v>
      </c>
      <c r="K6">
        <v>18</v>
      </c>
      <c r="L6" t="s">
        <v>39</v>
      </c>
      <c r="M6" t="s">
        <v>40</v>
      </c>
      <c r="N6">
        <f>(West[[#This Row],[UnitPrice]]-(West[[#This Row],[UnitPrice]]*West[[#This Row],[DiscountPct]]))*West[[#This Row],[Units]]*(1+West[[#This Row],[TaxRatePct]]/100)</f>
        <v>32813.439999999995</v>
      </c>
      <c r="U6" s="10" t="s">
        <v>26</v>
      </c>
      <c r="V6" s="10" t="s">
        <v>132</v>
      </c>
    </row>
    <row r="7" spans="1:22" x14ac:dyDescent="0.3">
      <c r="A7">
        <v>4006</v>
      </c>
      <c r="B7" s="2">
        <v>45752</v>
      </c>
      <c r="C7" t="s">
        <v>41</v>
      </c>
      <c r="D7" t="s">
        <v>54</v>
      </c>
      <c r="E7" t="s">
        <v>138</v>
      </c>
      <c r="F7" t="s">
        <v>55</v>
      </c>
      <c r="G7" t="s">
        <v>56</v>
      </c>
      <c r="H7">
        <v>30</v>
      </c>
      <c r="I7">
        <v>72</v>
      </c>
      <c r="J7">
        <v>0</v>
      </c>
      <c r="K7">
        <v>18</v>
      </c>
      <c r="L7" t="s">
        <v>57</v>
      </c>
      <c r="M7" t="s">
        <v>40</v>
      </c>
      <c r="N7">
        <f>(West[[#This Row],[UnitPrice]]-(West[[#This Row],[UnitPrice]]*West[[#This Row],[DiscountPct]]))*West[[#This Row],[Units]]*(1+West[[#This Row],[TaxRatePct]]/100)</f>
        <v>2548.7999999999997</v>
      </c>
      <c r="U7" t="str" cm="1">
        <f t="array" ref="U7:U10">_xlfn.UNIQUE(West[Region])</f>
        <v>North</v>
      </c>
      <c r="V7">
        <f>SUMIFS(West[Total Revenue],West[Status],"Completed",West[Region],U7)</f>
        <v>429626.77999999997</v>
      </c>
    </row>
    <row r="8" spans="1:22" x14ac:dyDescent="0.3">
      <c r="A8">
        <v>4007</v>
      </c>
      <c r="B8" s="2">
        <v>45753</v>
      </c>
      <c r="C8" t="s">
        <v>58</v>
      </c>
      <c r="D8" t="s">
        <v>44</v>
      </c>
      <c r="E8" t="s">
        <v>139</v>
      </c>
      <c r="F8" t="s">
        <v>59</v>
      </c>
      <c r="G8" t="s">
        <v>38</v>
      </c>
      <c r="H8">
        <v>12</v>
      </c>
      <c r="I8">
        <v>3600</v>
      </c>
      <c r="J8">
        <v>0.05</v>
      </c>
      <c r="K8">
        <v>10</v>
      </c>
      <c r="L8" t="s">
        <v>39</v>
      </c>
      <c r="M8" t="s">
        <v>40</v>
      </c>
      <c r="N8">
        <f>(West[[#This Row],[UnitPrice]]-(West[[#This Row],[UnitPrice]]*West[[#This Row],[DiscountPct]]))*West[[#This Row],[Units]]*(1+West[[#This Row],[TaxRatePct]]/100)</f>
        <v>45144.000000000007</v>
      </c>
      <c r="U8" t="str">
        <v>South</v>
      </c>
      <c r="V8">
        <f>SUMIFS(West[Total Revenue],West[Status],"Completed",West[Region],U8)</f>
        <v>505615.25</v>
      </c>
    </row>
    <row r="9" spans="1:22" x14ac:dyDescent="0.3">
      <c r="A9">
        <v>4008</v>
      </c>
      <c r="B9" s="2">
        <v>45754</v>
      </c>
      <c r="C9" t="s">
        <v>48</v>
      </c>
      <c r="D9" t="s">
        <v>74</v>
      </c>
      <c r="E9" t="s">
        <v>113</v>
      </c>
      <c r="F9" t="s">
        <v>128</v>
      </c>
      <c r="G9" t="s">
        <v>38</v>
      </c>
      <c r="H9">
        <v>10</v>
      </c>
      <c r="I9">
        <v>63000</v>
      </c>
      <c r="J9">
        <v>0.08</v>
      </c>
      <c r="K9">
        <v>18</v>
      </c>
      <c r="L9" t="s">
        <v>39</v>
      </c>
      <c r="M9" t="s">
        <v>62</v>
      </c>
      <c r="N9">
        <f>(West[[#This Row],[UnitPrice]]-(West[[#This Row],[UnitPrice]]*West[[#This Row],[DiscountPct]]))*West[[#This Row],[Units]]*(1+West[[#This Row],[TaxRatePct]]/100)</f>
        <v>683928</v>
      </c>
      <c r="R9" s="10" t="s">
        <v>131</v>
      </c>
      <c r="U9" t="str">
        <v>West</v>
      </c>
      <c r="V9">
        <f>SUMIFS(West[Total Revenue],West[Status],"Completed",West[Region],U9)</f>
        <v>111285.60000000002</v>
      </c>
    </row>
    <row r="10" spans="1:22" x14ac:dyDescent="0.3">
      <c r="A10">
        <v>4009</v>
      </c>
      <c r="B10" s="2">
        <v>45755</v>
      </c>
      <c r="C10" t="s">
        <v>52</v>
      </c>
      <c r="D10" t="s">
        <v>63</v>
      </c>
      <c r="E10" t="s">
        <v>157</v>
      </c>
      <c r="F10" t="s">
        <v>64</v>
      </c>
      <c r="G10" t="s">
        <v>46</v>
      </c>
      <c r="H10">
        <v>11</v>
      </c>
      <c r="I10">
        <v>19800</v>
      </c>
      <c r="J10">
        <v>0.12</v>
      </c>
      <c r="K10">
        <v>18</v>
      </c>
      <c r="L10" t="s">
        <v>47</v>
      </c>
      <c r="M10" t="s">
        <v>40</v>
      </c>
      <c r="N10">
        <f>(West[[#This Row],[UnitPrice]]-(West[[#This Row],[UnitPrice]]*West[[#This Row],[DiscountPct]]))*West[[#This Row],[Units]]*(1+West[[#This Row],[TaxRatePct]]/100)</f>
        <v>226163.52</v>
      </c>
      <c r="R10">
        <f>SUMIF(West[Status],"Completed",West[Total Revenue])</f>
        <v>1190782.6299999999</v>
      </c>
      <c r="U10" t="str">
        <v>East</v>
      </c>
      <c r="V10">
        <f>SUMIFS(West[Total Revenue],West[Status],"Completed",West[Region],U10)</f>
        <v>144255</v>
      </c>
    </row>
    <row r="11" spans="1:22" x14ac:dyDescent="0.3">
      <c r="A11">
        <v>4010</v>
      </c>
      <c r="B11" s="2">
        <v>45756</v>
      </c>
      <c r="C11" t="s">
        <v>41</v>
      </c>
      <c r="D11" t="s">
        <v>42</v>
      </c>
      <c r="E11" t="s">
        <v>142</v>
      </c>
      <c r="F11" t="s">
        <v>129</v>
      </c>
      <c r="G11" t="s">
        <v>38</v>
      </c>
      <c r="H11">
        <v>2</v>
      </c>
      <c r="I11">
        <v>24000</v>
      </c>
      <c r="J11">
        <v>0.05</v>
      </c>
      <c r="K11">
        <v>18</v>
      </c>
      <c r="L11" t="s">
        <v>39</v>
      </c>
      <c r="M11" t="s">
        <v>40</v>
      </c>
      <c r="N11">
        <f>(West[[#This Row],[UnitPrice]]-(West[[#This Row],[UnitPrice]]*West[[#This Row],[DiscountPct]]))*West[[#This Row],[Units]]*(1+West[[#This Row],[TaxRatePct]]/100)</f>
        <v>53808</v>
      </c>
    </row>
    <row r="12" spans="1:22" x14ac:dyDescent="0.3">
      <c r="A12">
        <v>4011</v>
      </c>
      <c r="B12" s="2">
        <v>45757</v>
      </c>
      <c r="C12" t="s">
        <v>58</v>
      </c>
      <c r="D12" t="s">
        <v>66</v>
      </c>
      <c r="E12" t="s">
        <v>143</v>
      </c>
      <c r="F12" t="s">
        <v>67</v>
      </c>
      <c r="G12" t="s">
        <v>38</v>
      </c>
      <c r="H12">
        <v>1</v>
      </c>
      <c r="I12">
        <v>13200</v>
      </c>
      <c r="J12">
        <v>0.06</v>
      </c>
      <c r="K12">
        <v>10</v>
      </c>
      <c r="L12" t="s">
        <v>47</v>
      </c>
      <c r="M12" t="s">
        <v>40</v>
      </c>
      <c r="N12">
        <f>(West[[#This Row],[UnitPrice]]-(West[[#This Row],[UnitPrice]]*West[[#This Row],[DiscountPct]]))*West[[#This Row],[Units]]*(1+West[[#This Row],[TaxRatePct]]/100)</f>
        <v>13648.800000000001</v>
      </c>
    </row>
    <row r="13" spans="1:22" x14ac:dyDescent="0.3">
      <c r="A13">
        <v>4012</v>
      </c>
      <c r="B13" s="2">
        <v>45758</v>
      </c>
      <c r="C13" t="s">
        <v>48</v>
      </c>
      <c r="D13" t="s">
        <v>79</v>
      </c>
      <c r="E13" t="s">
        <v>117</v>
      </c>
      <c r="F13" t="s">
        <v>68</v>
      </c>
      <c r="G13" t="s">
        <v>46</v>
      </c>
      <c r="H13">
        <v>2</v>
      </c>
      <c r="I13">
        <v>9800</v>
      </c>
      <c r="J13">
        <v>0</v>
      </c>
      <c r="K13">
        <v>18</v>
      </c>
      <c r="L13" t="s">
        <v>57</v>
      </c>
      <c r="M13" t="s">
        <v>40</v>
      </c>
      <c r="N13">
        <f>(West[[#This Row],[UnitPrice]]-(West[[#This Row],[UnitPrice]]*West[[#This Row],[DiscountPct]]))*West[[#This Row],[Units]]*(1+West[[#This Row],[TaxRatePct]]/100)</f>
        <v>23128</v>
      </c>
    </row>
    <row r="14" spans="1:22" x14ac:dyDescent="0.3">
      <c r="A14">
        <v>4013</v>
      </c>
      <c r="B14" s="2">
        <v>45759</v>
      </c>
      <c r="C14" t="s">
        <v>52</v>
      </c>
      <c r="D14" t="s">
        <v>36</v>
      </c>
      <c r="E14" t="s">
        <v>148</v>
      </c>
      <c r="F14" t="s">
        <v>69</v>
      </c>
      <c r="G14" t="s">
        <v>70</v>
      </c>
      <c r="H14">
        <v>6</v>
      </c>
      <c r="I14">
        <v>1150</v>
      </c>
      <c r="J14">
        <v>0.04</v>
      </c>
      <c r="K14">
        <v>18</v>
      </c>
      <c r="L14" t="s">
        <v>39</v>
      </c>
      <c r="M14" t="s">
        <v>40</v>
      </c>
      <c r="N14">
        <f>(West[[#This Row],[UnitPrice]]-(West[[#This Row],[UnitPrice]]*West[[#This Row],[DiscountPct]]))*West[[#This Row],[Units]]*(1+West[[#This Row],[TaxRatePct]]/100)</f>
        <v>7816.32</v>
      </c>
    </row>
    <row r="15" spans="1:22" x14ac:dyDescent="0.3">
      <c r="A15">
        <v>4014</v>
      </c>
      <c r="B15" s="2">
        <v>45760</v>
      </c>
      <c r="C15" t="s">
        <v>41</v>
      </c>
      <c r="D15" t="s">
        <v>71</v>
      </c>
      <c r="E15" t="s">
        <v>118</v>
      </c>
      <c r="F15" t="s">
        <v>72</v>
      </c>
      <c r="G15" t="s">
        <v>38</v>
      </c>
      <c r="H15">
        <v>3</v>
      </c>
      <c r="I15">
        <v>2550</v>
      </c>
      <c r="J15">
        <v>0.05</v>
      </c>
      <c r="K15">
        <v>18</v>
      </c>
      <c r="L15" t="s">
        <v>39</v>
      </c>
      <c r="M15" t="s">
        <v>40</v>
      </c>
      <c r="N15">
        <f>(West[[#This Row],[UnitPrice]]-(West[[#This Row],[UnitPrice]]*West[[#This Row],[DiscountPct]]))*West[[#This Row],[Units]]*(1+West[[#This Row],[TaxRatePct]]/100)</f>
        <v>8575.65</v>
      </c>
    </row>
    <row r="16" spans="1:22" x14ac:dyDescent="0.3">
      <c r="A16">
        <v>4015</v>
      </c>
      <c r="B16" s="2">
        <v>45761</v>
      </c>
      <c r="C16" t="s">
        <v>58</v>
      </c>
      <c r="D16" t="s">
        <v>73</v>
      </c>
      <c r="E16" t="s">
        <v>119</v>
      </c>
      <c r="F16" t="s">
        <v>50</v>
      </c>
      <c r="G16" t="s">
        <v>46</v>
      </c>
      <c r="H16">
        <v>4</v>
      </c>
      <c r="I16">
        <v>1650</v>
      </c>
      <c r="J16">
        <v>0.05</v>
      </c>
      <c r="K16">
        <v>10</v>
      </c>
      <c r="L16" t="s">
        <v>47</v>
      </c>
      <c r="M16" t="s">
        <v>40</v>
      </c>
      <c r="N16">
        <f>(West[[#This Row],[UnitPrice]]-(West[[#This Row],[UnitPrice]]*West[[#This Row],[DiscountPct]]))*West[[#This Row],[Units]]*(1+West[[#This Row],[TaxRatePct]]/100)</f>
        <v>6897.0000000000009</v>
      </c>
    </row>
    <row r="17" spans="1:14" x14ac:dyDescent="0.3">
      <c r="A17">
        <v>4016</v>
      </c>
      <c r="B17" s="2">
        <v>45762</v>
      </c>
      <c r="C17" t="s">
        <v>48</v>
      </c>
      <c r="D17" t="s">
        <v>60</v>
      </c>
      <c r="E17" t="s">
        <v>120</v>
      </c>
      <c r="F17" t="s">
        <v>55</v>
      </c>
      <c r="G17" t="s">
        <v>56</v>
      </c>
      <c r="H17">
        <v>28</v>
      </c>
      <c r="I17">
        <v>80</v>
      </c>
      <c r="J17">
        <v>0</v>
      </c>
      <c r="K17">
        <v>18</v>
      </c>
      <c r="L17" t="s">
        <v>57</v>
      </c>
      <c r="M17" t="s">
        <v>40</v>
      </c>
      <c r="N17">
        <f>(West[[#This Row],[UnitPrice]]-(West[[#This Row],[UnitPrice]]*West[[#This Row],[DiscountPct]]))*West[[#This Row],[Units]]*(1+West[[#This Row],[TaxRatePct]]/100)</f>
        <v>2643.2</v>
      </c>
    </row>
    <row r="18" spans="1:14" x14ac:dyDescent="0.3">
      <c r="A18">
        <v>4017</v>
      </c>
      <c r="B18" s="2">
        <v>45763</v>
      </c>
      <c r="C18" t="s">
        <v>52</v>
      </c>
      <c r="D18" t="s">
        <v>76</v>
      </c>
      <c r="E18" t="s">
        <v>121</v>
      </c>
      <c r="F18" t="s">
        <v>127</v>
      </c>
      <c r="G18" t="s">
        <v>38</v>
      </c>
      <c r="H18">
        <v>1</v>
      </c>
      <c r="I18">
        <v>15200</v>
      </c>
      <c r="J18">
        <v>0.09</v>
      </c>
      <c r="K18">
        <v>18</v>
      </c>
      <c r="L18" t="s">
        <v>39</v>
      </c>
      <c r="M18" t="s">
        <v>62</v>
      </c>
      <c r="N18">
        <f>(West[[#This Row],[UnitPrice]]-(West[[#This Row],[UnitPrice]]*West[[#This Row],[DiscountPct]]))*West[[#This Row],[Units]]*(1+West[[#This Row],[TaxRatePct]]/100)</f>
        <v>16321.759999999998</v>
      </c>
    </row>
    <row r="19" spans="1:14" x14ac:dyDescent="0.3">
      <c r="A19">
        <v>4018</v>
      </c>
      <c r="B19" s="2">
        <v>45764</v>
      </c>
      <c r="C19" t="s">
        <v>41</v>
      </c>
      <c r="D19" t="s">
        <v>42</v>
      </c>
      <c r="E19" t="s">
        <v>122</v>
      </c>
      <c r="F19" t="s">
        <v>45</v>
      </c>
      <c r="G19" t="s">
        <v>46</v>
      </c>
      <c r="H19">
        <v>22</v>
      </c>
      <c r="I19">
        <v>9000</v>
      </c>
      <c r="J19">
        <v>0.05</v>
      </c>
      <c r="K19">
        <v>18</v>
      </c>
      <c r="L19" t="s">
        <v>47</v>
      </c>
      <c r="M19" t="s">
        <v>40</v>
      </c>
      <c r="N19">
        <f>(West[[#This Row],[UnitPrice]]-(West[[#This Row],[UnitPrice]]*West[[#This Row],[DiscountPct]]))*West[[#This Row],[Units]]*(1+West[[#This Row],[TaxRatePct]]/100)</f>
        <v>221958</v>
      </c>
    </row>
    <row r="20" spans="1:14" x14ac:dyDescent="0.3">
      <c r="A20">
        <v>4019</v>
      </c>
      <c r="B20" s="2">
        <v>45765</v>
      </c>
      <c r="C20" t="s">
        <v>58</v>
      </c>
      <c r="D20" t="s">
        <v>44</v>
      </c>
      <c r="E20" t="s">
        <v>123</v>
      </c>
      <c r="F20" t="s">
        <v>43</v>
      </c>
      <c r="G20" t="s">
        <v>38</v>
      </c>
      <c r="H20">
        <v>10</v>
      </c>
      <c r="I20">
        <v>710</v>
      </c>
      <c r="J20">
        <v>0.02</v>
      </c>
      <c r="K20">
        <v>10</v>
      </c>
      <c r="L20" t="s">
        <v>39</v>
      </c>
      <c r="M20" t="s">
        <v>40</v>
      </c>
      <c r="N20">
        <f>(West[[#This Row],[UnitPrice]]-(West[[#This Row],[UnitPrice]]*West[[#This Row],[DiscountPct]]))*West[[#This Row],[Units]]*(1+West[[#This Row],[TaxRatePct]]/100)</f>
        <v>7653.8</v>
      </c>
    </row>
    <row r="21" spans="1:14" x14ac:dyDescent="0.3">
      <c r="A21">
        <v>4020</v>
      </c>
      <c r="B21" s="2">
        <v>45766</v>
      </c>
      <c r="C21" t="s">
        <v>48</v>
      </c>
      <c r="D21" t="s">
        <v>49</v>
      </c>
      <c r="E21" t="s">
        <v>124</v>
      </c>
      <c r="F21" t="s">
        <v>126</v>
      </c>
      <c r="G21" t="s">
        <v>38</v>
      </c>
      <c r="H21">
        <v>2</v>
      </c>
      <c r="I21">
        <v>53000</v>
      </c>
      <c r="J21">
        <v>0.06</v>
      </c>
      <c r="K21">
        <v>18</v>
      </c>
      <c r="L21" t="s">
        <v>39</v>
      </c>
      <c r="M21" t="s">
        <v>40</v>
      </c>
      <c r="N21">
        <f>(West[[#This Row],[UnitPrice]]-(West[[#This Row],[UnitPrice]]*West[[#This Row],[DiscountPct]]))*West[[#This Row],[Units]]*(1+West[[#This Row],[TaxRatePct]]/100)</f>
        <v>117575.2</v>
      </c>
    </row>
    <row r="22" spans="1:14" x14ac:dyDescent="0.3">
      <c r="A22">
        <v>4021</v>
      </c>
      <c r="B22" s="2">
        <v>45767</v>
      </c>
      <c r="C22" t="s">
        <v>52</v>
      </c>
      <c r="D22" t="s">
        <v>36</v>
      </c>
      <c r="E22" t="s">
        <v>110</v>
      </c>
      <c r="F22" t="s">
        <v>64</v>
      </c>
      <c r="G22" t="s">
        <v>46</v>
      </c>
      <c r="H22">
        <v>1</v>
      </c>
      <c r="I22">
        <v>20500</v>
      </c>
      <c r="J22">
        <v>0.15</v>
      </c>
      <c r="K22">
        <v>18</v>
      </c>
      <c r="L22" t="s">
        <v>47</v>
      </c>
      <c r="M22" t="s">
        <v>40</v>
      </c>
      <c r="N22">
        <f>(West[[#This Row],[UnitPrice]]-(West[[#This Row],[UnitPrice]]*West[[#This Row],[DiscountPct]]))*West[[#This Row],[Units]]*(1+West[[#This Row],[TaxRatePct]]/100)</f>
        <v>20561.5</v>
      </c>
    </row>
    <row r="23" spans="1:14" x14ac:dyDescent="0.3">
      <c r="A23">
        <v>4022</v>
      </c>
      <c r="B23" s="2">
        <v>45768</v>
      </c>
      <c r="C23" t="s">
        <v>41</v>
      </c>
      <c r="D23" t="s">
        <v>54</v>
      </c>
      <c r="E23" t="s">
        <v>125</v>
      </c>
      <c r="F23" t="s">
        <v>128</v>
      </c>
      <c r="G23" t="s">
        <v>38</v>
      </c>
      <c r="H23">
        <v>3</v>
      </c>
      <c r="I23">
        <v>66000</v>
      </c>
      <c r="J23">
        <v>0.09</v>
      </c>
      <c r="K23">
        <v>18</v>
      </c>
      <c r="L23" t="s">
        <v>39</v>
      </c>
      <c r="M23" t="s">
        <v>40</v>
      </c>
      <c r="N23">
        <f>(West[[#This Row],[UnitPrice]]-(West[[#This Row],[UnitPrice]]*West[[#This Row],[DiscountPct]]))*West[[#This Row],[Units]]*(1+West[[#This Row],[TaxRatePct]]/100)</f>
        <v>212612.4</v>
      </c>
    </row>
    <row r="24" spans="1:14" x14ac:dyDescent="0.3">
      <c r="A24">
        <v>4023</v>
      </c>
      <c r="B24" s="2">
        <v>45769</v>
      </c>
      <c r="C24" t="s">
        <v>58</v>
      </c>
      <c r="D24" t="s">
        <v>66</v>
      </c>
      <c r="E24" t="s">
        <v>116</v>
      </c>
      <c r="F24" t="s">
        <v>78</v>
      </c>
      <c r="G24" t="s">
        <v>38</v>
      </c>
      <c r="H24">
        <v>5</v>
      </c>
      <c r="I24">
        <v>1850</v>
      </c>
      <c r="J24">
        <v>0</v>
      </c>
      <c r="K24">
        <v>18</v>
      </c>
      <c r="L24" t="s">
        <v>39</v>
      </c>
      <c r="M24" t="s">
        <v>40</v>
      </c>
      <c r="N24">
        <f>(West[[#This Row],[UnitPrice]]-(West[[#This Row],[UnitPrice]]*West[[#This Row],[DiscountPct]]))*West[[#This Row],[Units]]*(1+West[[#This Row],[TaxRatePct]]/100)</f>
        <v>10915</v>
      </c>
    </row>
    <row r="25" spans="1:14" x14ac:dyDescent="0.3">
      <c r="A25">
        <v>4024</v>
      </c>
      <c r="B25" s="2">
        <v>45770</v>
      </c>
      <c r="C25" t="s">
        <v>48</v>
      </c>
      <c r="D25" t="s">
        <v>79</v>
      </c>
      <c r="E25" t="s">
        <v>144</v>
      </c>
      <c r="F25" t="s">
        <v>80</v>
      </c>
      <c r="G25" t="s">
        <v>56</v>
      </c>
      <c r="H25">
        <v>70</v>
      </c>
      <c r="I25">
        <v>11</v>
      </c>
      <c r="J25">
        <v>0</v>
      </c>
      <c r="K25">
        <v>18</v>
      </c>
      <c r="L25" t="s">
        <v>57</v>
      </c>
      <c r="M25" t="s">
        <v>40</v>
      </c>
      <c r="N25">
        <f>(West[[#This Row],[UnitPrice]]-(West[[#This Row],[UnitPrice]]*West[[#This Row],[DiscountPct]]))*West[[#This Row],[Units]]*(1+West[[#This Row],[TaxRatePct]]/100)</f>
        <v>908.59999999999991</v>
      </c>
    </row>
    <row r="26" spans="1:14" x14ac:dyDescent="0.3">
      <c r="A26">
        <v>4025</v>
      </c>
      <c r="B26" s="2">
        <v>45771</v>
      </c>
      <c r="C26" t="s">
        <v>52</v>
      </c>
      <c r="D26" t="s">
        <v>63</v>
      </c>
      <c r="E26" t="s">
        <v>114</v>
      </c>
      <c r="F26" t="s">
        <v>82</v>
      </c>
      <c r="G26" t="s">
        <v>38</v>
      </c>
      <c r="H26">
        <v>5</v>
      </c>
      <c r="I26">
        <v>3200</v>
      </c>
      <c r="J26">
        <v>0.05</v>
      </c>
      <c r="K26">
        <v>10</v>
      </c>
      <c r="L26" t="s">
        <v>39</v>
      </c>
      <c r="M26" t="s">
        <v>40</v>
      </c>
      <c r="N26">
        <f>(West[[#This Row],[UnitPrice]]-(West[[#This Row],[UnitPrice]]*West[[#This Row],[DiscountPct]]))*West[[#This Row],[Units]]*(1+West[[#This Row],[TaxRatePct]]/100)</f>
        <v>16720</v>
      </c>
    </row>
  </sheetData>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ECD09-CCC4-40E3-9734-6C1E1BDBD564}">
  <sheetPr codeName="Sheet12"/>
  <dimension ref="A1:V26"/>
  <sheetViews>
    <sheetView zoomScale="65" zoomScaleNormal="65" workbookViewId="0">
      <selection activeCell="R9" sqref="R9"/>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4001</v>
      </c>
      <c r="B2" s="2">
        <v>45749</v>
      </c>
      <c r="C2" t="s">
        <v>52</v>
      </c>
      <c r="D2" t="s">
        <v>36</v>
      </c>
      <c r="E2" t="s">
        <v>154</v>
      </c>
      <c r="F2" t="s">
        <v>126</v>
      </c>
      <c r="G2" t="s">
        <v>38</v>
      </c>
      <c r="H2">
        <v>2</v>
      </c>
      <c r="I2">
        <v>56000</v>
      </c>
      <c r="J2">
        <v>0.05</v>
      </c>
      <c r="K2">
        <v>18</v>
      </c>
      <c r="L2" t="s">
        <v>39</v>
      </c>
      <c r="M2" t="s">
        <v>40</v>
      </c>
      <c r="N2">
        <f>(West_1[[#This Row],[UnitPrice]]-(West_1[[#This Row],[UnitPrice]]*West_1[[#This Row],[DiscountPct]]))*West_1[[#This Row],[Units]]*(1+West_1[[#This Row],[TaxRatePct]]/100)</f>
        <v>125552</v>
      </c>
    </row>
    <row r="3" spans="1:22" x14ac:dyDescent="0.3">
      <c r="A3">
        <v>4002</v>
      </c>
      <c r="B3" s="2">
        <v>45749</v>
      </c>
      <c r="C3" t="s">
        <v>41</v>
      </c>
      <c r="D3" t="s">
        <v>42</v>
      </c>
      <c r="E3" t="s">
        <v>134</v>
      </c>
      <c r="F3" t="s">
        <v>43</v>
      </c>
      <c r="G3" t="s">
        <v>38</v>
      </c>
      <c r="H3">
        <v>7</v>
      </c>
      <c r="I3">
        <v>740</v>
      </c>
      <c r="J3">
        <v>0</v>
      </c>
      <c r="K3">
        <v>18</v>
      </c>
      <c r="L3" t="s">
        <v>39</v>
      </c>
      <c r="M3" t="s">
        <v>40</v>
      </c>
      <c r="N3">
        <f>(West_1[[#This Row],[UnitPrice]]-(West_1[[#This Row],[UnitPrice]]*West_1[[#This Row],[DiscountPct]]))*West_1[[#This Row],[Units]]*(1+West_1[[#This Row],[TaxRatePct]]/100)</f>
        <v>6112.4</v>
      </c>
    </row>
    <row r="4" spans="1:22" x14ac:dyDescent="0.3">
      <c r="A4">
        <v>4003</v>
      </c>
      <c r="B4" s="2">
        <v>45749</v>
      </c>
      <c r="C4" t="s">
        <v>58</v>
      </c>
      <c r="D4" t="s">
        <v>44</v>
      </c>
      <c r="E4" t="s">
        <v>155</v>
      </c>
      <c r="F4" t="s">
        <v>45</v>
      </c>
      <c r="G4" t="s">
        <v>46</v>
      </c>
      <c r="H4">
        <v>3</v>
      </c>
      <c r="I4">
        <v>9100</v>
      </c>
      <c r="J4">
        <v>0.1</v>
      </c>
      <c r="K4">
        <v>10</v>
      </c>
      <c r="L4" t="s">
        <v>47</v>
      </c>
      <c r="M4" t="s">
        <v>40</v>
      </c>
      <c r="N4">
        <f>(West_1[[#This Row],[UnitPrice]]-(West_1[[#This Row],[UnitPrice]]*West_1[[#This Row],[DiscountPct]]))*West_1[[#This Row],[Units]]*(1+West_1[[#This Row],[TaxRatePct]]/100)</f>
        <v>27027.000000000004</v>
      </c>
    </row>
    <row r="5" spans="1:22" x14ac:dyDescent="0.3">
      <c r="A5">
        <v>4004</v>
      </c>
      <c r="B5" s="2">
        <v>45750</v>
      </c>
      <c r="C5" t="s">
        <v>48</v>
      </c>
      <c r="D5" t="s">
        <v>49</v>
      </c>
      <c r="E5" t="s">
        <v>136</v>
      </c>
      <c r="F5" t="s">
        <v>50</v>
      </c>
      <c r="G5" t="s">
        <v>46</v>
      </c>
      <c r="H5">
        <v>6</v>
      </c>
      <c r="I5">
        <v>1650</v>
      </c>
      <c r="J5">
        <v>0.08</v>
      </c>
      <c r="K5">
        <v>18</v>
      </c>
      <c r="L5" t="s">
        <v>39</v>
      </c>
      <c r="M5" t="s">
        <v>51</v>
      </c>
      <c r="N5">
        <f>(West_1[[#This Row],[UnitPrice]]-(West_1[[#This Row],[UnitPrice]]*West_1[[#This Row],[DiscountPct]]))*West_1[[#This Row],[Units]]*(1+West_1[[#This Row],[TaxRatePct]]/100)</f>
        <v>10747.439999999999</v>
      </c>
    </row>
    <row r="6" spans="1:22" x14ac:dyDescent="0.3">
      <c r="A6">
        <v>4005</v>
      </c>
      <c r="B6" s="2">
        <v>45751</v>
      </c>
      <c r="C6" t="s">
        <v>52</v>
      </c>
      <c r="D6" t="s">
        <v>36</v>
      </c>
      <c r="E6" t="s">
        <v>156</v>
      </c>
      <c r="F6" t="s">
        <v>127</v>
      </c>
      <c r="G6" t="s">
        <v>38</v>
      </c>
      <c r="H6">
        <v>2</v>
      </c>
      <c r="I6">
        <v>15800</v>
      </c>
      <c r="J6">
        <v>0.12</v>
      </c>
      <c r="K6">
        <v>18</v>
      </c>
      <c r="L6" t="s">
        <v>39</v>
      </c>
      <c r="M6" t="s">
        <v>40</v>
      </c>
      <c r="N6">
        <f>(West_1[[#This Row],[UnitPrice]]-(West_1[[#This Row],[UnitPrice]]*West_1[[#This Row],[DiscountPct]]))*West_1[[#This Row],[Units]]*(1+West_1[[#This Row],[TaxRatePct]]/100)</f>
        <v>32813.439999999995</v>
      </c>
    </row>
    <row r="7" spans="1:22" x14ac:dyDescent="0.3">
      <c r="A7">
        <v>4006</v>
      </c>
      <c r="B7" s="2">
        <v>45752</v>
      </c>
      <c r="C7" t="s">
        <v>41</v>
      </c>
      <c r="D7" t="s">
        <v>54</v>
      </c>
      <c r="E7" t="s">
        <v>138</v>
      </c>
      <c r="F7" t="s">
        <v>55</v>
      </c>
      <c r="G7" t="s">
        <v>56</v>
      </c>
      <c r="H7">
        <v>30</v>
      </c>
      <c r="I7">
        <v>72</v>
      </c>
      <c r="J7">
        <v>0</v>
      </c>
      <c r="K7">
        <v>18</v>
      </c>
      <c r="L7" t="s">
        <v>57</v>
      </c>
      <c r="M7" t="s">
        <v>40</v>
      </c>
      <c r="N7">
        <f>(West_1[[#This Row],[UnitPrice]]-(West_1[[#This Row],[UnitPrice]]*West_1[[#This Row],[DiscountPct]]))*West_1[[#This Row],[Units]]*(1+West_1[[#This Row],[TaxRatePct]]/100)</f>
        <v>2548.7999999999997</v>
      </c>
      <c r="U7" t="str" cm="1">
        <f t="array" ref="U7:U10">_xlfn.UNIQUE(West_1[Region])</f>
        <v>North</v>
      </c>
      <c r="V7">
        <f>SUMIFS(West_1[Total Revenue],West_1[Status],"Completed",West_1[Region],U7)</f>
        <v>429626.77999999997</v>
      </c>
    </row>
    <row r="8" spans="1:22" x14ac:dyDescent="0.3">
      <c r="A8">
        <v>4007</v>
      </c>
      <c r="B8" s="2">
        <v>45753</v>
      </c>
      <c r="C8" t="s">
        <v>58</v>
      </c>
      <c r="D8" t="s">
        <v>44</v>
      </c>
      <c r="E8" t="s">
        <v>139</v>
      </c>
      <c r="F8" t="s">
        <v>59</v>
      </c>
      <c r="G8" t="s">
        <v>38</v>
      </c>
      <c r="H8">
        <v>12</v>
      </c>
      <c r="I8">
        <v>3600</v>
      </c>
      <c r="J8">
        <v>0.05</v>
      </c>
      <c r="K8">
        <v>10</v>
      </c>
      <c r="L8" t="s">
        <v>39</v>
      </c>
      <c r="M8" t="s">
        <v>40</v>
      </c>
      <c r="N8">
        <f>(West_1[[#This Row],[UnitPrice]]-(West_1[[#This Row],[UnitPrice]]*West_1[[#This Row],[DiscountPct]]))*West_1[[#This Row],[Units]]*(1+West_1[[#This Row],[TaxRatePct]]/100)</f>
        <v>45144.000000000007</v>
      </c>
      <c r="U8" t="str">
        <v>South</v>
      </c>
      <c r="V8">
        <f>SUMIFS(West_1[Total Revenue],West_1[Status],"Completed",West_1[Region],U8)</f>
        <v>505615.25</v>
      </c>
    </row>
    <row r="9" spans="1:22" x14ac:dyDescent="0.3">
      <c r="A9">
        <v>4008</v>
      </c>
      <c r="B9" s="2">
        <v>45754</v>
      </c>
      <c r="C9" t="s">
        <v>48</v>
      </c>
      <c r="D9" t="s">
        <v>74</v>
      </c>
      <c r="E9" t="s">
        <v>113</v>
      </c>
      <c r="F9" t="s">
        <v>128</v>
      </c>
      <c r="G9" t="s">
        <v>38</v>
      </c>
      <c r="H9">
        <v>10</v>
      </c>
      <c r="I9">
        <v>63000</v>
      </c>
      <c r="J9">
        <v>0.08</v>
      </c>
      <c r="K9">
        <v>18</v>
      </c>
      <c r="L9" t="s">
        <v>39</v>
      </c>
      <c r="M9" t="s">
        <v>62</v>
      </c>
      <c r="N9">
        <f>(West_1[[#This Row],[UnitPrice]]-(West_1[[#This Row],[UnitPrice]]*West_1[[#This Row],[DiscountPct]]))*West_1[[#This Row],[Units]]*(1+West_1[[#This Row],[TaxRatePct]]/100)</f>
        <v>683928</v>
      </c>
      <c r="R9" t="s">
        <v>131</v>
      </c>
      <c r="U9" t="str">
        <v>West</v>
      </c>
      <c r="V9">
        <f>SUMIFS(West_1[Total Revenue],West_1[Status],"Completed",West_1[Region],U9)</f>
        <v>111285.60000000002</v>
      </c>
    </row>
    <row r="10" spans="1:22" x14ac:dyDescent="0.3">
      <c r="A10">
        <v>4009</v>
      </c>
      <c r="B10" s="2">
        <v>45755</v>
      </c>
      <c r="C10" t="s">
        <v>52</v>
      </c>
      <c r="D10" t="s">
        <v>63</v>
      </c>
      <c r="E10" t="s">
        <v>157</v>
      </c>
      <c r="F10" t="s">
        <v>64</v>
      </c>
      <c r="G10" t="s">
        <v>46</v>
      </c>
      <c r="H10">
        <v>11</v>
      </c>
      <c r="I10">
        <v>19800</v>
      </c>
      <c r="J10">
        <v>0.12</v>
      </c>
      <c r="K10">
        <v>18</v>
      </c>
      <c r="L10" t="s">
        <v>47</v>
      </c>
      <c r="M10" t="s">
        <v>40</v>
      </c>
      <c r="N10">
        <f>(West_1[[#This Row],[UnitPrice]]-(West_1[[#This Row],[UnitPrice]]*West_1[[#This Row],[DiscountPct]]))*West_1[[#This Row],[Units]]*(1+West_1[[#This Row],[TaxRatePct]]/100)</f>
        <v>226163.52</v>
      </c>
      <c r="R10">
        <f>SUMIF(West_1[Status],"Completed",West_1[Total Revenue])</f>
        <v>1190782.6299999999</v>
      </c>
      <c r="U10" t="str">
        <v>East</v>
      </c>
      <c r="V10">
        <f>SUMIFS(West_1[Total Revenue],West_1[Status],"Completed",West_1[Region],U10)</f>
        <v>144255</v>
      </c>
    </row>
    <row r="11" spans="1:22" x14ac:dyDescent="0.3">
      <c r="A11">
        <v>4010</v>
      </c>
      <c r="B11" s="2">
        <v>45756</v>
      </c>
      <c r="C11" t="s">
        <v>41</v>
      </c>
      <c r="D11" t="s">
        <v>42</v>
      </c>
      <c r="E11" t="s">
        <v>142</v>
      </c>
      <c r="F11" t="s">
        <v>129</v>
      </c>
      <c r="G11" t="s">
        <v>38</v>
      </c>
      <c r="H11">
        <v>2</v>
      </c>
      <c r="I11">
        <v>24000</v>
      </c>
      <c r="J11">
        <v>0.05</v>
      </c>
      <c r="K11">
        <v>18</v>
      </c>
      <c r="L11" t="s">
        <v>39</v>
      </c>
      <c r="M11" t="s">
        <v>40</v>
      </c>
      <c r="N11">
        <f>(West_1[[#This Row],[UnitPrice]]-(West_1[[#This Row],[UnitPrice]]*West_1[[#This Row],[DiscountPct]]))*West_1[[#This Row],[Units]]*(1+West_1[[#This Row],[TaxRatePct]]/100)</f>
        <v>53808</v>
      </c>
    </row>
    <row r="12" spans="1:22" x14ac:dyDescent="0.3">
      <c r="A12">
        <v>4011</v>
      </c>
      <c r="B12" s="2">
        <v>45757</v>
      </c>
      <c r="C12" t="s">
        <v>58</v>
      </c>
      <c r="D12" t="s">
        <v>66</v>
      </c>
      <c r="E12" t="s">
        <v>143</v>
      </c>
      <c r="F12" t="s">
        <v>67</v>
      </c>
      <c r="G12" t="s">
        <v>38</v>
      </c>
      <c r="H12">
        <v>1</v>
      </c>
      <c r="I12">
        <v>13200</v>
      </c>
      <c r="J12">
        <v>0.06</v>
      </c>
      <c r="K12">
        <v>10</v>
      </c>
      <c r="L12" t="s">
        <v>47</v>
      </c>
      <c r="M12" t="s">
        <v>40</v>
      </c>
      <c r="N12">
        <f>(West_1[[#This Row],[UnitPrice]]-(West_1[[#This Row],[UnitPrice]]*West_1[[#This Row],[DiscountPct]]))*West_1[[#This Row],[Units]]*(1+West_1[[#This Row],[TaxRatePct]]/100)</f>
        <v>13648.800000000001</v>
      </c>
    </row>
    <row r="13" spans="1:22" x14ac:dyDescent="0.3">
      <c r="A13">
        <v>4012</v>
      </c>
      <c r="B13" s="2">
        <v>45758</v>
      </c>
      <c r="C13" t="s">
        <v>48</v>
      </c>
      <c r="D13" t="s">
        <v>79</v>
      </c>
      <c r="E13" t="s">
        <v>117</v>
      </c>
      <c r="F13" t="s">
        <v>68</v>
      </c>
      <c r="G13" t="s">
        <v>46</v>
      </c>
      <c r="H13">
        <v>2</v>
      </c>
      <c r="I13">
        <v>9800</v>
      </c>
      <c r="J13">
        <v>0</v>
      </c>
      <c r="K13">
        <v>18</v>
      </c>
      <c r="L13" t="s">
        <v>57</v>
      </c>
      <c r="M13" t="s">
        <v>40</v>
      </c>
      <c r="N13">
        <f>(West_1[[#This Row],[UnitPrice]]-(West_1[[#This Row],[UnitPrice]]*West_1[[#This Row],[DiscountPct]]))*West_1[[#This Row],[Units]]*(1+West_1[[#This Row],[TaxRatePct]]/100)</f>
        <v>23128</v>
      </c>
    </row>
    <row r="14" spans="1:22" x14ac:dyDescent="0.3">
      <c r="A14">
        <v>4013</v>
      </c>
      <c r="B14" s="2">
        <v>45759</v>
      </c>
      <c r="C14" t="s">
        <v>52</v>
      </c>
      <c r="D14" t="s">
        <v>36</v>
      </c>
      <c r="E14" t="s">
        <v>148</v>
      </c>
      <c r="F14" t="s">
        <v>69</v>
      </c>
      <c r="G14" t="s">
        <v>70</v>
      </c>
      <c r="H14">
        <v>6</v>
      </c>
      <c r="I14">
        <v>1150</v>
      </c>
      <c r="J14">
        <v>0.04</v>
      </c>
      <c r="K14">
        <v>18</v>
      </c>
      <c r="L14" t="s">
        <v>39</v>
      </c>
      <c r="M14" t="s">
        <v>40</v>
      </c>
      <c r="N14">
        <f>(West_1[[#This Row],[UnitPrice]]-(West_1[[#This Row],[UnitPrice]]*West_1[[#This Row],[DiscountPct]]))*West_1[[#This Row],[Units]]*(1+West_1[[#This Row],[TaxRatePct]]/100)</f>
        <v>7816.32</v>
      </c>
    </row>
    <row r="15" spans="1:22" x14ac:dyDescent="0.3">
      <c r="A15">
        <v>4014</v>
      </c>
      <c r="B15" s="2">
        <v>45760</v>
      </c>
      <c r="C15" t="s">
        <v>41</v>
      </c>
      <c r="D15" t="s">
        <v>71</v>
      </c>
      <c r="E15" t="s">
        <v>118</v>
      </c>
      <c r="F15" t="s">
        <v>72</v>
      </c>
      <c r="G15" t="s">
        <v>38</v>
      </c>
      <c r="H15">
        <v>3</v>
      </c>
      <c r="I15">
        <v>2550</v>
      </c>
      <c r="J15">
        <v>0.05</v>
      </c>
      <c r="K15">
        <v>18</v>
      </c>
      <c r="L15" t="s">
        <v>39</v>
      </c>
      <c r="M15" t="s">
        <v>40</v>
      </c>
      <c r="N15">
        <f>(West_1[[#This Row],[UnitPrice]]-(West_1[[#This Row],[UnitPrice]]*West_1[[#This Row],[DiscountPct]]))*West_1[[#This Row],[Units]]*(1+West_1[[#This Row],[TaxRatePct]]/100)</f>
        <v>8575.65</v>
      </c>
    </row>
    <row r="16" spans="1:22" x14ac:dyDescent="0.3">
      <c r="A16">
        <v>4015</v>
      </c>
      <c r="B16" s="2">
        <v>45761</v>
      </c>
      <c r="C16" t="s">
        <v>58</v>
      </c>
      <c r="D16" t="s">
        <v>73</v>
      </c>
      <c r="E16" t="s">
        <v>119</v>
      </c>
      <c r="F16" t="s">
        <v>50</v>
      </c>
      <c r="G16" t="s">
        <v>46</v>
      </c>
      <c r="H16">
        <v>4</v>
      </c>
      <c r="I16">
        <v>1650</v>
      </c>
      <c r="J16">
        <v>0.05</v>
      </c>
      <c r="K16">
        <v>10</v>
      </c>
      <c r="L16" t="s">
        <v>47</v>
      </c>
      <c r="M16" t="s">
        <v>40</v>
      </c>
      <c r="N16">
        <f>(West_1[[#This Row],[UnitPrice]]-(West_1[[#This Row],[UnitPrice]]*West_1[[#This Row],[DiscountPct]]))*West_1[[#This Row],[Units]]*(1+West_1[[#This Row],[TaxRatePct]]/100)</f>
        <v>6897.0000000000009</v>
      </c>
    </row>
    <row r="17" spans="1:14" x14ac:dyDescent="0.3">
      <c r="A17">
        <v>4016</v>
      </c>
      <c r="B17" s="2">
        <v>45762</v>
      </c>
      <c r="C17" t="s">
        <v>48</v>
      </c>
      <c r="D17" t="s">
        <v>60</v>
      </c>
      <c r="E17" t="s">
        <v>120</v>
      </c>
      <c r="F17" t="s">
        <v>55</v>
      </c>
      <c r="G17" t="s">
        <v>56</v>
      </c>
      <c r="H17">
        <v>28</v>
      </c>
      <c r="I17">
        <v>80</v>
      </c>
      <c r="J17">
        <v>0</v>
      </c>
      <c r="K17">
        <v>18</v>
      </c>
      <c r="L17" t="s">
        <v>57</v>
      </c>
      <c r="M17" t="s">
        <v>40</v>
      </c>
      <c r="N17">
        <f>(West_1[[#This Row],[UnitPrice]]-(West_1[[#This Row],[UnitPrice]]*West_1[[#This Row],[DiscountPct]]))*West_1[[#This Row],[Units]]*(1+West_1[[#This Row],[TaxRatePct]]/100)</f>
        <v>2643.2</v>
      </c>
    </row>
    <row r="18" spans="1:14" x14ac:dyDescent="0.3">
      <c r="A18">
        <v>4017</v>
      </c>
      <c r="B18" s="2">
        <v>45763</v>
      </c>
      <c r="C18" t="s">
        <v>52</v>
      </c>
      <c r="D18" t="s">
        <v>76</v>
      </c>
      <c r="E18" t="s">
        <v>121</v>
      </c>
      <c r="F18" t="s">
        <v>127</v>
      </c>
      <c r="G18" t="s">
        <v>38</v>
      </c>
      <c r="H18">
        <v>1</v>
      </c>
      <c r="I18">
        <v>15200</v>
      </c>
      <c r="J18">
        <v>0.09</v>
      </c>
      <c r="K18">
        <v>18</v>
      </c>
      <c r="L18" t="s">
        <v>39</v>
      </c>
      <c r="M18" t="s">
        <v>62</v>
      </c>
      <c r="N18">
        <f>(West_1[[#This Row],[UnitPrice]]-(West_1[[#This Row],[UnitPrice]]*West_1[[#This Row],[DiscountPct]]))*West_1[[#This Row],[Units]]*(1+West_1[[#This Row],[TaxRatePct]]/100)</f>
        <v>16321.759999999998</v>
      </c>
    </row>
    <row r="19" spans="1:14" x14ac:dyDescent="0.3">
      <c r="A19">
        <v>4018</v>
      </c>
      <c r="B19" s="2">
        <v>45764</v>
      </c>
      <c r="C19" t="s">
        <v>41</v>
      </c>
      <c r="D19" t="s">
        <v>42</v>
      </c>
      <c r="E19" t="s">
        <v>122</v>
      </c>
      <c r="F19" t="s">
        <v>45</v>
      </c>
      <c r="G19" t="s">
        <v>46</v>
      </c>
      <c r="H19">
        <v>22</v>
      </c>
      <c r="I19">
        <v>9000</v>
      </c>
      <c r="J19">
        <v>0.05</v>
      </c>
      <c r="K19">
        <v>18</v>
      </c>
      <c r="L19" t="s">
        <v>47</v>
      </c>
      <c r="M19" t="s">
        <v>40</v>
      </c>
      <c r="N19">
        <f>(West_1[[#This Row],[UnitPrice]]-(West_1[[#This Row],[UnitPrice]]*West_1[[#This Row],[DiscountPct]]))*West_1[[#This Row],[Units]]*(1+West_1[[#This Row],[TaxRatePct]]/100)</f>
        <v>221958</v>
      </c>
    </row>
    <row r="20" spans="1:14" x14ac:dyDescent="0.3">
      <c r="A20">
        <v>4019</v>
      </c>
      <c r="B20" s="2">
        <v>45765</v>
      </c>
      <c r="C20" t="s">
        <v>58</v>
      </c>
      <c r="D20" t="s">
        <v>44</v>
      </c>
      <c r="E20" t="s">
        <v>123</v>
      </c>
      <c r="F20" t="s">
        <v>43</v>
      </c>
      <c r="G20" t="s">
        <v>38</v>
      </c>
      <c r="H20">
        <v>10</v>
      </c>
      <c r="I20">
        <v>710</v>
      </c>
      <c r="J20">
        <v>0.02</v>
      </c>
      <c r="K20">
        <v>10</v>
      </c>
      <c r="L20" t="s">
        <v>39</v>
      </c>
      <c r="M20" t="s">
        <v>40</v>
      </c>
      <c r="N20">
        <f>(West_1[[#This Row],[UnitPrice]]-(West_1[[#This Row],[UnitPrice]]*West_1[[#This Row],[DiscountPct]]))*West_1[[#This Row],[Units]]*(1+West_1[[#This Row],[TaxRatePct]]/100)</f>
        <v>7653.8</v>
      </c>
    </row>
    <row r="21" spans="1:14" x14ac:dyDescent="0.3">
      <c r="A21">
        <v>4020</v>
      </c>
      <c r="B21" s="2">
        <v>45766</v>
      </c>
      <c r="C21" t="s">
        <v>48</v>
      </c>
      <c r="D21" t="s">
        <v>49</v>
      </c>
      <c r="E21" t="s">
        <v>124</v>
      </c>
      <c r="F21" t="s">
        <v>126</v>
      </c>
      <c r="G21" t="s">
        <v>38</v>
      </c>
      <c r="H21">
        <v>2</v>
      </c>
      <c r="I21">
        <v>53000</v>
      </c>
      <c r="J21">
        <v>0.06</v>
      </c>
      <c r="K21">
        <v>18</v>
      </c>
      <c r="L21" t="s">
        <v>39</v>
      </c>
      <c r="M21" t="s">
        <v>40</v>
      </c>
      <c r="N21">
        <f>(West_1[[#This Row],[UnitPrice]]-(West_1[[#This Row],[UnitPrice]]*West_1[[#This Row],[DiscountPct]]))*West_1[[#This Row],[Units]]*(1+West_1[[#This Row],[TaxRatePct]]/100)</f>
        <v>117575.2</v>
      </c>
    </row>
    <row r="22" spans="1:14" x14ac:dyDescent="0.3">
      <c r="A22">
        <v>4021</v>
      </c>
      <c r="B22" s="2">
        <v>45767</v>
      </c>
      <c r="C22" t="s">
        <v>52</v>
      </c>
      <c r="D22" t="s">
        <v>36</v>
      </c>
      <c r="E22" t="s">
        <v>110</v>
      </c>
      <c r="F22" t="s">
        <v>64</v>
      </c>
      <c r="G22" t="s">
        <v>46</v>
      </c>
      <c r="H22">
        <v>1</v>
      </c>
      <c r="I22">
        <v>20500</v>
      </c>
      <c r="J22">
        <v>0.15</v>
      </c>
      <c r="K22">
        <v>18</v>
      </c>
      <c r="L22" t="s">
        <v>47</v>
      </c>
      <c r="M22" t="s">
        <v>40</v>
      </c>
      <c r="N22">
        <f>(West_1[[#This Row],[UnitPrice]]-(West_1[[#This Row],[UnitPrice]]*West_1[[#This Row],[DiscountPct]]))*West_1[[#This Row],[Units]]*(1+West_1[[#This Row],[TaxRatePct]]/100)</f>
        <v>20561.5</v>
      </c>
    </row>
    <row r="23" spans="1:14" x14ac:dyDescent="0.3">
      <c r="A23">
        <v>4022</v>
      </c>
      <c r="B23" s="2">
        <v>45768</v>
      </c>
      <c r="C23" t="s">
        <v>41</v>
      </c>
      <c r="D23" t="s">
        <v>54</v>
      </c>
      <c r="E23" t="s">
        <v>125</v>
      </c>
      <c r="F23" t="s">
        <v>128</v>
      </c>
      <c r="G23" t="s">
        <v>38</v>
      </c>
      <c r="H23">
        <v>3</v>
      </c>
      <c r="I23">
        <v>66000</v>
      </c>
      <c r="J23">
        <v>0.09</v>
      </c>
      <c r="K23">
        <v>18</v>
      </c>
      <c r="L23" t="s">
        <v>39</v>
      </c>
      <c r="M23" t="s">
        <v>40</v>
      </c>
      <c r="N23">
        <f>(West_1[[#This Row],[UnitPrice]]-(West_1[[#This Row],[UnitPrice]]*West_1[[#This Row],[DiscountPct]]))*West_1[[#This Row],[Units]]*(1+West_1[[#This Row],[TaxRatePct]]/100)</f>
        <v>212612.4</v>
      </c>
    </row>
    <row r="24" spans="1:14" x14ac:dyDescent="0.3">
      <c r="A24">
        <v>4023</v>
      </c>
      <c r="B24" s="2">
        <v>45769</v>
      </c>
      <c r="C24" t="s">
        <v>58</v>
      </c>
      <c r="D24" t="s">
        <v>66</v>
      </c>
      <c r="E24" t="s">
        <v>116</v>
      </c>
      <c r="F24" t="s">
        <v>78</v>
      </c>
      <c r="G24" t="s">
        <v>38</v>
      </c>
      <c r="H24">
        <v>5</v>
      </c>
      <c r="I24">
        <v>1850</v>
      </c>
      <c r="J24">
        <v>0</v>
      </c>
      <c r="K24">
        <v>18</v>
      </c>
      <c r="L24" t="s">
        <v>39</v>
      </c>
      <c r="M24" t="s">
        <v>40</v>
      </c>
      <c r="N24">
        <f>(West_1[[#This Row],[UnitPrice]]-(West_1[[#This Row],[UnitPrice]]*West_1[[#This Row],[DiscountPct]]))*West_1[[#This Row],[Units]]*(1+West_1[[#This Row],[TaxRatePct]]/100)</f>
        <v>10915</v>
      </c>
    </row>
    <row r="25" spans="1:14" x14ac:dyDescent="0.3">
      <c r="A25">
        <v>4024</v>
      </c>
      <c r="B25" s="2">
        <v>45770</v>
      </c>
      <c r="C25" t="s">
        <v>48</v>
      </c>
      <c r="D25" t="s">
        <v>79</v>
      </c>
      <c r="E25" t="s">
        <v>144</v>
      </c>
      <c r="F25" t="s">
        <v>80</v>
      </c>
      <c r="G25" t="s">
        <v>56</v>
      </c>
      <c r="H25">
        <v>70</v>
      </c>
      <c r="I25">
        <v>11</v>
      </c>
      <c r="J25">
        <v>0</v>
      </c>
      <c r="K25">
        <v>18</v>
      </c>
      <c r="L25" t="s">
        <v>57</v>
      </c>
      <c r="M25" t="s">
        <v>40</v>
      </c>
      <c r="N25">
        <f>(West_1[[#This Row],[UnitPrice]]-(West_1[[#This Row],[UnitPrice]]*West_1[[#This Row],[DiscountPct]]))*West_1[[#This Row],[Units]]*(1+West_1[[#This Row],[TaxRatePct]]/100)</f>
        <v>908.59999999999991</v>
      </c>
    </row>
    <row r="26" spans="1:14" x14ac:dyDescent="0.3">
      <c r="A26">
        <v>4025</v>
      </c>
      <c r="B26" s="2">
        <v>45771</v>
      </c>
      <c r="C26" t="s">
        <v>52</v>
      </c>
      <c r="D26" t="s">
        <v>63</v>
      </c>
      <c r="E26" t="s">
        <v>114</v>
      </c>
      <c r="F26" t="s">
        <v>82</v>
      </c>
      <c r="G26" t="s">
        <v>38</v>
      </c>
      <c r="H26">
        <v>5</v>
      </c>
      <c r="I26">
        <v>3200</v>
      </c>
      <c r="J26">
        <v>0.05</v>
      </c>
      <c r="K26">
        <v>10</v>
      </c>
      <c r="L26" t="s">
        <v>39</v>
      </c>
      <c r="M26" t="s">
        <v>40</v>
      </c>
      <c r="N26">
        <f>(West_1[[#This Row],[UnitPrice]]-(West_1[[#This Row],[UnitPrice]]*West_1[[#This Row],[DiscountPct]]))*West_1[[#This Row],[Units]]*(1+West_1[[#This Row],[TaxRatePct]]/100)</f>
        <v>16720</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6F122-7F72-49D2-8FA9-CB0282F08502}">
  <sheetPr codeName="Sheet13"/>
  <dimension ref="A1:R44"/>
  <sheetViews>
    <sheetView topLeftCell="E3" workbookViewId="0">
      <selection activeCell="R10" sqref="R10"/>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18" x14ac:dyDescent="0.3">
      <c r="A1" t="s">
        <v>24</v>
      </c>
      <c r="B1" s="2" t="s">
        <v>25</v>
      </c>
      <c r="C1" t="s">
        <v>26</v>
      </c>
      <c r="D1" t="s">
        <v>27</v>
      </c>
      <c r="E1" t="s">
        <v>28</v>
      </c>
      <c r="F1" t="s">
        <v>29</v>
      </c>
      <c r="G1" t="s">
        <v>1</v>
      </c>
      <c r="H1" t="s">
        <v>30</v>
      </c>
      <c r="I1" t="s">
        <v>31</v>
      </c>
      <c r="J1" t="s">
        <v>32</v>
      </c>
      <c r="K1" t="s">
        <v>33</v>
      </c>
      <c r="L1" t="s">
        <v>34</v>
      </c>
      <c r="M1" t="s">
        <v>35</v>
      </c>
      <c r="N1" t="s">
        <v>130</v>
      </c>
    </row>
    <row r="2" spans="1:18" x14ac:dyDescent="0.3">
      <c r="A2">
        <v>4001</v>
      </c>
      <c r="B2" s="2">
        <v>45749</v>
      </c>
      <c r="C2" t="s">
        <v>52</v>
      </c>
      <c r="D2" t="s">
        <v>36</v>
      </c>
      <c r="E2" t="s">
        <v>154</v>
      </c>
      <c r="F2" t="s">
        <v>126</v>
      </c>
      <c r="G2" t="s">
        <v>38</v>
      </c>
      <c r="H2">
        <v>2</v>
      </c>
      <c r="I2">
        <v>56000</v>
      </c>
      <c r="J2">
        <v>0.05</v>
      </c>
      <c r="K2">
        <v>18</v>
      </c>
      <c r="L2" t="s">
        <v>39</v>
      </c>
      <c r="M2" t="s">
        <v>40</v>
      </c>
      <c r="N2">
        <f>(NewTable[[#This Row],[UnitPrice]]-(NewTable[[#This Row],[UnitPrice]]*NewTable[[#This Row],[DiscountPct]]))*NewTable[[#This Row],[Units]]*(1+NewTable[[#This Row],[TaxRatePct]]/100)</f>
        <v>125552</v>
      </c>
    </row>
    <row r="3" spans="1:18" x14ac:dyDescent="0.3">
      <c r="A3">
        <v>4002</v>
      </c>
      <c r="B3" s="2">
        <v>45749</v>
      </c>
      <c r="C3" t="s">
        <v>41</v>
      </c>
      <c r="D3" t="s">
        <v>42</v>
      </c>
      <c r="E3" t="s">
        <v>134</v>
      </c>
      <c r="F3" t="s">
        <v>43</v>
      </c>
      <c r="G3" t="s">
        <v>38</v>
      </c>
      <c r="H3">
        <v>7</v>
      </c>
      <c r="I3">
        <v>740</v>
      </c>
      <c r="J3">
        <v>0</v>
      </c>
      <c r="K3">
        <v>18</v>
      </c>
      <c r="L3" t="s">
        <v>39</v>
      </c>
      <c r="M3" t="s">
        <v>40</v>
      </c>
      <c r="N3">
        <f>(NewTable[[#This Row],[UnitPrice]]-(NewTable[[#This Row],[UnitPrice]]*NewTable[[#This Row],[DiscountPct]]))*NewTable[[#This Row],[Units]]*(1+NewTable[[#This Row],[TaxRatePct]]/100)</f>
        <v>6112.4</v>
      </c>
    </row>
    <row r="4" spans="1:18" x14ac:dyDescent="0.3">
      <c r="A4">
        <v>4003</v>
      </c>
      <c r="B4" s="2">
        <v>45749</v>
      </c>
      <c r="C4" t="s">
        <v>58</v>
      </c>
      <c r="D4" t="s">
        <v>44</v>
      </c>
      <c r="E4" t="s">
        <v>155</v>
      </c>
      <c r="F4" t="s">
        <v>45</v>
      </c>
      <c r="G4" t="s">
        <v>46</v>
      </c>
      <c r="H4">
        <v>3</v>
      </c>
      <c r="I4">
        <v>9100</v>
      </c>
      <c r="J4">
        <v>0.1</v>
      </c>
      <c r="K4">
        <v>10</v>
      </c>
      <c r="L4" t="s">
        <v>47</v>
      </c>
      <c r="M4" t="s">
        <v>40</v>
      </c>
      <c r="N4">
        <f>(NewTable[[#This Row],[UnitPrice]]-(NewTable[[#This Row],[UnitPrice]]*NewTable[[#This Row],[DiscountPct]]))*NewTable[[#This Row],[Units]]*(1+NewTable[[#This Row],[TaxRatePct]]/100)</f>
        <v>27027.000000000004</v>
      </c>
    </row>
    <row r="5" spans="1:18" x14ac:dyDescent="0.3">
      <c r="A5">
        <v>4004</v>
      </c>
      <c r="B5" s="2">
        <v>45750</v>
      </c>
      <c r="C5" t="s">
        <v>48</v>
      </c>
      <c r="D5" t="s">
        <v>49</v>
      </c>
      <c r="E5" t="s">
        <v>136</v>
      </c>
      <c r="F5" t="s">
        <v>50</v>
      </c>
      <c r="G5" t="s">
        <v>46</v>
      </c>
      <c r="H5">
        <v>6</v>
      </c>
      <c r="I5">
        <v>1650</v>
      </c>
      <c r="J5">
        <v>0.08</v>
      </c>
      <c r="K5">
        <v>18</v>
      </c>
      <c r="L5" t="s">
        <v>39</v>
      </c>
      <c r="M5" t="s">
        <v>51</v>
      </c>
      <c r="N5">
        <f>(NewTable[[#This Row],[UnitPrice]]-(NewTable[[#This Row],[UnitPrice]]*NewTable[[#This Row],[DiscountPct]]))*NewTable[[#This Row],[Units]]*(1+NewTable[[#This Row],[TaxRatePct]]/100)</f>
        <v>10747.439999999999</v>
      </c>
    </row>
    <row r="6" spans="1:18" x14ac:dyDescent="0.3">
      <c r="A6">
        <v>4005</v>
      </c>
      <c r="B6" s="2">
        <v>45751</v>
      </c>
      <c r="C6" t="s">
        <v>52</v>
      </c>
      <c r="D6" t="s">
        <v>36</v>
      </c>
      <c r="E6" t="s">
        <v>156</v>
      </c>
      <c r="F6" t="s">
        <v>127</v>
      </c>
      <c r="G6" t="s">
        <v>38</v>
      </c>
      <c r="H6">
        <v>2</v>
      </c>
      <c r="I6">
        <v>15800</v>
      </c>
      <c r="J6">
        <v>0.12</v>
      </c>
      <c r="K6">
        <v>18</v>
      </c>
      <c r="L6" t="s">
        <v>39</v>
      </c>
      <c r="M6" t="s">
        <v>40</v>
      </c>
      <c r="N6">
        <f>(NewTable[[#This Row],[UnitPrice]]-(NewTable[[#This Row],[UnitPrice]]*NewTable[[#This Row],[DiscountPct]]))*NewTable[[#This Row],[Units]]*(1+NewTable[[#This Row],[TaxRatePct]]/100)</f>
        <v>32813.439999999995</v>
      </c>
    </row>
    <row r="7" spans="1:18" x14ac:dyDescent="0.3">
      <c r="A7">
        <v>4006</v>
      </c>
      <c r="B7" s="2">
        <v>45752</v>
      </c>
      <c r="C7" t="s">
        <v>41</v>
      </c>
      <c r="D7" t="s">
        <v>54</v>
      </c>
      <c r="E7" t="s">
        <v>138</v>
      </c>
      <c r="F7" t="s">
        <v>55</v>
      </c>
      <c r="G7" t="s">
        <v>56</v>
      </c>
      <c r="H7">
        <v>30</v>
      </c>
      <c r="I7">
        <v>72</v>
      </c>
      <c r="J7">
        <v>0</v>
      </c>
      <c r="K7">
        <v>18</v>
      </c>
      <c r="L7" t="s">
        <v>57</v>
      </c>
      <c r="M7" t="s">
        <v>40</v>
      </c>
      <c r="N7">
        <f>(NewTable[[#This Row],[UnitPrice]]-(NewTable[[#This Row],[UnitPrice]]*NewTable[[#This Row],[DiscountPct]]))*NewTable[[#This Row],[Units]]*(1+NewTable[[#This Row],[TaxRatePct]]/100)</f>
        <v>2548.7999999999997</v>
      </c>
    </row>
    <row r="8" spans="1:18" x14ac:dyDescent="0.3">
      <c r="A8">
        <v>4007</v>
      </c>
      <c r="B8" s="2">
        <v>45753</v>
      </c>
      <c r="C8" t="s">
        <v>58</v>
      </c>
      <c r="D8" t="s">
        <v>44</v>
      </c>
      <c r="E8" t="s">
        <v>139</v>
      </c>
      <c r="F8" t="s">
        <v>59</v>
      </c>
      <c r="G8" t="s">
        <v>38</v>
      </c>
      <c r="H8">
        <v>12</v>
      </c>
      <c r="I8">
        <v>3600</v>
      </c>
      <c r="J8">
        <v>0.05</v>
      </c>
      <c r="K8">
        <v>10</v>
      </c>
      <c r="L8" t="s">
        <v>39</v>
      </c>
      <c r="M8" t="s">
        <v>40</v>
      </c>
      <c r="N8">
        <f>(NewTable[[#This Row],[UnitPrice]]-(NewTable[[#This Row],[UnitPrice]]*NewTable[[#This Row],[DiscountPct]]))*NewTable[[#This Row],[Units]]*(1+NewTable[[#This Row],[TaxRatePct]]/100)</f>
        <v>45144.000000000007</v>
      </c>
    </row>
    <row r="9" spans="1:18" x14ac:dyDescent="0.3">
      <c r="A9">
        <v>4008</v>
      </c>
      <c r="B9" s="2">
        <v>45754</v>
      </c>
      <c r="C9" t="s">
        <v>48</v>
      </c>
      <c r="D9" t="s">
        <v>74</v>
      </c>
      <c r="E9" t="s">
        <v>113</v>
      </c>
      <c r="F9" t="s">
        <v>128</v>
      </c>
      <c r="G9" t="s">
        <v>38</v>
      </c>
      <c r="H9">
        <v>10</v>
      </c>
      <c r="I9">
        <v>63000</v>
      </c>
      <c r="J9">
        <v>0.08</v>
      </c>
      <c r="K9">
        <v>18</v>
      </c>
      <c r="L9" t="s">
        <v>39</v>
      </c>
      <c r="M9" t="s">
        <v>62</v>
      </c>
      <c r="N9">
        <f>(NewTable[[#This Row],[UnitPrice]]-(NewTable[[#This Row],[UnitPrice]]*NewTable[[#This Row],[DiscountPct]]))*NewTable[[#This Row],[Units]]*(1+NewTable[[#This Row],[TaxRatePct]]/100)</f>
        <v>683928</v>
      </c>
      <c r="R9" s="10" t="s">
        <v>131</v>
      </c>
    </row>
    <row r="10" spans="1:18" x14ac:dyDescent="0.3">
      <c r="A10">
        <v>4009</v>
      </c>
      <c r="B10" s="2">
        <v>45755</v>
      </c>
      <c r="C10" t="s">
        <v>52</v>
      </c>
      <c r="D10" t="s">
        <v>63</v>
      </c>
      <c r="E10" t="s">
        <v>157</v>
      </c>
      <c r="F10" t="s">
        <v>64</v>
      </c>
      <c r="G10" t="s">
        <v>46</v>
      </c>
      <c r="H10">
        <v>11</v>
      </c>
      <c r="I10">
        <v>19800</v>
      </c>
      <c r="J10">
        <v>0.12</v>
      </c>
      <c r="K10">
        <v>18</v>
      </c>
      <c r="L10" t="s">
        <v>47</v>
      </c>
      <c r="M10" t="s">
        <v>40</v>
      </c>
      <c r="N10">
        <f>(NewTable[[#This Row],[UnitPrice]]-(NewTable[[#This Row],[UnitPrice]]*NewTable[[#This Row],[DiscountPct]]))*NewTable[[#This Row],[Units]]*(1+NewTable[[#This Row],[TaxRatePct]]/100)</f>
        <v>226163.52</v>
      </c>
    </row>
    <row r="11" spans="1:18" x14ac:dyDescent="0.3">
      <c r="A11">
        <v>4010</v>
      </c>
      <c r="B11" s="2">
        <v>45756</v>
      </c>
      <c r="C11" t="s">
        <v>41</v>
      </c>
      <c r="D11" t="s">
        <v>42</v>
      </c>
      <c r="E11" t="s">
        <v>142</v>
      </c>
      <c r="F11" t="s">
        <v>129</v>
      </c>
      <c r="G11" t="s">
        <v>38</v>
      </c>
      <c r="H11">
        <v>2</v>
      </c>
      <c r="I11">
        <v>24000</v>
      </c>
      <c r="J11">
        <v>0.05</v>
      </c>
      <c r="K11">
        <v>18</v>
      </c>
      <c r="L11" t="s">
        <v>39</v>
      </c>
      <c r="M11" t="s">
        <v>40</v>
      </c>
      <c r="N11">
        <f>(NewTable[[#This Row],[UnitPrice]]-(NewTable[[#This Row],[UnitPrice]]*NewTable[[#This Row],[DiscountPct]]))*NewTable[[#This Row],[Units]]*(1+NewTable[[#This Row],[TaxRatePct]]/100)</f>
        <v>53808</v>
      </c>
    </row>
    <row r="12" spans="1:18" x14ac:dyDescent="0.3">
      <c r="A12">
        <v>4011</v>
      </c>
      <c r="B12" s="2">
        <v>45757</v>
      </c>
      <c r="C12" t="s">
        <v>58</v>
      </c>
      <c r="D12" t="s">
        <v>66</v>
      </c>
      <c r="E12" t="s">
        <v>143</v>
      </c>
      <c r="F12" t="s">
        <v>67</v>
      </c>
      <c r="G12" t="s">
        <v>38</v>
      </c>
      <c r="H12">
        <v>1</v>
      </c>
      <c r="I12">
        <v>13200</v>
      </c>
      <c r="J12">
        <v>0.06</v>
      </c>
      <c r="K12">
        <v>10</v>
      </c>
      <c r="L12" t="s">
        <v>47</v>
      </c>
      <c r="M12" t="s">
        <v>40</v>
      </c>
      <c r="N12">
        <f>(NewTable[[#This Row],[UnitPrice]]-(NewTable[[#This Row],[UnitPrice]]*NewTable[[#This Row],[DiscountPct]]))*NewTable[[#This Row],[Units]]*(1+NewTable[[#This Row],[TaxRatePct]]/100)</f>
        <v>13648.800000000001</v>
      </c>
    </row>
    <row r="13" spans="1:18" x14ac:dyDescent="0.3">
      <c r="A13">
        <v>4012</v>
      </c>
      <c r="B13" s="2">
        <v>45758</v>
      </c>
      <c r="C13" t="s">
        <v>48</v>
      </c>
      <c r="D13" t="s">
        <v>79</v>
      </c>
      <c r="E13" t="s">
        <v>117</v>
      </c>
      <c r="F13" t="s">
        <v>68</v>
      </c>
      <c r="G13" t="s">
        <v>46</v>
      </c>
      <c r="H13">
        <v>2</v>
      </c>
      <c r="I13">
        <v>9800</v>
      </c>
      <c r="J13">
        <v>0</v>
      </c>
      <c r="K13">
        <v>18</v>
      </c>
      <c r="L13" t="s">
        <v>57</v>
      </c>
      <c r="M13" t="s">
        <v>40</v>
      </c>
      <c r="N13">
        <f>(NewTable[[#This Row],[UnitPrice]]-(NewTable[[#This Row],[UnitPrice]]*NewTable[[#This Row],[DiscountPct]]))*NewTable[[#This Row],[Units]]*(1+NewTable[[#This Row],[TaxRatePct]]/100)</f>
        <v>23128</v>
      </c>
    </row>
    <row r="14" spans="1:18" x14ac:dyDescent="0.3">
      <c r="A14">
        <v>4013</v>
      </c>
      <c r="B14" s="2">
        <v>45759</v>
      </c>
      <c r="C14" t="s">
        <v>52</v>
      </c>
      <c r="D14" t="s">
        <v>36</v>
      </c>
      <c r="E14" t="s">
        <v>148</v>
      </c>
      <c r="F14" t="s">
        <v>69</v>
      </c>
      <c r="G14" t="s">
        <v>70</v>
      </c>
      <c r="H14">
        <v>6</v>
      </c>
      <c r="I14">
        <v>1150</v>
      </c>
      <c r="J14">
        <v>0.04</v>
      </c>
      <c r="K14">
        <v>18</v>
      </c>
      <c r="L14" t="s">
        <v>39</v>
      </c>
      <c r="M14" t="s">
        <v>40</v>
      </c>
      <c r="N14">
        <f>(NewTable[[#This Row],[UnitPrice]]-(NewTable[[#This Row],[UnitPrice]]*NewTable[[#This Row],[DiscountPct]]))*NewTable[[#This Row],[Units]]*(1+NewTable[[#This Row],[TaxRatePct]]/100)</f>
        <v>7816.32</v>
      </c>
    </row>
    <row r="15" spans="1:18" x14ac:dyDescent="0.3">
      <c r="A15">
        <v>4014</v>
      </c>
      <c r="B15" s="2">
        <v>45760</v>
      </c>
      <c r="C15" t="s">
        <v>41</v>
      </c>
      <c r="D15" t="s">
        <v>71</v>
      </c>
      <c r="E15" t="s">
        <v>118</v>
      </c>
      <c r="F15" t="s">
        <v>72</v>
      </c>
      <c r="G15" t="s">
        <v>38</v>
      </c>
      <c r="H15">
        <v>3</v>
      </c>
      <c r="I15">
        <v>2550</v>
      </c>
      <c r="J15">
        <v>0.05</v>
      </c>
      <c r="K15">
        <v>18</v>
      </c>
      <c r="L15" t="s">
        <v>39</v>
      </c>
      <c r="M15" t="s">
        <v>40</v>
      </c>
      <c r="N15">
        <f>(NewTable[[#This Row],[UnitPrice]]-(NewTable[[#This Row],[UnitPrice]]*NewTable[[#This Row],[DiscountPct]]))*NewTable[[#This Row],[Units]]*(1+NewTable[[#This Row],[TaxRatePct]]/100)</f>
        <v>8575.65</v>
      </c>
    </row>
    <row r="16" spans="1:18" x14ac:dyDescent="0.3">
      <c r="A16">
        <v>4015</v>
      </c>
      <c r="B16" s="2">
        <v>45761</v>
      </c>
      <c r="C16" t="s">
        <v>58</v>
      </c>
      <c r="D16" t="s">
        <v>73</v>
      </c>
      <c r="E16" t="s">
        <v>119</v>
      </c>
      <c r="F16" t="s">
        <v>50</v>
      </c>
      <c r="G16" t="s">
        <v>46</v>
      </c>
      <c r="H16">
        <v>4</v>
      </c>
      <c r="I16">
        <v>1650</v>
      </c>
      <c r="J16">
        <v>0.05</v>
      </c>
      <c r="K16">
        <v>10</v>
      </c>
      <c r="L16" t="s">
        <v>47</v>
      </c>
      <c r="M16" t="s">
        <v>40</v>
      </c>
      <c r="N16">
        <f>(NewTable[[#This Row],[UnitPrice]]-(NewTable[[#This Row],[UnitPrice]]*NewTable[[#This Row],[DiscountPct]]))*NewTable[[#This Row],[Units]]*(1+NewTable[[#This Row],[TaxRatePct]]/100)</f>
        <v>6897.0000000000009</v>
      </c>
    </row>
    <row r="17" spans="1:14" x14ac:dyDescent="0.3">
      <c r="A17">
        <v>4016</v>
      </c>
      <c r="B17" s="2">
        <v>45762</v>
      </c>
      <c r="C17" t="s">
        <v>48</v>
      </c>
      <c r="D17" t="s">
        <v>60</v>
      </c>
      <c r="E17" t="s">
        <v>120</v>
      </c>
      <c r="F17" t="s">
        <v>55</v>
      </c>
      <c r="G17" t="s">
        <v>56</v>
      </c>
      <c r="H17">
        <v>28</v>
      </c>
      <c r="I17">
        <v>80</v>
      </c>
      <c r="J17">
        <v>0</v>
      </c>
      <c r="K17">
        <v>18</v>
      </c>
      <c r="L17" t="s">
        <v>57</v>
      </c>
      <c r="M17" t="s">
        <v>40</v>
      </c>
      <c r="N17">
        <f>(NewTable[[#This Row],[UnitPrice]]-(NewTable[[#This Row],[UnitPrice]]*NewTable[[#This Row],[DiscountPct]]))*NewTable[[#This Row],[Units]]*(1+NewTable[[#This Row],[TaxRatePct]]/100)</f>
        <v>2643.2</v>
      </c>
    </row>
    <row r="18" spans="1:14" x14ac:dyDescent="0.3">
      <c r="A18">
        <v>4017</v>
      </c>
      <c r="B18" s="2">
        <v>45763</v>
      </c>
      <c r="C18" t="s">
        <v>52</v>
      </c>
      <c r="D18" t="s">
        <v>76</v>
      </c>
      <c r="E18" t="s">
        <v>121</v>
      </c>
      <c r="F18" t="s">
        <v>127</v>
      </c>
      <c r="G18" t="s">
        <v>38</v>
      </c>
      <c r="H18">
        <v>1</v>
      </c>
      <c r="I18">
        <v>15200</v>
      </c>
      <c r="J18">
        <v>0.09</v>
      </c>
      <c r="K18">
        <v>18</v>
      </c>
      <c r="L18" t="s">
        <v>39</v>
      </c>
      <c r="M18" t="s">
        <v>62</v>
      </c>
      <c r="N18">
        <f>(NewTable[[#This Row],[UnitPrice]]-(NewTable[[#This Row],[UnitPrice]]*NewTable[[#This Row],[DiscountPct]]))*NewTable[[#This Row],[Units]]*(1+NewTable[[#This Row],[TaxRatePct]]/100)</f>
        <v>16321.759999999998</v>
      </c>
    </row>
    <row r="19" spans="1:14" x14ac:dyDescent="0.3">
      <c r="A19">
        <v>4018</v>
      </c>
      <c r="B19" s="2">
        <v>45764</v>
      </c>
      <c r="C19" t="s">
        <v>41</v>
      </c>
      <c r="D19" t="s">
        <v>42</v>
      </c>
      <c r="E19" t="s">
        <v>122</v>
      </c>
      <c r="F19" t="s">
        <v>45</v>
      </c>
      <c r="G19" t="s">
        <v>46</v>
      </c>
      <c r="H19">
        <v>22</v>
      </c>
      <c r="I19">
        <v>9000</v>
      </c>
      <c r="J19">
        <v>0.05</v>
      </c>
      <c r="K19">
        <v>18</v>
      </c>
      <c r="L19" t="s">
        <v>47</v>
      </c>
      <c r="M19" t="s">
        <v>40</v>
      </c>
      <c r="N19">
        <f>(NewTable[[#This Row],[UnitPrice]]-(NewTable[[#This Row],[UnitPrice]]*NewTable[[#This Row],[DiscountPct]]))*NewTable[[#This Row],[Units]]*(1+NewTable[[#This Row],[TaxRatePct]]/100)</f>
        <v>221958</v>
      </c>
    </row>
    <row r="20" spans="1:14" x14ac:dyDescent="0.3">
      <c r="A20">
        <v>4019</v>
      </c>
      <c r="B20" s="2">
        <v>45765</v>
      </c>
      <c r="C20" t="s">
        <v>58</v>
      </c>
      <c r="D20" t="s">
        <v>44</v>
      </c>
      <c r="E20" t="s">
        <v>123</v>
      </c>
      <c r="F20" t="s">
        <v>43</v>
      </c>
      <c r="G20" t="s">
        <v>38</v>
      </c>
      <c r="H20">
        <v>10</v>
      </c>
      <c r="I20">
        <v>710</v>
      </c>
      <c r="J20">
        <v>0.02</v>
      </c>
      <c r="K20">
        <v>10</v>
      </c>
      <c r="L20" t="s">
        <v>39</v>
      </c>
      <c r="M20" t="s">
        <v>40</v>
      </c>
      <c r="N20">
        <f>(NewTable[[#This Row],[UnitPrice]]-(NewTable[[#This Row],[UnitPrice]]*NewTable[[#This Row],[DiscountPct]]))*NewTable[[#This Row],[Units]]*(1+NewTable[[#This Row],[TaxRatePct]]/100)</f>
        <v>7653.8</v>
      </c>
    </row>
    <row r="21" spans="1:14" x14ac:dyDescent="0.3">
      <c r="A21">
        <v>4020</v>
      </c>
      <c r="B21" s="2">
        <v>45766</v>
      </c>
      <c r="C21" t="s">
        <v>48</v>
      </c>
      <c r="D21" t="s">
        <v>49</v>
      </c>
      <c r="E21" t="s">
        <v>124</v>
      </c>
      <c r="F21" t="s">
        <v>126</v>
      </c>
      <c r="G21" t="s">
        <v>38</v>
      </c>
      <c r="H21">
        <v>2</v>
      </c>
      <c r="I21">
        <v>53000</v>
      </c>
      <c r="J21">
        <v>0.06</v>
      </c>
      <c r="K21">
        <v>18</v>
      </c>
      <c r="L21" t="s">
        <v>39</v>
      </c>
      <c r="M21" t="s">
        <v>40</v>
      </c>
      <c r="N21">
        <f>(NewTable[[#This Row],[UnitPrice]]-(NewTable[[#This Row],[UnitPrice]]*NewTable[[#This Row],[DiscountPct]]))*NewTable[[#This Row],[Units]]*(1+NewTable[[#This Row],[TaxRatePct]]/100)</f>
        <v>117575.2</v>
      </c>
    </row>
    <row r="22" spans="1:14" x14ac:dyDescent="0.3">
      <c r="A22">
        <v>4021</v>
      </c>
      <c r="B22" s="2">
        <v>45767</v>
      </c>
      <c r="C22" t="s">
        <v>52</v>
      </c>
      <c r="D22" t="s">
        <v>36</v>
      </c>
      <c r="E22" t="s">
        <v>110</v>
      </c>
      <c r="F22" t="s">
        <v>64</v>
      </c>
      <c r="G22" t="s">
        <v>46</v>
      </c>
      <c r="H22">
        <v>1</v>
      </c>
      <c r="I22">
        <v>20500</v>
      </c>
      <c r="J22">
        <v>0.15</v>
      </c>
      <c r="K22">
        <v>18</v>
      </c>
      <c r="L22" t="s">
        <v>47</v>
      </c>
      <c r="M22" t="s">
        <v>40</v>
      </c>
      <c r="N22">
        <f>(NewTable[[#This Row],[UnitPrice]]-(NewTable[[#This Row],[UnitPrice]]*NewTable[[#This Row],[DiscountPct]]))*NewTable[[#This Row],[Units]]*(1+NewTable[[#This Row],[TaxRatePct]]/100)</f>
        <v>20561.5</v>
      </c>
    </row>
    <row r="23" spans="1:14" x14ac:dyDescent="0.3">
      <c r="A23">
        <v>4022</v>
      </c>
      <c r="B23" s="2">
        <v>45768</v>
      </c>
      <c r="C23" t="s">
        <v>41</v>
      </c>
      <c r="D23" t="s">
        <v>54</v>
      </c>
      <c r="E23" t="s">
        <v>125</v>
      </c>
      <c r="F23" t="s">
        <v>128</v>
      </c>
      <c r="G23" t="s">
        <v>38</v>
      </c>
      <c r="H23">
        <v>3</v>
      </c>
      <c r="I23">
        <v>66000</v>
      </c>
      <c r="J23">
        <v>0.09</v>
      </c>
      <c r="K23">
        <v>18</v>
      </c>
      <c r="L23" t="s">
        <v>39</v>
      </c>
      <c r="M23" t="s">
        <v>40</v>
      </c>
      <c r="N23">
        <f>(NewTable[[#This Row],[UnitPrice]]-(NewTable[[#This Row],[UnitPrice]]*NewTable[[#This Row],[DiscountPct]]))*NewTable[[#This Row],[Units]]*(1+NewTable[[#This Row],[TaxRatePct]]/100)</f>
        <v>212612.4</v>
      </c>
    </row>
    <row r="24" spans="1:14" x14ac:dyDescent="0.3">
      <c r="A24">
        <v>4023</v>
      </c>
      <c r="B24" s="2">
        <v>45769</v>
      </c>
      <c r="C24" t="s">
        <v>58</v>
      </c>
      <c r="D24" t="s">
        <v>66</v>
      </c>
      <c r="E24" t="s">
        <v>116</v>
      </c>
      <c r="F24" t="s">
        <v>78</v>
      </c>
      <c r="G24" t="s">
        <v>38</v>
      </c>
      <c r="H24">
        <v>5</v>
      </c>
      <c r="I24">
        <v>1850</v>
      </c>
      <c r="J24">
        <v>0</v>
      </c>
      <c r="K24">
        <v>18</v>
      </c>
      <c r="L24" t="s">
        <v>39</v>
      </c>
      <c r="M24" t="s">
        <v>40</v>
      </c>
      <c r="N24">
        <f>(NewTable[[#This Row],[UnitPrice]]-(NewTable[[#This Row],[UnitPrice]]*NewTable[[#This Row],[DiscountPct]]))*NewTable[[#This Row],[Units]]*(1+NewTable[[#This Row],[TaxRatePct]]/100)</f>
        <v>10915</v>
      </c>
    </row>
    <row r="25" spans="1:14" x14ac:dyDescent="0.3">
      <c r="A25">
        <v>4024</v>
      </c>
      <c r="B25" s="2">
        <v>45770</v>
      </c>
      <c r="C25" t="s">
        <v>48</v>
      </c>
      <c r="D25" t="s">
        <v>79</v>
      </c>
      <c r="E25" t="s">
        <v>144</v>
      </c>
      <c r="F25" t="s">
        <v>80</v>
      </c>
      <c r="G25" t="s">
        <v>56</v>
      </c>
      <c r="H25">
        <v>70</v>
      </c>
      <c r="I25">
        <v>11</v>
      </c>
      <c r="J25">
        <v>0</v>
      </c>
      <c r="K25">
        <v>18</v>
      </c>
      <c r="L25" t="s">
        <v>57</v>
      </c>
      <c r="M25" t="s">
        <v>40</v>
      </c>
      <c r="N25">
        <f>(NewTable[[#This Row],[UnitPrice]]-(NewTable[[#This Row],[UnitPrice]]*NewTable[[#This Row],[DiscountPct]]))*NewTable[[#This Row],[Units]]*(1+NewTable[[#This Row],[TaxRatePct]]/100)</f>
        <v>908.59999999999991</v>
      </c>
    </row>
    <row r="26" spans="1:14" x14ac:dyDescent="0.3">
      <c r="A26">
        <v>4025</v>
      </c>
      <c r="B26" s="2">
        <v>45771</v>
      </c>
      <c r="C26" t="s">
        <v>52</v>
      </c>
      <c r="D26" t="s">
        <v>63</v>
      </c>
      <c r="E26" t="s">
        <v>114</v>
      </c>
      <c r="F26" t="s">
        <v>82</v>
      </c>
      <c r="G26" t="s">
        <v>38</v>
      </c>
      <c r="H26">
        <v>5</v>
      </c>
      <c r="I26">
        <v>3200</v>
      </c>
      <c r="J26">
        <v>0.05</v>
      </c>
      <c r="K26">
        <v>10</v>
      </c>
      <c r="L26" t="s">
        <v>39</v>
      </c>
      <c r="M26" t="s">
        <v>40</v>
      </c>
      <c r="N26">
        <f>(NewTable[[#This Row],[UnitPrice]]-(NewTable[[#This Row],[UnitPrice]]*NewTable[[#This Row],[DiscountPct]]))*NewTable[[#This Row],[Units]]*(1+NewTable[[#This Row],[TaxRatePct]]/100)</f>
        <v>16720</v>
      </c>
    </row>
    <row r="27" spans="1:14" x14ac:dyDescent="0.3">
      <c r="A27">
        <v>4008</v>
      </c>
      <c r="B27" s="2">
        <v>45754</v>
      </c>
      <c r="C27" t="s">
        <v>48</v>
      </c>
      <c r="D27" t="s">
        <v>74</v>
      </c>
      <c r="E27" t="s">
        <v>113</v>
      </c>
      <c r="F27" t="s">
        <v>128</v>
      </c>
      <c r="G27" t="s">
        <v>38</v>
      </c>
      <c r="H27">
        <v>10</v>
      </c>
      <c r="I27">
        <v>63000</v>
      </c>
      <c r="J27">
        <v>0.08</v>
      </c>
      <c r="K27">
        <v>18</v>
      </c>
      <c r="L27" t="s">
        <v>39</v>
      </c>
      <c r="M27" t="s">
        <v>62</v>
      </c>
      <c r="N27">
        <f>(NewTable[[#This Row],[UnitPrice]]-(NewTable[[#This Row],[UnitPrice]]*NewTable[[#This Row],[DiscountPct]]))*NewTable[[#This Row],[Units]]*(1+NewTable[[#This Row],[TaxRatePct]]/100)</f>
        <v>683928</v>
      </c>
    </row>
    <row r="28" spans="1:14" x14ac:dyDescent="0.3">
      <c r="A28">
        <v>4009</v>
      </c>
      <c r="B28" s="2">
        <v>45755</v>
      </c>
      <c r="C28" t="s">
        <v>52</v>
      </c>
      <c r="D28" t="s">
        <v>63</v>
      </c>
      <c r="E28" t="s">
        <v>157</v>
      </c>
      <c r="F28" t="s">
        <v>64</v>
      </c>
      <c r="G28" t="s">
        <v>46</v>
      </c>
      <c r="H28">
        <v>11</v>
      </c>
      <c r="I28">
        <v>19800</v>
      </c>
      <c r="J28">
        <v>0.12</v>
      </c>
      <c r="K28">
        <v>18</v>
      </c>
      <c r="L28" t="s">
        <v>47</v>
      </c>
      <c r="M28" t="s">
        <v>40</v>
      </c>
      <c r="N28">
        <f>(NewTable[[#This Row],[UnitPrice]]-(NewTable[[#This Row],[UnitPrice]]*NewTable[[#This Row],[DiscountPct]]))*NewTable[[#This Row],[Units]]*(1+NewTable[[#This Row],[TaxRatePct]]/100)</f>
        <v>226163.52</v>
      </c>
    </row>
    <row r="29" spans="1:14" x14ac:dyDescent="0.3">
      <c r="A29">
        <v>4010</v>
      </c>
      <c r="B29" s="2">
        <v>45756</v>
      </c>
      <c r="C29" t="s">
        <v>41</v>
      </c>
      <c r="D29" t="s">
        <v>42</v>
      </c>
      <c r="E29" t="s">
        <v>142</v>
      </c>
      <c r="F29" t="s">
        <v>129</v>
      </c>
      <c r="G29" t="s">
        <v>38</v>
      </c>
      <c r="H29">
        <v>2</v>
      </c>
      <c r="I29">
        <v>24000</v>
      </c>
      <c r="J29">
        <v>0.05</v>
      </c>
      <c r="K29">
        <v>18</v>
      </c>
      <c r="L29" t="s">
        <v>39</v>
      </c>
      <c r="M29" t="s">
        <v>40</v>
      </c>
      <c r="N29">
        <f>(NewTable[[#This Row],[UnitPrice]]-(NewTable[[#This Row],[UnitPrice]]*NewTable[[#This Row],[DiscountPct]]))*NewTable[[#This Row],[Units]]*(1+NewTable[[#This Row],[TaxRatePct]]/100)</f>
        <v>53808</v>
      </c>
    </row>
    <row r="30" spans="1:14" x14ac:dyDescent="0.3">
      <c r="A30">
        <v>4011</v>
      </c>
      <c r="B30" s="2">
        <v>45757</v>
      </c>
      <c r="C30" t="s">
        <v>58</v>
      </c>
      <c r="D30" t="s">
        <v>66</v>
      </c>
      <c r="E30" t="s">
        <v>143</v>
      </c>
      <c r="F30" t="s">
        <v>67</v>
      </c>
      <c r="G30" t="s">
        <v>38</v>
      </c>
      <c r="H30">
        <v>1</v>
      </c>
      <c r="I30">
        <v>13200</v>
      </c>
      <c r="J30">
        <v>0.06</v>
      </c>
      <c r="K30">
        <v>10</v>
      </c>
      <c r="L30" t="s">
        <v>47</v>
      </c>
      <c r="M30" t="s">
        <v>40</v>
      </c>
      <c r="N30">
        <f>(NewTable[[#This Row],[UnitPrice]]-(NewTable[[#This Row],[UnitPrice]]*NewTable[[#This Row],[DiscountPct]]))*NewTable[[#This Row],[Units]]*(1+NewTable[[#This Row],[TaxRatePct]]/100)</f>
        <v>13648.800000000001</v>
      </c>
    </row>
    <row r="31" spans="1:14" x14ac:dyDescent="0.3">
      <c r="A31">
        <v>4012</v>
      </c>
      <c r="B31" s="2">
        <v>45758</v>
      </c>
      <c r="C31" t="s">
        <v>48</v>
      </c>
      <c r="D31" t="s">
        <v>79</v>
      </c>
      <c r="E31" t="s">
        <v>117</v>
      </c>
      <c r="F31" t="s">
        <v>68</v>
      </c>
      <c r="G31" t="s">
        <v>46</v>
      </c>
      <c r="H31">
        <v>2</v>
      </c>
      <c r="I31">
        <v>9800</v>
      </c>
      <c r="J31">
        <v>0</v>
      </c>
      <c r="K31">
        <v>18</v>
      </c>
      <c r="L31" t="s">
        <v>57</v>
      </c>
      <c r="M31" t="s">
        <v>40</v>
      </c>
      <c r="N31">
        <f>(NewTable[[#This Row],[UnitPrice]]-(NewTable[[#This Row],[UnitPrice]]*NewTable[[#This Row],[DiscountPct]]))*NewTable[[#This Row],[Units]]*(1+NewTable[[#This Row],[TaxRatePct]]/100)</f>
        <v>23128</v>
      </c>
    </row>
    <row r="32" spans="1:14" x14ac:dyDescent="0.3">
      <c r="A32">
        <v>4013</v>
      </c>
      <c r="B32" s="2">
        <v>45759</v>
      </c>
      <c r="C32" t="s">
        <v>52</v>
      </c>
      <c r="D32" t="s">
        <v>36</v>
      </c>
      <c r="E32" t="s">
        <v>148</v>
      </c>
      <c r="F32" t="s">
        <v>69</v>
      </c>
      <c r="G32" t="s">
        <v>70</v>
      </c>
      <c r="H32">
        <v>6</v>
      </c>
      <c r="I32">
        <v>1150</v>
      </c>
      <c r="J32">
        <v>0.04</v>
      </c>
      <c r="K32">
        <v>18</v>
      </c>
      <c r="L32" t="s">
        <v>39</v>
      </c>
      <c r="M32" t="s">
        <v>40</v>
      </c>
      <c r="N32">
        <f>(NewTable[[#This Row],[UnitPrice]]-(NewTable[[#This Row],[UnitPrice]]*NewTable[[#This Row],[DiscountPct]]))*NewTable[[#This Row],[Units]]*(1+NewTable[[#This Row],[TaxRatePct]]/100)</f>
        <v>7816.32</v>
      </c>
    </row>
    <row r="33" spans="1:14" x14ac:dyDescent="0.3">
      <c r="A33">
        <v>4014</v>
      </c>
      <c r="B33" s="2">
        <v>45760</v>
      </c>
      <c r="C33" t="s">
        <v>41</v>
      </c>
      <c r="D33" t="s">
        <v>71</v>
      </c>
      <c r="E33" t="s">
        <v>118</v>
      </c>
      <c r="F33" t="s">
        <v>72</v>
      </c>
      <c r="G33" t="s">
        <v>38</v>
      </c>
      <c r="H33">
        <v>3</v>
      </c>
      <c r="I33">
        <v>2550</v>
      </c>
      <c r="J33">
        <v>0.05</v>
      </c>
      <c r="K33">
        <v>18</v>
      </c>
      <c r="L33" t="s">
        <v>39</v>
      </c>
      <c r="M33" t="s">
        <v>40</v>
      </c>
      <c r="N33">
        <f>(NewTable[[#This Row],[UnitPrice]]-(NewTable[[#This Row],[UnitPrice]]*NewTable[[#This Row],[DiscountPct]]))*NewTable[[#This Row],[Units]]*(1+NewTable[[#This Row],[TaxRatePct]]/100)</f>
        <v>8575.65</v>
      </c>
    </row>
    <row r="34" spans="1:14" x14ac:dyDescent="0.3">
      <c r="A34">
        <v>4015</v>
      </c>
      <c r="B34" s="2">
        <v>45761</v>
      </c>
      <c r="C34" t="s">
        <v>58</v>
      </c>
      <c r="D34" t="s">
        <v>73</v>
      </c>
      <c r="E34" t="s">
        <v>119</v>
      </c>
      <c r="F34" t="s">
        <v>50</v>
      </c>
      <c r="G34" t="s">
        <v>46</v>
      </c>
      <c r="H34">
        <v>4</v>
      </c>
      <c r="I34">
        <v>1650</v>
      </c>
      <c r="J34">
        <v>0.05</v>
      </c>
      <c r="K34">
        <v>10</v>
      </c>
      <c r="L34" t="s">
        <v>47</v>
      </c>
      <c r="M34" t="s">
        <v>40</v>
      </c>
      <c r="N34">
        <f>(NewTable[[#This Row],[UnitPrice]]-(NewTable[[#This Row],[UnitPrice]]*NewTable[[#This Row],[DiscountPct]]))*NewTable[[#This Row],[Units]]*(1+NewTable[[#This Row],[TaxRatePct]]/100)</f>
        <v>6897.0000000000009</v>
      </c>
    </row>
    <row r="35" spans="1:14" x14ac:dyDescent="0.3">
      <c r="A35">
        <v>4016</v>
      </c>
      <c r="B35" s="2">
        <v>45762</v>
      </c>
      <c r="C35" t="s">
        <v>48</v>
      </c>
      <c r="D35" t="s">
        <v>60</v>
      </c>
      <c r="E35" t="s">
        <v>120</v>
      </c>
      <c r="F35" t="s">
        <v>55</v>
      </c>
      <c r="G35" t="s">
        <v>56</v>
      </c>
      <c r="H35">
        <v>28</v>
      </c>
      <c r="I35">
        <v>80</v>
      </c>
      <c r="J35">
        <v>0</v>
      </c>
      <c r="K35">
        <v>18</v>
      </c>
      <c r="L35" t="s">
        <v>57</v>
      </c>
      <c r="M35" t="s">
        <v>40</v>
      </c>
      <c r="N35">
        <f>(NewTable[[#This Row],[UnitPrice]]-(NewTable[[#This Row],[UnitPrice]]*NewTable[[#This Row],[DiscountPct]]))*NewTable[[#This Row],[Units]]*(1+NewTable[[#This Row],[TaxRatePct]]/100)</f>
        <v>2643.2</v>
      </c>
    </row>
    <row r="36" spans="1:14" x14ac:dyDescent="0.3">
      <c r="A36">
        <v>4017</v>
      </c>
      <c r="B36" s="2">
        <v>45763</v>
      </c>
      <c r="C36" t="s">
        <v>52</v>
      </c>
      <c r="D36" t="s">
        <v>76</v>
      </c>
      <c r="E36" t="s">
        <v>121</v>
      </c>
      <c r="F36" t="s">
        <v>127</v>
      </c>
      <c r="G36" t="s">
        <v>38</v>
      </c>
      <c r="H36">
        <v>1</v>
      </c>
      <c r="I36">
        <v>15200</v>
      </c>
      <c r="J36">
        <v>0.09</v>
      </c>
      <c r="K36">
        <v>18</v>
      </c>
      <c r="L36" t="s">
        <v>39</v>
      </c>
      <c r="M36" t="s">
        <v>62</v>
      </c>
      <c r="N36">
        <f>(NewTable[[#This Row],[UnitPrice]]-(NewTable[[#This Row],[UnitPrice]]*NewTable[[#This Row],[DiscountPct]]))*NewTable[[#This Row],[Units]]*(1+NewTable[[#This Row],[TaxRatePct]]/100)</f>
        <v>16321.759999999998</v>
      </c>
    </row>
    <row r="37" spans="1:14" x14ac:dyDescent="0.3">
      <c r="A37">
        <v>4018</v>
      </c>
      <c r="B37" s="2">
        <v>45764</v>
      </c>
      <c r="C37" t="s">
        <v>41</v>
      </c>
      <c r="D37" t="s">
        <v>42</v>
      </c>
      <c r="E37" t="s">
        <v>122</v>
      </c>
      <c r="F37" t="s">
        <v>45</v>
      </c>
      <c r="G37" t="s">
        <v>46</v>
      </c>
      <c r="H37">
        <v>22</v>
      </c>
      <c r="I37">
        <v>9000</v>
      </c>
      <c r="J37">
        <v>0.05</v>
      </c>
      <c r="K37">
        <v>18</v>
      </c>
      <c r="L37" t="s">
        <v>47</v>
      </c>
      <c r="M37" t="s">
        <v>40</v>
      </c>
      <c r="N37">
        <f>(NewTable[[#This Row],[UnitPrice]]-(NewTable[[#This Row],[UnitPrice]]*NewTable[[#This Row],[DiscountPct]]))*NewTable[[#This Row],[Units]]*(1+NewTable[[#This Row],[TaxRatePct]]/100)</f>
        <v>221958</v>
      </c>
    </row>
    <row r="38" spans="1:14" x14ac:dyDescent="0.3">
      <c r="A38">
        <v>4019</v>
      </c>
      <c r="B38" s="2">
        <v>45765</v>
      </c>
      <c r="C38" t="s">
        <v>58</v>
      </c>
      <c r="D38" t="s">
        <v>44</v>
      </c>
      <c r="E38" t="s">
        <v>123</v>
      </c>
      <c r="F38" t="s">
        <v>43</v>
      </c>
      <c r="G38" t="s">
        <v>38</v>
      </c>
      <c r="H38">
        <v>10</v>
      </c>
      <c r="I38">
        <v>710</v>
      </c>
      <c r="J38">
        <v>0.02</v>
      </c>
      <c r="K38">
        <v>10</v>
      </c>
      <c r="L38" t="s">
        <v>39</v>
      </c>
      <c r="M38" t="s">
        <v>40</v>
      </c>
      <c r="N38">
        <f>(NewTable[[#This Row],[UnitPrice]]-(NewTable[[#This Row],[UnitPrice]]*NewTable[[#This Row],[DiscountPct]]))*NewTable[[#This Row],[Units]]*(1+NewTable[[#This Row],[TaxRatePct]]/100)</f>
        <v>7653.8</v>
      </c>
    </row>
    <row r="39" spans="1:14" x14ac:dyDescent="0.3">
      <c r="A39">
        <v>4020</v>
      </c>
      <c r="B39" s="2">
        <v>45766</v>
      </c>
      <c r="C39" t="s">
        <v>48</v>
      </c>
      <c r="D39" t="s">
        <v>49</v>
      </c>
      <c r="E39" t="s">
        <v>124</v>
      </c>
      <c r="F39" t="s">
        <v>126</v>
      </c>
      <c r="G39" t="s">
        <v>38</v>
      </c>
      <c r="H39">
        <v>2</v>
      </c>
      <c r="I39">
        <v>53000</v>
      </c>
      <c r="J39">
        <v>0.06</v>
      </c>
      <c r="K39">
        <v>18</v>
      </c>
      <c r="L39" t="s">
        <v>39</v>
      </c>
      <c r="M39" t="s">
        <v>40</v>
      </c>
      <c r="N39">
        <f>(NewTable[[#This Row],[UnitPrice]]-(NewTable[[#This Row],[UnitPrice]]*NewTable[[#This Row],[DiscountPct]]))*NewTable[[#This Row],[Units]]*(1+NewTable[[#This Row],[TaxRatePct]]/100)</f>
        <v>117575.2</v>
      </c>
    </row>
    <row r="40" spans="1:14" x14ac:dyDescent="0.3">
      <c r="A40">
        <v>4021</v>
      </c>
      <c r="B40" s="2">
        <v>45767</v>
      </c>
      <c r="C40" t="s">
        <v>52</v>
      </c>
      <c r="D40" t="s">
        <v>36</v>
      </c>
      <c r="E40" t="s">
        <v>110</v>
      </c>
      <c r="F40" t="s">
        <v>64</v>
      </c>
      <c r="G40" t="s">
        <v>46</v>
      </c>
      <c r="H40">
        <v>1</v>
      </c>
      <c r="I40">
        <v>20500</v>
      </c>
      <c r="J40">
        <v>0.15</v>
      </c>
      <c r="K40">
        <v>18</v>
      </c>
      <c r="L40" t="s">
        <v>47</v>
      </c>
      <c r="M40" t="s">
        <v>40</v>
      </c>
      <c r="N40">
        <f>(NewTable[[#This Row],[UnitPrice]]-(NewTable[[#This Row],[UnitPrice]]*NewTable[[#This Row],[DiscountPct]]))*NewTable[[#This Row],[Units]]*(1+NewTable[[#This Row],[TaxRatePct]]/100)</f>
        <v>20561.5</v>
      </c>
    </row>
    <row r="41" spans="1:14" x14ac:dyDescent="0.3">
      <c r="A41">
        <v>4022</v>
      </c>
      <c r="B41" s="2">
        <v>45768</v>
      </c>
      <c r="C41" t="s">
        <v>41</v>
      </c>
      <c r="D41" t="s">
        <v>54</v>
      </c>
      <c r="E41" t="s">
        <v>125</v>
      </c>
      <c r="F41" t="s">
        <v>128</v>
      </c>
      <c r="G41" t="s">
        <v>38</v>
      </c>
      <c r="H41">
        <v>3</v>
      </c>
      <c r="I41">
        <v>66000</v>
      </c>
      <c r="J41">
        <v>0.09</v>
      </c>
      <c r="K41">
        <v>18</v>
      </c>
      <c r="L41" t="s">
        <v>39</v>
      </c>
      <c r="M41" t="s">
        <v>40</v>
      </c>
      <c r="N41">
        <f>(NewTable[[#This Row],[UnitPrice]]-(NewTable[[#This Row],[UnitPrice]]*NewTable[[#This Row],[DiscountPct]]))*NewTable[[#This Row],[Units]]*(1+NewTable[[#This Row],[TaxRatePct]]/100)</f>
        <v>212612.4</v>
      </c>
    </row>
    <row r="42" spans="1:14" x14ac:dyDescent="0.3">
      <c r="A42">
        <v>4023</v>
      </c>
      <c r="B42" s="2">
        <v>45769</v>
      </c>
      <c r="C42" t="s">
        <v>58</v>
      </c>
      <c r="D42" t="s">
        <v>66</v>
      </c>
      <c r="E42" t="s">
        <v>116</v>
      </c>
      <c r="F42" t="s">
        <v>78</v>
      </c>
      <c r="G42" t="s">
        <v>38</v>
      </c>
      <c r="H42">
        <v>5</v>
      </c>
      <c r="I42">
        <v>1850</v>
      </c>
      <c r="J42">
        <v>0</v>
      </c>
      <c r="K42">
        <v>18</v>
      </c>
      <c r="L42" t="s">
        <v>39</v>
      </c>
      <c r="M42" t="s">
        <v>40</v>
      </c>
      <c r="N42">
        <f>(NewTable[[#This Row],[UnitPrice]]-(NewTable[[#This Row],[UnitPrice]]*NewTable[[#This Row],[DiscountPct]]))*NewTable[[#This Row],[Units]]*(1+NewTable[[#This Row],[TaxRatePct]]/100)</f>
        <v>10915</v>
      </c>
    </row>
    <row r="43" spans="1:14" x14ac:dyDescent="0.3">
      <c r="A43">
        <v>4024</v>
      </c>
      <c r="B43" s="2">
        <v>45770</v>
      </c>
      <c r="C43" t="s">
        <v>48</v>
      </c>
      <c r="D43" t="s">
        <v>79</v>
      </c>
      <c r="E43" t="s">
        <v>144</v>
      </c>
      <c r="F43" t="s">
        <v>80</v>
      </c>
      <c r="G43" t="s">
        <v>56</v>
      </c>
      <c r="H43">
        <v>70</v>
      </c>
      <c r="I43">
        <v>11</v>
      </c>
      <c r="J43">
        <v>0</v>
      </c>
      <c r="K43">
        <v>18</v>
      </c>
      <c r="L43" t="s">
        <v>57</v>
      </c>
      <c r="M43" t="s">
        <v>40</v>
      </c>
      <c r="N43">
        <f>(NewTable[[#This Row],[UnitPrice]]-(NewTable[[#This Row],[UnitPrice]]*NewTable[[#This Row],[DiscountPct]]))*NewTable[[#This Row],[Units]]*(1+NewTable[[#This Row],[TaxRatePct]]/100)</f>
        <v>908.59999999999991</v>
      </c>
    </row>
    <row r="44" spans="1:14" x14ac:dyDescent="0.3">
      <c r="A44">
        <v>4025</v>
      </c>
      <c r="B44" s="2">
        <v>45771</v>
      </c>
      <c r="C44" t="s">
        <v>52</v>
      </c>
      <c r="D44" t="s">
        <v>63</v>
      </c>
      <c r="E44" t="s">
        <v>114</v>
      </c>
      <c r="F44" t="s">
        <v>82</v>
      </c>
      <c r="G44" t="s">
        <v>38</v>
      </c>
      <c r="H44">
        <v>5</v>
      </c>
      <c r="I44">
        <v>3200</v>
      </c>
      <c r="J44">
        <v>0.05</v>
      </c>
      <c r="K44">
        <v>10</v>
      </c>
      <c r="L44" t="s">
        <v>39</v>
      </c>
      <c r="M44" t="s">
        <v>40</v>
      </c>
      <c r="N44">
        <f>(NewTable[[#This Row],[UnitPrice]]-(NewTable[[#This Row],[UnitPrice]]*NewTable[[#This Row],[DiscountPct]]))*NewTable[[#This Row],[Units]]*(1+NewTable[[#This Row],[TaxRatePct]]/100)</f>
        <v>16720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76BE3-E90B-4AA4-B236-1869AA7EEE5D}">
  <sheetPr codeName="Sheet14"/>
  <dimension ref="A1:V47"/>
  <sheetViews>
    <sheetView topLeftCell="H4" workbookViewId="0">
      <selection activeCell="V8" sqref="V8"/>
    </sheetView>
  </sheetViews>
  <sheetFormatPr defaultRowHeight="14.4" x14ac:dyDescent="0.3"/>
  <cols>
    <col min="1" max="1" width="9.44140625" customWidth="1"/>
    <col min="2" max="2" width="11.5546875" style="2" customWidth="1"/>
    <col min="5" max="5" width="16" customWidth="1"/>
    <col min="6" max="6" width="9.5546875" customWidth="1"/>
    <col min="7" max="7" width="10.44140625" customWidth="1"/>
    <col min="9" max="9" width="10.5546875" customWidth="1"/>
    <col min="10" max="10" width="12.88671875" customWidth="1"/>
    <col min="11" max="11" width="12.21875" customWidth="1"/>
    <col min="12" max="12" width="9.77734375" customWidth="1"/>
    <col min="14" max="14" width="12" customWidth="1"/>
    <col min="18" max="18" width="12.109375" customWidth="1"/>
  </cols>
  <sheetData>
    <row r="1" spans="1:22" x14ac:dyDescent="0.3">
      <c r="A1" t="s">
        <v>24</v>
      </c>
      <c r="B1" s="2" t="s">
        <v>25</v>
      </c>
      <c r="C1" t="s">
        <v>26</v>
      </c>
      <c r="D1" t="s">
        <v>27</v>
      </c>
      <c r="E1" t="s">
        <v>28</v>
      </c>
      <c r="F1" t="s">
        <v>29</v>
      </c>
      <c r="G1" t="s">
        <v>1</v>
      </c>
      <c r="H1" t="s">
        <v>30</v>
      </c>
      <c r="I1" t="s">
        <v>31</v>
      </c>
      <c r="J1" t="s">
        <v>32</v>
      </c>
      <c r="K1" t="s">
        <v>33</v>
      </c>
      <c r="L1" t="s">
        <v>34</v>
      </c>
      <c r="M1" t="s">
        <v>35</v>
      </c>
      <c r="N1" t="s">
        <v>130</v>
      </c>
    </row>
    <row r="2" spans="1:22" x14ac:dyDescent="0.3">
      <c r="A2">
        <v>4001</v>
      </c>
      <c r="B2" s="2">
        <v>45749</v>
      </c>
      <c r="C2" t="s">
        <v>52</v>
      </c>
      <c r="D2" t="s">
        <v>36</v>
      </c>
      <c r="E2" t="s">
        <v>154</v>
      </c>
      <c r="F2" t="s">
        <v>126</v>
      </c>
      <c r="G2" t="s">
        <v>38</v>
      </c>
      <c r="H2">
        <v>2</v>
      </c>
      <c r="I2">
        <v>56000</v>
      </c>
      <c r="J2">
        <v>0.05</v>
      </c>
      <c r="K2">
        <v>18</v>
      </c>
      <c r="L2" t="s">
        <v>39</v>
      </c>
      <c r="M2" t="s">
        <v>40</v>
      </c>
      <c r="N2">
        <f>(NewTable_1[[#This Row],[UnitPrice]]-(NewTable_1[[#This Row],[UnitPrice]]*NewTable_1[[#This Row],[DiscountPct]]))*NewTable_1[[#This Row],[Units]]*(1+NewTable_1[[#This Row],[TaxRatePct]]/100)</f>
        <v>125552</v>
      </c>
    </row>
    <row r="3" spans="1:22" x14ac:dyDescent="0.3">
      <c r="A3">
        <v>4002</v>
      </c>
      <c r="B3" s="2">
        <v>45749</v>
      </c>
      <c r="C3" t="s">
        <v>41</v>
      </c>
      <c r="D3" t="s">
        <v>42</v>
      </c>
      <c r="E3" t="s">
        <v>134</v>
      </c>
      <c r="F3" t="s">
        <v>43</v>
      </c>
      <c r="G3" t="s">
        <v>38</v>
      </c>
      <c r="H3">
        <v>7</v>
      </c>
      <c r="I3">
        <v>740</v>
      </c>
      <c r="J3">
        <v>0</v>
      </c>
      <c r="K3">
        <v>18</v>
      </c>
      <c r="L3" t="s">
        <v>39</v>
      </c>
      <c r="M3" t="s">
        <v>40</v>
      </c>
      <c r="N3">
        <f>(NewTable_1[[#This Row],[UnitPrice]]-(NewTable_1[[#This Row],[UnitPrice]]*NewTable_1[[#This Row],[DiscountPct]]))*NewTable_1[[#This Row],[Units]]*(1+NewTable_1[[#This Row],[TaxRatePct]]/100)</f>
        <v>6112.4</v>
      </c>
    </row>
    <row r="4" spans="1:22" x14ac:dyDescent="0.3">
      <c r="A4">
        <v>4003</v>
      </c>
      <c r="B4" s="2">
        <v>45749</v>
      </c>
      <c r="C4" t="s">
        <v>58</v>
      </c>
      <c r="D4" t="s">
        <v>44</v>
      </c>
      <c r="E4" t="s">
        <v>155</v>
      </c>
      <c r="F4" t="s">
        <v>45</v>
      </c>
      <c r="G4" t="s">
        <v>46</v>
      </c>
      <c r="H4">
        <v>3</v>
      </c>
      <c r="I4">
        <v>9100</v>
      </c>
      <c r="J4">
        <v>0.1</v>
      </c>
      <c r="K4">
        <v>10</v>
      </c>
      <c r="L4" t="s">
        <v>47</v>
      </c>
      <c r="M4" t="s">
        <v>40</v>
      </c>
      <c r="N4">
        <f>(NewTable_1[[#This Row],[UnitPrice]]-(NewTable_1[[#This Row],[UnitPrice]]*NewTable_1[[#This Row],[DiscountPct]]))*NewTable_1[[#This Row],[Units]]*(1+NewTable_1[[#This Row],[TaxRatePct]]/100)</f>
        <v>27027.000000000004</v>
      </c>
    </row>
    <row r="5" spans="1:22" x14ac:dyDescent="0.3">
      <c r="A5">
        <v>4004</v>
      </c>
      <c r="B5" s="2">
        <v>45750</v>
      </c>
      <c r="C5" t="s">
        <v>48</v>
      </c>
      <c r="D5" t="s">
        <v>49</v>
      </c>
      <c r="E5" t="s">
        <v>136</v>
      </c>
      <c r="F5" t="s">
        <v>50</v>
      </c>
      <c r="G5" t="s">
        <v>46</v>
      </c>
      <c r="H5">
        <v>6</v>
      </c>
      <c r="I5">
        <v>1650</v>
      </c>
      <c r="J5">
        <v>0.08</v>
      </c>
      <c r="K5">
        <v>18</v>
      </c>
      <c r="L5" t="s">
        <v>39</v>
      </c>
      <c r="M5" t="s">
        <v>51</v>
      </c>
      <c r="N5">
        <f>(NewTable_1[[#This Row],[UnitPrice]]-(NewTable_1[[#This Row],[UnitPrice]]*NewTable_1[[#This Row],[DiscountPct]]))*NewTable_1[[#This Row],[Units]]*(1+NewTable_1[[#This Row],[TaxRatePct]]/100)</f>
        <v>10747.439999999999</v>
      </c>
    </row>
    <row r="6" spans="1:22" x14ac:dyDescent="0.3">
      <c r="A6">
        <v>4005</v>
      </c>
      <c r="B6" s="2">
        <v>45751</v>
      </c>
      <c r="C6" t="s">
        <v>52</v>
      </c>
      <c r="D6" t="s">
        <v>36</v>
      </c>
      <c r="E6" t="s">
        <v>156</v>
      </c>
      <c r="F6" t="s">
        <v>127</v>
      </c>
      <c r="G6" t="s">
        <v>38</v>
      </c>
      <c r="H6">
        <v>2</v>
      </c>
      <c r="I6">
        <v>15800</v>
      </c>
      <c r="J6">
        <v>0.12</v>
      </c>
      <c r="K6">
        <v>18</v>
      </c>
      <c r="L6" t="s">
        <v>39</v>
      </c>
      <c r="M6" t="s">
        <v>40</v>
      </c>
      <c r="N6">
        <f>(NewTable_1[[#This Row],[UnitPrice]]-(NewTable_1[[#This Row],[UnitPrice]]*NewTable_1[[#This Row],[DiscountPct]]))*NewTable_1[[#This Row],[Units]]*(1+NewTable_1[[#This Row],[TaxRatePct]]/100)</f>
        <v>32813.439999999995</v>
      </c>
      <c r="U6" s="10" t="s">
        <v>26</v>
      </c>
      <c r="V6" s="10" t="s">
        <v>132</v>
      </c>
    </row>
    <row r="7" spans="1:22" x14ac:dyDescent="0.3">
      <c r="A7">
        <v>4006</v>
      </c>
      <c r="B7" s="2">
        <v>45752</v>
      </c>
      <c r="C7" t="s">
        <v>41</v>
      </c>
      <c r="D7" t="s">
        <v>54</v>
      </c>
      <c r="E7" t="s">
        <v>138</v>
      </c>
      <c r="F7" t="s">
        <v>55</v>
      </c>
      <c r="G7" t="s">
        <v>56</v>
      </c>
      <c r="H7">
        <v>30</v>
      </c>
      <c r="I7">
        <v>72</v>
      </c>
      <c r="J7">
        <v>0</v>
      </c>
      <c r="K7">
        <v>18</v>
      </c>
      <c r="L7" t="s">
        <v>57</v>
      </c>
      <c r="M7" t="s">
        <v>40</v>
      </c>
      <c r="N7">
        <f>(NewTable_1[[#This Row],[UnitPrice]]-(NewTable_1[[#This Row],[UnitPrice]]*NewTable_1[[#This Row],[DiscountPct]]))*NewTable_1[[#This Row],[Units]]*(1+NewTable_1[[#This Row],[TaxRatePct]]/100)</f>
        <v>2548.7999999999997</v>
      </c>
      <c r="U7" t="str" cm="1">
        <f t="array" ref="U7:U10">_xlfn.UNIQUE(NewTable_1[Region])</f>
        <v>North</v>
      </c>
      <c r="V7">
        <f>SUMIFS(NewTable_1[Total Revenue],NewTable_1[Status],"Completed",NewTable_1[Region],U7)</f>
        <v>733701.55999999994</v>
      </c>
    </row>
    <row r="8" spans="1:22" x14ac:dyDescent="0.3">
      <c r="A8">
        <v>4007</v>
      </c>
      <c r="B8" s="2">
        <v>45753</v>
      </c>
      <c r="C8" t="s">
        <v>58</v>
      </c>
      <c r="D8" t="s">
        <v>44</v>
      </c>
      <c r="E8" t="s">
        <v>139</v>
      </c>
      <c r="F8" t="s">
        <v>59</v>
      </c>
      <c r="G8" t="s">
        <v>38</v>
      </c>
      <c r="H8">
        <v>12</v>
      </c>
      <c r="I8">
        <v>3600</v>
      </c>
      <c r="J8">
        <v>0.05</v>
      </c>
      <c r="K8">
        <v>10</v>
      </c>
      <c r="L8" t="s">
        <v>39</v>
      </c>
      <c r="M8" t="s">
        <v>40</v>
      </c>
      <c r="N8">
        <f>(NewTable_1[[#This Row],[UnitPrice]]-(NewTable_1[[#This Row],[UnitPrice]]*NewTable_1[[#This Row],[DiscountPct]]))*NewTable_1[[#This Row],[Units]]*(1+NewTable_1[[#This Row],[TaxRatePct]]/100)</f>
        <v>45144.000000000007</v>
      </c>
      <c r="U8" t="str">
        <v>South</v>
      </c>
      <c r="V8">
        <f>SUMIFS(NewTable_1[Total Revenue],NewTable_1[Status],"Completed",NewTable_1[Region],U8)</f>
        <v>1005118.1000000001</v>
      </c>
    </row>
    <row r="9" spans="1:22" x14ac:dyDescent="0.3">
      <c r="A9">
        <v>4008</v>
      </c>
      <c r="B9" s="2">
        <v>45754</v>
      </c>
      <c r="C9" t="s">
        <v>48</v>
      </c>
      <c r="D9" t="s">
        <v>74</v>
      </c>
      <c r="E9" t="s">
        <v>113</v>
      </c>
      <c r="F9" t="s">
        <v>128</v>
      </c>
      <c r="G9" t="s">
        <v>38</v>
      </c>
      <c r="H9">
        <v>10</v>
      </c>
      <c r="I9">
        <v>63000</v>
      </c>
      <c r="J9">
        <v>0.08</v>
      </c>
      <c r="K9">
        <v>18</v>
      </c>
      <c r="L9" t="s">
        <v>39</v>
      </c>
      <c r="M9" t="s">
        <v>62</v>
      </c>
      <c r="N9">
        <f>(NewTable_1[[#This Row],[UnitPrice]]-(NewTable_1[[#This Row],[UnitPrice]]*NewTable_1[[#This Row],[DiscountPct]]))*NewTable_1[[#This Row],[Units]]*(1+NewTable_1[[#This Row],[TaxRatePct]]/100)</f>
        <v>683928</v>
      </c>
      <c r="R9" s="10" t="s">
        <v>131</v>
      </c>
      <c r="U9" t="str">
        <v>West</v>
      </c>
      <c r="V9">
        <f>SUMIFS(NewTable_1[Total Revenue],NewTable_1[Status],"Completed",NewTable_1[Region],U9)</f>
        <v>195544.2</v>
      </c>
    </row>
    <row r="10" spans="1:22" x14ac:dyDescent="0.3">
      <c r="A10">
        <v>4009</v>
      </c>
      <c r="B10" s="2">
        <v>45755</v>
      </c>
      <c r="C10" t="s">
        <v>52</v>
      </c>
      <c r="D10" t="s">
        <v>63</v>
      </c>
      <c r="E10" t="s">
        <v>157</v>
      </c>
      <c r="F10" t="s">
        <v>64</v>
      </c>
      <c r="G10" t="s">
        <v>46</v>
      </c>
      <c r="H10">
        <v>11</v>
      </c>
      <c r="I10">
        <v>19800</v>
      </c>
      <c r="J10">
        <v>0.12</v>
      </c>
      <c r="K10">
        <v>18</v>
      </c>
      <c r="L10" t="s">
        <v>47</v>
      </c>
      <c r="M10" t="s">
        <v>40</v>
      </c>
      <c r="N10">
        <f>(NewTable_1[[#This Row],[UnitPrice]]-(NewTable_1[[#This Row],[UnitPrice]]*NewTable_1[[#This Row],[DiscountPct]]))*NewTable_1[[#This Row],[Units]]*(1+NewTable_1[[#This Row],[TaxRatePct]]/100)</f>
        <v>226163.52</v>
      </c>
      <c r="R10">
        <f>SUMIF(NewTable_1[Status],"Completed",NewTable_1[Total Revenue])</f>
        <v>2222873.86</v>
      </c>
      <c r="U10" t="str">
        <v>East</v>
      </c>
      <c r="V10">
        <f>SUMIFS(NewTable_1[Total Revenue],NewTable_1[Status],"Completed",NewTable_1[Region],U10)</f>
        <v>288510</v>
      </c>
    </row>
    <row r="11" spans="1:22" x14ac:dyDescent="0.3">
      <c r="A11">
        <v>4010</v>
      </c>
      <c r="B11" s="2">
        <v>45756</v>
      </c>
      <c r="C11" t="s">
        <v>41</v>
      </c>
      <c r="D11" t="s">
        <v>42</v>
      </c>
      <c r="E11" t="s">
        <v>142</v>
      </c>
      <c r="F11" t="s">
        <v>129</v>
      </c>
      <c r="G11" t="s">
        <v>38</v>
      </c>
      <c r="H11">
        <v>2</v>
      </c>
      <c r="I11">
        <v>24000</v>
      </c>
      <c r="J11">
        <v>0.05</v>
      </c>
      <c r="K11">
        <v>18</v>
      </c>
      <c r="L11" t="s">
        <v>39</v>
      </c>
      <c r="M11" t="s">
        <v>40</v>
      </c>
      <c r="N11">
        <f>(NewTable_1[[#This Row],[UnitPrice]]-(NewTable_1[[#This Row],[UnitPrice]]*NewTable_1[[#This Row],[DiscountPct]]))*NewTable_1[[#This Row],[Units]]*(1+NewTable_1[[#This Row],[TaxRatePct]]/100)</f>
        <v>53808</v>
      </c>
    </row>
    <row r="12" spans="1:22" x14ac:dyDescent="0.3">
      <c r="A12">
        <v>4011</v>
      </c>
      <c r="B12" s="2">
        <v>45757</v>
      </c>
      <c r="C12" t="s">
        <v>58</v>
      </c>
      <c r="D12" t="s">
        <v>66</v>
      </c>
      <c r="E12" t="s">
        <v>143</v>
      </c>
      <c r="F12" t="s">
        <v>67</v>
      </c>
      <c r="G12" t="s">
        <v>38</v>
      </c>
      <c r="H12">
        <v>1</v>
      </c>
      <c r="I12">
        <v>13200</v>
      </c>
      <c r="J12">
        <v>0.06</v>
      </c>
      <c r="K12">
        <v>10</v>
      </c>
      <c r="L12" t="s">
        <v>47</v>
      </c>
      <c r="M12" t="s">
        <v>40</v>
      </c>
      <c r="N12">
        <f>(NewTable_1[[#This Row],[UnitPrice]]-(NewTable_1[[#This Row],[UnitPrice]]*NewTable_1[[#This Row],[DiscountPct]]))*NewTable_1[[#This Row],[Units]]*(1+NewTable_1[[#This Row],[TaxRatePct]]/100)</f>
        <v>13648.800000000001</v>
      </c>
    </row>
    <row r="13" spans="1:22" x14ac:dyDescent="0.3">
      <c r="A13">
        <v>4012</v>
      </c>
      <c r="B13" s="2">
        <v>45758</v>
      </c>
      <c r="C13" t="s">
        <v>48</v>
      </c>
      <c r="D13" t="s">
        <v>79</v>
      </c>
      <c r="E13" t="s">
        <v>117</v>
      </c>
      <c r="F13" t="s">
        <v>68</v>
      </c>
      <c r="G13" t="s">
        <v>46</v>
      </c>
      <c r="H13">
        <v>2</v>
      </c>
      <c r="I13">
        <v>9800</v>
      </c>
      <c r="J13">
        <v>0</v>
      </c>
      <c r="K13">
        <v>18</v>
      </c>
      <c r="L13" t="s">
        <v>57</v>
      </c>
      <c r="M13" t="s">
        <v>40</v>
      </c>
      <c r="N13">
        <f>(NewTable_1[[#This Row],[UnitPrice]]-(NewTable_1[[#This Row],[UnitPrice]]*NewTable_1[[#This Row],[DiscountPct]]))*NewTable_1[[#This Row],[Units]]*(1+NewTable_1[[#This Row],[TaxRatePct]]/100)</f>
        <v>23128</v>
      </c>
    </row>
    <row r="14" spans="1:22" x14ac:dyDescent="0.3">
      <c r="A14">
        <v>4013</v>
      </c>
      <c r="B14" s="2">
        <v>45759</v>
      </c>
      <c r="C14" t="s">
        <v>52</v>
      </c>
      <c r="D14" t="s">
        <v>36</v>
      </c>
      <c r="E14" t="s">
        <v>148</v>
      </c>
      <c r="F14" t="s">
        <v>69</v>
      </c>
      <c r="G14" t="s">
        <v>70</v>
      </c>
      <c r="H14">
        <v>6</v>
      </c>
      <c r="I14">
        <v>1150</v>
      </c>
      <c r="J14">
        <v>0.04</v>
      </c>
      <c r="K14">
        <v>18</v>
      </c>
      <c r="L14" t="s">
        <v>39</v>
      </c>
      <c r="M14" t="s">
        <v>40</v>
      </c>
      <c r="N14">
        <f>(NewTable_1[[#This Row],[UnitPrice]]-(NewTable_1[[#This Row],[UnitPrice]]*NewTable_1[[#This Row],[DiscountPct]]))*NewTable_1[[#This Row],[Units]]*(1+NewTable_1[[#This Row],[TaxRatePct]]/100)</f>
        <v>7816.32</v>
      </c>
    </row>
    <row r="15" spans="1:22" x14ac:dyDescent="0.3">
      <c r="A15">
        <v>4014</v>
      </c>
      <c r="B15" s="2">
        <v>45760</v>
      </c>
      <c r="C15" t="s">
        <v>41</v>
      </c>
      <c r="D15" t="s">
        <v>71</v>
      </c>
      <c r="E15" t="s">
        <v>118</v>
      </c>
      <c r="F15" t="s">
        <v>72</v>
      </c>
      <c r="G15" t="s">
        <v>38</v>
      </c>
      <c r="H15">
        <v>3</v>
      </c>
      <c r="I15">
        <v>2550</v>
      </c>
      <c r="J15">
        <v>0.05</v>
      </c>
      <c r="K15">
        <v>18</v>
      </c>
      <c r="L15" t="s">
        <v>39</v>
      </c>
      <c r="M15" t="s">
        <v>40</v>
      </c>
      <c r="N15">
        <f>(NewTable_1[[#This Row],[UnitPrice]]-(NewTable_1[[#This Row],[UnitPrice]]*NewTable_1[[#This Row],[DiscountPct]]))*NewTable_1[[#This Row],[Units]]*(1+NewTable_1[[#This Row],[TaxRatePct]]/100)</f>
        <v>8575.65</v>
      </c>
    </row>
    <row r="16" spans="1:22" x14ac:dyDescent="0.3">
      <c r="A16">
        <v>4015</v>
      </c>
      <c r="B16" s="2">
        <v>45761</v>
      </c>
      <c r="C16" t="s">
        <v>58</v>
      </c>
      <c r="D16" t="s">
        <v>73</v>
      </c>
      <c r="E16" t="s">
        <v>119</v>
      </c>
      <c r="F16" t="s">
        <v>50</v>
      </c>
      <c r="G16" t="s">
        <v>46</v>
      </c>
      <c r="H16">
        <v>4</v>
      </c>
      <c r="I16">
        <v>1650</v>
      </c>
      <c r="J16">
        <v>0.05</v>
      </c>
      <c r="K16">
        <v>10</v>
      </c>
      <c r="L16" t="s">
        <v>47</v>
      </c>
      <c r="M16" t="s">
        <v>40</v>
      </c>
      <c r="N16">
        <f>(NewTable_1[[#This Row],[UnitPrice]]-(NewTable_1[[#This Row],[UnitPrice]]*NewTable_1[[#This Row],[DiscountPct]]))*NewTable_1[[#This Row],[Units]]*(1+NewTable_1[[#This Row],[TaxRatePct]]/100)</f>
        <v>6897.0000000000009</v>
      </c>
    </row>
    <row r="17" spans="1:14" x14ac:dyDescent="0.3">
      <c r="A17">
        <v>4016</v>
      </c>
      <c r="B17" s="2">
        <v>45762</v>
      </c>
      <c r="C17" t="s">
        <v>48</v>
      </c>
      <c r="D17" t="s">
        <v>60</v>
      </c>
      <c r="E17" t="s">
        <v>120</v>
      </c>
      <c r="F17" t="s">
        <v>55</v>
      </c>
      <c r="G17" t="s">
        <v>56</v>
      </c>
      <c r="H17">
        <v>28</v>
      </c>
      <c r="I17">
        <v>80</v>
      </c>
      <c r="J17">
        <v>0</v>
      </c>
      <c r="K17">
        <v>18</v>
      </c>
      <c r="L17" t="s">
        <v>57</v>
      </c>
      <c r="M17" t="s">
        <v>40</v>
      </c>
      <c r="N17">
        <f>(NewTable_1[[#This Row],[UnitPrice]]-(NewTable_1[[#This Row],[UnitPrice]]*NewTable_1[[#This Row],[DiscountPct]]))*NewTable_1[[#This Row],[Units]]*(1+NewTable_1[[#This Row],[TaxRatePct]]/100)</f>
        <v>2643.2</v>
      </c>
    </row>
    <row r="18" spans="1:14" x14ac:dyDescent="0.3">
      <c r="A18">
        <v>4017</v>
      </c>
      <c r="B18" s="2">
        <v>45763</v>
      </c>
      <c r="C18" t="s">
        <v>52</v>
      </c>
      <c r="D18" t="s">
        <v>76</v>
      </c>
      <c r="E18" t="s">
        <v>121</v>
      </c>
      <c r="F18" t="s">
        <v>127</v>
      </c>
      <c r="G18" t="s">
        <v>38</v>
      </c>
      <c r="H18">
        <v>1</v>
      </c>
      <c r="I18">
        <v>15200</v>
      </c>
      <c r="J18">
        <v>0.09</v>
      </c>
      <c r="K18">
        <v>18</v>
      </c>
      <c r="L18" t="s">
        <v>39</v>
      </c>
      <c r="M18" t="s">
        <v>62</v>
      </c>
      <c r="N18">
        <f>(NewTable_1[[#This Row],[UnitPrice]]-(NewTable_1[[#This Row],[UnitPrice]]*NewTable_1[[#This Row],[DiscountPct]]))*NewTable_1[[#This Row],[Units]]*(1+NewTable_1[[#This Row],[TaxRatePct]]/100)</f>
        <v>16321.759999999998</v>
      </c>
    </row>
    <row r="19" spans="1:14" x14ac:dyDescent="0.3">
      <c r="A19">
        <v>4018</v>
      </c>
      <c r="B19" s="2">
        <v>45764</v>
      </c>
      <c r="C19" t="s">
        <v>41</v>
      </c>
      <c r="D19" t="s">
        <v>42</v>
      </c>
      <c r="E19" t="s">
        <v>122</v>
      </c>
      <c r="F19" t="s">
        <v>45</v>
      </c>
      <c r="G19" t="s">
        <v>46</v>
      </c>
      <c r="H19">
        <v>22</v>
      </c>
      <c r="I19">
        <v>9000</v>
      </c>
      <c r="J19">
        <v>0.05</v>
      </c>
      <c r="K19">
        <v>18</v>
      </c>
      <c r="L19" t="s">
        <v>47</v>
      </c>
      <c r="M19" t="s">
        <v>40</v>
      </c>
      <c r="N19">
        <f>(NewTable_1[[#This Row],[UnitPrice]]-(NewTable_1[[#This Row],[UnitPrice]]*NewTable_1[[#This Row],[DiscountPct]]))*NewTable_1[[#This Row],[Units]]*(1+NewTable_1[[#This Row],[TaxRatePct]]/100)</f>
        <v>221958</v>
      </c>
    </row>
    <row r="20" spans="1:14" x14ac:dyDescent="0.3">
      <c r="A20">
        <v>4019</v>
      </c>
      <c r="B20" s="2">
        <v>45765</v>
      </c>
      <c r="C20" t="s">
        <v>58</v>
      </c>
      <c r="D20" t="s">
        <v>44</v>
      </c>
      <c r="E20" t="s">
        <v>123</v>
      </c>
      <c r="F20" t="s">
        <v>43</v>
      </c>
      <c r="G20" t="s">
        <v>38</v>
      </c>
      <c r="H20">
        <v>10</v>
      </c>
      <c r="I20">
        <v>710</v>
      </c>
      <c r="J20">
        <v>0.02</v>
      </c>
      <c r="K20">
        <v>10</v>
      </c>
      <c r="L20" t="s">
        <v>39</v>
      </c>
      <c r="M20" t="s">
        <v>40</v>
      </c>
      <c r="N20">
        <f>(NewTable_1[[#This Row],[UnitPrice]]-(NewTable_1[[#This Row],[UnitPrice]]*NewTable_1[[#This Row],[DiscountPct]]))*NewTable_1[[#This Row],[Units]]*(1+NewTable_1[[#This Row],[TaxRatePct]]/100)</f>
        <v>7653.8</v>
      </c>
    </row>
    <row r="21" spans="1:14" x14ac:dyDescent="0.3">
      <c r="A21">
        <v>4020</v>
      </c>
      <c r="B21" s="2">
        <v>45766</v>
      </c>
      <c r="C21" t="s">
        <v>48</v>
      </c>
      <c r="D21" t="s">
        <v>49</v>
      </c>
      <c r="E21" t="s">
        <v>124</v>
      </c>
      <c r="F21" t="s">
        <v>126</v>
      </c>
      <c r="G21" t="s">
        <v>38</v>
      </c>
      <c r="H21">
        <v>2</v>
      </c>
      <c r="I21">
        <v>53000</v>
      </c>
      <c r="J21">
        <v>0.06</v>
      </c>
      <c r="K21">
        <v>18</v>
      </c>
      <c r="L21" t="s">
        <v>39</v>
      </c>
      <c r="M21" t="s">
        <v>40</v>
      </c>
      <c r="N21">
        <f>(NewTable_1[[#This Row],[UnitPrice]]-(NewTable_1[[#This Row],[UnitPrice]]*NewTable_1[[#This Row],[DiscountPct]]))*NewTable_1[[#This Row],[Units]]*(1+NewTable_1[[#This Row],[TaxRatePct]]/100)</f>
        <v>117575.2</v>
      </c>
    </row>
    <row r="22" spans="1:14" x14ac:dyDescent="0.3">
      <c r="A22">
        <v>4021</v>
      </c>
      <c r="B22" s="2">
        <v>45767</v>
      </c>
      <c r="C22" t="s">
        <v>52</v>
      </c>
      <c r="D22" t="s">
        <v>36</v>
      </c>
      <c r="E22" t="s">
        <v>110</v>
      </c>
      <c r="F22" t="s">
        <v>64</v>
      </c>
      <c r="G22" t="s">
        <v>46</v>
      </c>
      <c r="H22">
        <v>1</v>
      </c>
      <c r="I22">
        <v>20500</v>
      </c>
      <c r="J22">
        <v>0.15</v>
      </c>
      <c r="K22">
        <v>18</v>
      </c>
      <c r="L22" t="s">
        <v>47</v>
      </c>
      <c r="M22" t="s">
        <v>40</v>
      </c>
      <c r="N22">
        <f>(NewTable_1[[#This Row],[UnitPrice]]-(NewTable_1[[#This Row],[UnitPrice]]*NewTable_1[[#This Row],[DiscountPct]]))*NewTable_1[[#This Row],[Units]]*(1+NewTable_1[[#This Row],[TaxRatePct]]/100)</f>
        <v>20561.5</v>
      </c>
    </row>
    <row r="23" spans="1:14" x14ac:dyDescent="0.3">
      <c r="A23">
        <v>4022</v>
      </c>
      <c r="B23" s="2">
        <v>45768</v>
      </c>
      <c r="C23" t="s">
        <v>41</v>
      </c>
      <c r="D23" t="s">
        <v>54</v>
      </c>
      <c r="E23" t="s">
        <v>125</v>
      </c>
      <c r="F23" t="s">
        <v>128</v>
      </c>
      <c r="G23" t="s">
        <v>38</v>
      </c>
      <c r="H23">
        <v>3</v>
      </c>
      <c r="I23">
        <v>66000</v>
      </c>
      <c r="J23">
        <v>0.09</v>
      </c>
      <c r="K23">
        <v>18</v>
      </c>
      <c r="L23" t="s">
        <v>39</v>
      </c>
      <c r="M23" t="s">
        <v>40</v>
      </c>
      <c r="N23">
        <f>(NewTable_1[[#This Row],[UnitPrice]]-(NewTable_1[[#This Row],[UnitPrice]]*NewTable_1[[#This Row],[DiscountPct]]))*NewTable_1[[#This Row],[Units]]*(1+NewTable_1[[#This Row],[TaxRatePct]]/100)</f>
        <v>212612.4</v>
      </c>
    </row>
    <row r="24" spans="1:14" x14ac:dyDescent="0.3">
      <c r="A24">
        <v>4023</v>
      </c>
      <c r="B24" s="2">
        <v>45769</v>
      </c>
      <c r="C24" t="s">
        <v>58</v>
      </c>
      <c r="D24" t="s">
        <v>66</v>
      </c>
      <c r="E24" t="s">
        <v>116</v>
      </c>
      <c r="F24" t="s">
        <v>78</v>
      </c>
      <c r="G24" t="s">
        <v>38</v>
      </c>
      <c r="H24">
        <v>5</v>
      </c>
      <c r="I24">
        <v>1850</v>
      </c>
      <c r="J24">
        <v>0</v>
      </c>
      <c r="K24">
        <v>18</v>
      </c>
      <c r="L24" t="s">
        <v>39</v>
      </c>
      <c r="M24" t="s">
        <v>40</v>
      </c>
      <c r="N24">
        <f>(NewTable_1[[#This Row],[UnitPrice]]-(NewTable_1[[#This Row],[UnitPrice]]*NewTable_1[[#This Row],[DiscountPct]]))*NewTable_1[[#This Row],[Units]]*(1+NewTable_1[[#This Row],[TaxRatePct]]/100)</f>
        <v>10915</v>
      </c>
    </row>
    <row r="25" spans="1:14" x14ac:dyDescent="0.3">
      <c r="A25">
        <v>4024</v>
      </c>
      <c r="B25" s="2">
        <v>45770</v>
      </c>
      <c r="C25" t="s">
        <v>48</v>
      </c>
      <c r="D25" t="s">
        <v>79</v>
      </c>
      <c r="E25" t="s">
        <v>144</v>
      </c>
      <c r="F25" t="s">
        <v>80</v>
      </c>
      <c r="G25" t="s">
        <v>56</v>
      </c>
      <c r="H25">
        <v>70</v>
      </c>
      <c r="I25">
        <v>11</v>
      </c>
      <c r="J25">
        <v>0</v>
      </c>
      <c r="K25">
        <v>18</v>
      </c>
      <c r="L25" t="s">
        <v>57</v>
      </c>
      <c r="M25" t="s">
        <v>40</v>
      </c>
      <c r="N25">
        <f>(NewTable_1[[#This Row],[UnitPrice]]-(NewTable_1[[#This Row],[UnitPrice]]*NewTable_1[[#This Row],[DiscountPct]]))*NewTable_1[[#This Row],[Units]]*(1+NewTable_1[[#This Row],[TaxRatePct]]/100)</f>
        <v>908.59999999999991</v>
      </c>
    </row>
    <row r="26" spans="1:14" x14ac:dyDescent="0.3">
      <c r="A26">
        <v>4025</v>
      </c>
      <c r="B26" s="2">
        <v>45771</v>
      </c>
      <c r="C26" t="s">
        <v>52</v>
      </c>
      <c r="D26" t="s">
        <v>63</v>
      </c>
      <c r="E26" t="s">
        <v>114</v>
      </c>
      <c r="F26" t="s">
        <v>82</v>
      </c>
      <c r="G26" t="s">
        <v>38</v>
      </c>
      <c r="H26">
        <v>5</v>
      </c>
      <c r="I26">
        <v>3200</v>
      </c>
      <c r="J26">
        <v>0.05</v>
      </c>
      <c r="K26">
        <v>10</v>
      </c>
      <c r="L26" t="s">
        <v>39</v>
      </c>
      <c r="M26" t="s">
        <v>40</v>
      </c>
      <c r="N26">
        <f>(NewTable_1[[#This Row],[UnitPrice]]-(NewTable_1[[#This Row],[UnitPrice]]*NewTable_1[[#This Row],[DiscountPct]]))*NewTable_1[[#This Row],[Units]]*(1+NewTable_1[[#This Row],[TaxRatePct]]/100)</f>
        <v>16720</v>
      </c>
    </row>
    <row r="27" spans="1:14" x14ac:dyDescent="0.3">
      <c r="A27">
        <v>4005</v>
      </c>
      <c r="B27" s="2">
        <v>45751</v>
      </c>
      <c r="C27" t="s">
        <v>52</v>
      </c>
      <c r="D27" t="s">
        <v>36</v>
      </c>
      <c r="E27" t="s">
        <v>156</v>
      </c>
      <c r="F27" t="s">
        <v>127</v>
      </c>
      <c r="G27" t="s">
        <v>38</v>
      </c>
      <c r="H27">
        <v>2</v>
      </c>
      <c r="I27">
        <v>15800</v>
      </c>
      <c r="J27">
        <v>0.12</v>
      </c>
      <c r="K27">
        <v>18</v>
      </c>
      <c r="L27" t="s">
        <v>39</v>
      </c>
      <c r="M27" t="s">
        <v>40</v>
      </c>
      <c r="N27">
        <f>(NewTable_1[[#This Row],[UnitPrice]]-(NewTable_1[[#This Row],[UnitPrice]]*NewTable_1[[#This Row],[DiscountPct]]))*NewTable_1[[#This Row],[Units]]*(1+NewTable_1[[#This Row],[TaxRatePct]]/100)</f>
        <v>32813.439999999995</v>
      </c>
    </row>
    <row r="28" spans="1:14" x14ac:dyDescent="0.3">
      <c r="A28">
        <v>4006</v>
      </c>
      <c r="B28" s="2">
        <v>45752</v>
      </c>
      <c r="C28" t="s">
        <v>41</v>
      </c>
      <c r="D28" t="s">
        <v>54</v>
      </c>
      <c r="E28" t="s">
        <v>138</v>
      </c>
      <c r="F28" t="s">
        <v>55</v>
      </c>
      <c r="G28" t="s">
        <v>56</v>
      </c>
      <c r="H28">
        <v>30</v>
      </c>
      <c r="I28">
        <v>72</v>
      </c>
      <c r="J28">
        <v>0</v>
      </c>
      <c r="K28">
        <v>18</v>
      </c>
      <c r="L28" t="s">
        <v>57</v>
      </c>
      <c r="M28" t="s">
        <v>40</v>
      </c>
      <c r="N28">
        <f>(NewTable_1[[#This Row],[UnitPrice]]-(NewTable_1[[#This Row],[UnitPrice]]*NewTable_1[[#This Row],[DiscountPct]]))*NewTable_1[[#This Row],[Units]]*(1+NewTable_1[[#This Row],[TaxRatePct]]/100)</f>
        <v>2548.7999999999997</v>
      </c>
    </row>
    <row r="29" spans="1:14" x14ac:dyDescent="0.3">
      <c r="A29">
        <v>4007</v>
      </c>
      <c r="B29" s="2">
        <v>45753</v>
      </c>
      <c r="C29" t="s">
        <v>58</v>
      </c>
      <c r="D29" t="s">
        <v>44</v>
      </c>
      <c r="E29" t="s">
        <v>139</v>
      </c>
      <c r="F29" t="s">
        <v>59</v>
      </c>
      <c r="G29" t="s">
        <v>38</v>
      </c>
      <c r="H29">
        <v>12</v>
      </c>
      <c r="I29">
        <v>3600</v>
      </c>
      <c r="J29">
        <v>0.05</v>
      </c>
      <c r="K29">
        <v>10</v>
      </c>
      <c r="L29" t="s">
        <v>39</v>
      </c>
      <c r="M29" t="s">
        <v>40</v>
      </c>
      <c r="N29">
        <f>(NewTable_1[[#This Row],[UnitPrice]]-(NewTable_1[[#This Row],[UnitPrice]]*NewTable_1[[#This Row],[DiscountPct]]))*NewTable_1[[#This Row],[Units]]*(1+NewTable_1[[#This Row],[TaxRatePct]]/100)</f>
        <v>45144.000000000007</v>
      </c>
    </row>
    <row r="30" spans="1:14" x14ac:dyDescent="0.3">
      <c r="A30">
        <v>4008</v>
      </c>
      <c r="B30" s="2">
        <v>45754</v>
      </c>
      <c r="C30" t="s">
        <v>48</v>
      </c>
      <c r="D30" t="s">
        <v>74</v>
      </c>
      <c r="E30" t="s">
        <v>113</v>
      </c>
      <c r="F30" t="s">
        <v>128</v>
      </c>
      <c r="G30" t="s">
        <v>38</v>
      </c>
      <c r="H30">
        <v>10</v>
      </c>
      <c r="I30">
        <v>63000</v>
      </c>
      <c r="J30">
        <v>0.08</v>
      </c>
      <c r="K30">
        <v>18</v>
      </c>
      <c r="L30" t="s">
        <v>39</v>
      </c>
      <c r="M30" t="s">
        <v>62</v>
      </c>
      <c r="N30">
        <f>(NewTable_1[[#This Row],[UnitPrice]]-(NewTable_1[[#This Row],[UnitPrice]]*NewTable_1[[#This Row],[DiscountPct]]))*NewTable_1[[#This Row],[Units]]*(1+NewTable_1[[#This Row],[TaxRatePct]]/100)</f>
        <v>683928</v>
      </c>
    </row>
    <row r="31" spans="1:14" x14ac:dyDescent="0.3">
      <c r="A31">
        <v>4009</v>
      </c>
      <c r="B31" s="2">
        <v>45755</v>
      </c>
      <c r="C31" t="s">
        <v>52</v>
      </c>
      <c r="D31" t="s">
        <v>63</v>
      </c>
      <c r="E31" t="s">
        <v>157</v>
      </c>
      <c r="F31" t="s">
        <v>64</v>
      </c>
      <c r="G31" t="s">
        <v>46</v>
      </c>
      <c r="H31">
        <v>11</v>
      </c>
      <c r="I31">
        <v>19800</v>
      </c>
      <c r="J31">
        <v>0.12</v>
      </c>
      <c r="K31">
        <v>18</v>
      </c>
      <c r="L31" t="s">
        <v>47</v>
      </c>
      <c r="M31" t="s">
        <v>40</v>
      </c>
      <c r="N31">
        <f>(NewTable_1[[#This Row],[UnitPrice]]-(NewTable_1[[#This Row],[UnitPrice]]*NewTable_1[[#This Row],[DiscountPct]]))*NewTable_1[[#This Row],[Units]]*(1+NewTable_1[[#This Row],[TaxRatePct]]/100)</f>
        <v>226163.52</v>
      </c>
    </row>
    <row r="32" spans="1:14" x14ac:dyDescent="0.3">
      <c r="A32">
        <v>4010</v>
      </c>
      <c r="B32" s="2">
        <v>45756</v>
      </c>
      <c r="C32" t="s">
        <v>41</v>
      </c>
      <c r="D32" t="s">
        <v>42</v>
      </c>
      <c r="E32" t="s">
        <v>142</v>
      </c>
      <c r="F32" t="s">
        <v>129</v>
      </c>
      <c r="G32" t="s">
        <v>38</v>
      </c>
      <c r="H32">
        <v>2</v>
      </c>
      <c r="I32">
        <v>24000</v>
      </c>
      <c r="J32">
        <v>0.05</v>
      </c>
      <c r="K32">
        <v>18</v>
      </c>
      <c r="L32" t="s">
        <v>39</v>
      </c>
      <c r="M32" t="s">
        <v>40</v>
      </c>
      <c r="N32">
        <f>(NewTable_1[[#This Row],[UnitPrice]]-(NewTable_1[[#This Row],[UnitPrice]]*NewTable_1[[#This Row],[DiscountPct]]))*NewTable_1[[#This Row],[Units]]*(1+NewTable_1[[#This Row],[TaxRatePct]]/100)</f>
        <v>53808</v>
      </c>
    </row>
    <row r="33" spans="1:14" x14ac:dyDescent="0.3">
      <c r="A33">
        <v>4011</v>
      </c>
      <c r="B33" s="2">
        <v>45757</v>
      </c>
      <c r="C33" t="s">
        <v>58</v>
      </c>
      <c r="D33" t="s">
        <v>66</v>
      </c>
      <c r="E33" t="s">
        <v>143</v>
      </c>
      <c r="F33" t="s">
        <v>67</v>
      </c>
      <c r="G33" t="s">
        <v>38</v>
      </c>
      <c r="H33">
        <v>1</v>
      </c>
      <c r="I33">
        <v>13200</v>
      </c>
      <c r="J33">
        <v>0.06</v>
      </c>
      <c r="K33">
        <v>10</v>
      </c>
      <c r="L33" t="s">
        <v>47</v>
      </c>
      <c r="M33" t="s">
        <v>40</v>
      </c>
      <c r="N33">
        <f>(NewTable_1[[#This Row],[UnitPrice]]-(NewTable_1[[#This Row],[UnitPrice]]*NewTable_1[[#This Row],[DiscountPct]]))*NewTable_1[[#This Row],[Units]]*(1+NewTable_1[[#This Row],[TaxRatePct]]/100)</f>
        <v>13648.800000000001</v>
      </c>
    </row>
    <row r="34" spans="1:14" x14ac:dyDescent="0.3">
      <c r="A34">
        <v>4012</v>
      </c>
      <c r="B34" s="2">
        <v>45758</v>
      </c>
      <c r="C34" t="s">
        <v>48</v>
      </c>
      <c r="D34" t="s">
        <v>79</v>
      </c>
      <c r="E34" t="s">
        <v>117</v>
      </c>
      <c r="F34" t="s">
        <v>68</v>
      </c>
      <c r="G34" t="s">
        <v>46</v>
      </c>
      <c r="H34">
        <v>2</v>
      </c>
      <c r="I34">
        <v>9800</v>
      </c>
      <c r="J34">
        <v>0</v>
      </c>
      <c r="K34">
        <v>18</v>
      </c>
      <c r="L34" t="s">
        <v>57</v>
      </c>
      <c r="M34" t="s">
        <v>40</v>
      </c>
      <c r="N34">
        <f>(NewTable_1[[#This Row],[UnitPrice]]-(NewTable_1[[#This Row],[UnitPrice]]*NewTable_1[[#This Row],[DiscountPct]]))*NewTable_1[[#This Row],[Units]]*(1+NewTable_1[[#This Row],[TaxRatePct]]/100)</f>
        <v>23128</v>
      </c>
    </row>
    <row r="35" spans="1:14" x14ac:dyDescent="0.3">
      <c r="A35">
        <v>4013</v>
      </c>
      <c r="B35" s="2">
        <v>45759</v>
      </c>
      <c r="C35" t="s">
        <v>52</v>
      </c>
      <c r="D35" t="s">
        <v>36</v>
      </c>
      <c r="E35" t="s">
        <v>148</v>
      </c>
      <c r="F35" t="s">
        <v>69</v>
      </c>
      <c r="G35" t="s">
        <v>70</v>
      </c>
      <c r="H35">
        <v>6</v>
      </c>
      <c r="I35">
        <v>1150</v>
      </c>
      <c r="J35">
        <v>0.04</v>
      </c>
      <c r="K35">
        <v>18</v>
      </c>
      <c r="L35" t="s">
        <v>39</v>
      </c>
      <c r="M35" t="s">
        <v>40</v>
      </c>
      <c r="N35">
        <f>(NewTable_1[[#This Row],[UnitPrice]]-(NewTable_1[[#This Row],[UnitPrice]]*NewTable_1[[#This Row],[DiscountPct]]))*NewTable_1[[#This Row],[Units]]*(1+NewTable_1[[#This Row],[TaxRatePct]]/100)</f>
        <v>7816.32</v>
      </c>
    </row>
    <row r="36" spans="1:14" x14ac:dyDescent="0.3">
      <c r="A36">
        <v>4014</v>
      </c>
      <c r="B36" s="2">
        <v>45760</v>
      </c>
      <c r="C36" t="s">
        <v>41</v>
      </c>
      <c r="D36" t="s">
        <v>71</v>
      </c>
      <c r="E36" t="s">
        <v>118</v>
      </c>
      <c r="F36" t="s">
        <v>72</v>
      </c>
      <c r="G36" t="s">
        <v>38</v>
      </c>
      <c r="H36">
        <v>3</v>
      </c>
      <c r="I36">
        <v>2550</v>
      </c>
      <c r="J36">
        <v>0.05</v>
      </c>
      <c r="K36">
        <v>18</v>
      </c>
      <c r="L36" t="s">
        <v>39</v>
      </c>
      <c r="M36" t="s">
        <v>40</v>
      </c>
      <c r="N36">
        <f>(NewTable_1[[#This Row],[UnitPrice]]-(NewTable_1[[#This Row],[UnitPrice]]*NewTable_1[[#This Row],[DiscountPct]]))*NewTable_1[[#This Row],[Units]]*(1+NewTable_1[[#This Row],[TaxRatePct]]/100)</f>
        <v>8575.65</v>
      </c>
    </row>
    <row r="37" spans="1:14" x14ac:dyDescent="0.3">
      <c r="A37">
        <v>4015</v>
      </c>
      <c r="B37" s="2">
        <v>45761</v>
      </c>
      <c r="C37" t="s">
        <v>58</v>
      </c>
      <c r="D37" t="s">
        <v>73</v>
      </c>
      <c r="E37" t="s">
        <v>119</v>
      </c>
      <c r="F37" t="s">
        <v>50</v>
      </c>
      <c r="G37" t="s">
        <v>46</v>
      </c>
      <c r="H37">
        <v>4</v>
      </c>
      <c r="I37">
        <v>1650</v>
      </c>
      <c r="J37">
        <v>0.05</v>
      </c>
      <c r="K37">
        <v>10</v>
      </c>
      <c r="L37" t="s">
        <v>47</v>
      </c>
      <c r="M37" t="s">
        <v>40</v>
      </c>
      <c r="N37">
        <f>(NewTable_1[[#This Row],[UnitPrice]]-(NewTable_1[[#This Row],[UnitPrice]]*NewTable_1[[#This Row],[DiscountPct]]))*NewTable_1[[#This Row],[Units]]*(1+NewTable_1[[#This Row],[TaxRatePct]]/100)</f>
        <v>6897.0000000000009</v>
      </c>
    </row>
    <row r="38" spans="1:14" x14ac:dyDescent="0.3">
      <c r="A38">
        <v>4016</v>
      </c>
      <c r="B38" s="2">
        <v>45762</v>
      </c>
      <c r="C38" t="s">
        <v>48</v>
      </c>
      <c r="D38" t="s">
        <v>60</v>
      </c>
      <c r="E38" t="s">
        <v>120</v>
      </c>
      <c r="F38" t="s">
        <v>55</v>
      </c>
      <c r="G38" t="s">
        <v>56</v>
      </c>
      <c r="H38">
        <v>28</v>
      </c>
      <c r="I38">
        <v>80</v>
      </c>
      <c r="J38">
        <v>0</v>
      </c>
      <c r="K38">
        <v>18</v>
      </c>
      <c r="L38" t="s">
        <v>57</v>
      </c>
      <c r="M38" t="s">
        <v>40</v>
      </c>
      <c r="N38">
        <f>(NewTable_1[[#This Row],[UnitPrice]]-(NewTable_1[[#This Row],[UnitPrice]]*NewTable_1[[#This Row],[DiscountPct]]))*NewTable_1[[#This Row],[Units]]*(1+NewTable_1[[#This Row],[TaxRatePct]]/100)</f>
        <v>2643.2</v>
      </c>
    </row>
    <row r="39" spans="1:14" x14ac:dyDescent="0.3">
      <c r="A39">
        <v>4017</v>
      </c>
      <c r="B39" s="2">
        <v>45763</v>
      </c>
      <c r="C39" t="s">
        <v>52</v>
      </c>
      <c r="D39" t="s">
        <v>76</v>
      </c>
      <c r="E39" t="s">
        <v>121</v>
      </c>
      <c r="F39" t="s">
        <v>127</v>
      </c>
      <c r="G39" t="s">
        <v>38</v>
      </c>
      <c r="H39">
        <v>1</v>
      </c>
      <c r="I39">
        <v>15200</v>
      </c>
      <c r="J39">
        <v>0.09</v>
      </c>
      <c r="K39">
        <v>18</v>
      </c>
      <c r="L39" t="s">
        <v>39</v>
      </c>
      <c r="M39" t="s">
        <v>62</v>
      </c>
      <c r="N39">
        <f>(NewTable_1[[#This Row],[UnitPrice]]-(NewTable_1[[#This Row],[UnitPrice]]*NewTable_1[[#This Row],[DiscountPct]]))*NewTable_1[[#This Row],[Units]]*(1+NewTable_1[[#This Row],[TaxRatePct]]/100)</f>
        <v>16321.759999999998</v>
      </c>
    </row>
    <row r="40" spans="1:14" x14ac:dyDescent="0.3">
      <c r="A40">
        <v>4018</v>
      </c>
      <c r="B40" s="2">
        <v>45764</v>
      </c>
      <c r="C40" t="s">
        <v>41</v>
      </c>
      <c r="D40" t="s">
        <v>42</v>
      </c>
      <c r="E40" t="s">
        <v>122</v>
      </c>
      <c r="F40" t="s">
        <v>45</v>
      </c>
      <c r="G40" t="s">
        <v>46</v>
      </c>
      <c r="H40">
        <v>22</v>
      </c>
      <c r="I40">
        <v>9000</v>
      </c>
      <c r="J40">
        <v>0.05</v>
      </c>
      <c r="K40">
        <v>18</v>
      </c>
      <c r="L40" t="s">
        <v>47</v>
      </c>
      <c r="M40" t="s">
        <v>40</v>
      </c>
      <c r="N40">
        <f>(NewTable_1[[#This Row],[UnitPrice]]-(NewTable_1[[#This Row],[UnitPrice]]*NewTable_1[[#This Row],[DiscountPct]]))*NewTable_1[[#This Row],[Units]]*(1+NewTable_1[[#This Row],[TaxRatePct]]/100)</f>
        <v>221958</v>
      </c>
    </row>
    <row r="41" spans="1:14" x14ac:dyDescent="0.3">
      <c r="A41">
        <v>4019</v>
      </c>
      <c r="B41" s="2">
        <v>45765</v>
      </c>
      <c r="C41" t="s">
        <v>58</v>
      </c>
      <c r="D41" t="s">
        <v>44</v>
      </c>
      <c r="E41" t="s">
        <v>123</v>
      </c>
      <c r="F41" t="s">
        <v>43</v>
      </c>
      <c r="G41" t="s">
        <v>38</v>
      </c>
      <c r="H41">
        <v>10</v>
      </c>
      <c r="I41">
        <v>710</v>
      </c>
      <c r="J41">
        <v>0.02</v>
      </c>
      <c r="K41">
        <v>10</v>
      </c>
      <c r="L41" t="s">
        <v>39</v>
      </c>
      <c r="M41" t="s">
        <v>40</v>
      </c>
      <c r="N41">
        <f>(NewTable_1[[#This Row],[UnitPrice]]-(NewTable_1[[#This Row],[UnitPrice]]*NewTable_1[[#This Row],[DiscountPct]]))*NewTable_1[[#This Row],[Units]]*(1+NewTable_1[[#This Row],[TaxRatePct]]/100)</f>
        <v>7653.8</v>
      </c>
    </row>
    <row r="42" spans="1:14" x14ac:dyDescent="0.3">
      <c r="A42">
        <v>4020</v>
      </c>
      <c r="B42" s="2">
        <v>45766</v>
      </c>
      <c r="C42" t="s">
        <v>48</v>
      </c>
      <c r="D42" t="s">
        <v>49</v>
      </c>
      <c r="E42" t="s">
        <v>124</v>
      </c>
      <c r="F42" t="s">
        <v>126</v>
      </c>
      <c r="G42" t="s">
        <v>38</v>
      </c>
      <c r="H42">
        <v>2</v>
      </c>
      <c r="I42">
        <v>53000</v>
      </c>
      <c r="J42">
        <v>0.06</v>
      </c>
      <c r="K42">
        <v>18</v>
      </c>
      <c r="L42" t="s">
        <v>39</v>
      </c>
      <c r="M42" t="s">
        <v>40</v>
      </c>
      <c r="N42">
        <f>(NewTable_1[[#This Row],[UnitPrice]]-(NewTable_1[[#This Row],[UnitPrice]]*NewTable_1[[#This Row],[DiscountPct]]))*NewTable_1[[#This Row],[Units]]*(1+NewTable_1[[#This Row],[TaxRatePct]]/100)</f>
        <v>117575.2</v>
      </c>
    </row>
    <row r="43" spans="1:14" x14ac:dyDescent="0.3">
      <c r="A43">
        <v>4021</v>
      </c>
      <c r="B43" s="2">
        <v>45767</v>
      </c>
      <c r="C43" t="s">
        <v>52</v>
      </c>
      <c r="D43" t="s">
        <v>36</v>
      </c>
      <c r="E43" t="s">
        <v>110</v>
      </c>
      <c r="F43" t="s">
        <v>64</v>
      </c>
      <c r="G43" t="s">
        <v>46</v>
      </c>
      <c r="H43">
        <v>1</v>
      </c>
      <c r="I43">
        <v>20500</v>
      </c>
      <c r="J43">
        <v>0.15</v>
      </c>
      <c r="K43">
        <v>18</v>
      </c>
      <c r="L43" t="s">
        <v>47</v>
      </c>
      <c r="M43" t="s">
        <v>40</v>
      </c>
      <c r="N43">
        <f>(NewTable_1[[#This Row],[UnitPrice]]-(NewTable_1[[#This Row],[UnitPrice]]*NewTable_1[[#This Row],[DiscountPct]]))*NewTable_1[[#This Row],[Units]]*(1+NewTable_1[[#This Row],[TaxRatePct]]/100)</f>
        <v>20561.5</v>
      </c>
    </row>
    <row r="44" spans="1:14" x14ac:dyDescent="0.3">
      <c r="A44">
        <v>4022</v>
      </c>
      <c r="B44" s="2">
        <v>45768</v>
      </c>
      <c r="C44" t="s">
        <v>41</v>
      </c>
      <c r="D44" t="s">
        <v>54</v>
      </c>
      <c r="E44" t="s">
        <v>125</v>
      </c>
      <c r="F44" t="s">
        <v>128</v>
      </c>
      <c r="G44" t="s">
        <v>38</v>
      </c>
      <c r="H44">
        <v>3</v>
      </c>
      <c r="I44">
        <v>66000</v>
      </c>
      <c r="J44">
        <v>0.09</v>
      </c>
      <c r="K44">
        <v>18</v>
      </c>
      <c r="L44" t="s">
        <v>39</v>
      </c>
      <c r="M44" t="s">
        <v>40</v>
      </c>
      <c r="N44">
        <f>(NewTable_1[[#This Row],[UnitPrice]]-(NewTable_1[[#This Row],[UnitPrice]]*NewTable_1[[#This Row],[DiscountPct]]))*NewTable_1[[#This Row],[Units]]*(1+NewTable_1[[#This Row],[TaxRatePct]]/100)</f>
        <v>212612.4</v>
      </c>
    </row>
    <row r="45" spans="1:14" x14ac:dyDescent="0.3">
      <c r="A45">
        <v>4023</v>
      </c>
      <c r="B45" s="2">
        <v>45769</v>
      </c>
      <c r="C45" t="s">
        <v>58</v>
      </c>
      <c r="D45" t="s">
        <v>66</v>
      </c>
      <c r="E45" t="s">
        <v>116</v>
      </c>
      <c r="F45" t="s">
        <v>78</v>
      </c>
      <c r="G45" t="s">
        <v>38</v>
      </c>
      <c r="H45">
        <v>5</v>
      </c>
      <c r="I45">
        <v>1850</v>
      </c>
      <c r="J45">
        <v>0</v>
      </c>
      <c r="K45">
        <v>18</v>
      </c>
      <c r="L45" t="s">
        <v>39</v>
      </c>
      <c r="M45" t="s">
        <v>40</v>
      </c>
      <c r="N45">
        <f>(NewTable_1[[#This Row],[UnitPrice]]-(NewTable_1[[#This Row],[UnitPrice]]*NewTable_1[[#This Row],[DiscountPct]]))*NewTable_1[[#This Row],[Units]]*(1+NewTable_1[[#This Row],[TaxRatePct]]/100)</f>
        <v>10915</v>
      </c>
    </row>
    <row r="46" spans="1:14" x14ac:dyDescent="0.3">
      <c r="A46">
        <v>4024</v>
      </c>
      <c r="B46" s="2">
        <v>45770</v>
      </c>
      <c r="C46" t="s">
        <v>48</v>
      </c>
      <c r="D46" t="s">
        <v>79</v>
      </c>
      <c r="E46" t="s">
        <v>144</v>
      </c>
      <c r="F46" t="s">
        <v>80</v>
      </c>
      <c r="G46" t="s">
        <v>56</v>
      </c>
      <c r="H46">
        <v>70</v>
      </c>
      <c r="I46">
        <v>11</v>
      </c>
      <c r="J46">
        <v>0</v>
      </c>
      <c r="K46">
        <v>18</v>
      </c>
      <c r="L46" t="s">
        <v>57</v>
      </c>
      <c r="M46" t="s">
        <v>40</v>
      </c>
      <c r="N46">
        <f>(NewTable_1[[#This Row],[UnitPrice]]-(NewTable_1[[#This Row],[UnitPrice]]*NewTable_1[[#This Row],[DiscountPct]]))*NewTable_1[[#This Row],[Units]]*(1+NewTable_1[[#This Row],[TaxRatePct]]/100)</f>
        <v>908.59999999999991</v>
      </c>
    </row>
    <row r="47" spans="1:14" x14ac:dyDescent="0.3">
      <c r="A47">
        <v>4025</v>
      </c>
      <c r="B47" s="2">
        <v>45771</v>
      </c>
      <c r="C47" t="s">
        <v>52</v>
      </c>
      <c r="D47" t="s">
        <v>63</v>
      </c>
      <c r="E47" t="s">
        <v>114</v>
      </c>
      <c r="F47" t="s">
        <v>82</v>
      </c>
      <c r="G47" t="s">
        <v>38</v>
      </c>
      <c r="H47">
        <v>5</v>
      </c>
      <c r="I47">
        <v>3200</v>
      </c>
      <c r="J47">
        <v>0.05</v>
      </c>
      <c r="K47">
        <v>10</v>
      </c>
      <c r="L47" t="s">
        <v>39</v>
      </c>
      <c r="M47" t="s">
        <v>40</v>
      </c>
      <c r="N47">
        <f>(NewTable_1[[#This Row],[UnitPrice]]-(NewTable_1[[#This Row],[UnitPrice]]*NewTable_1[[#This Row],[DiscountPct]]))*NewTable_1[[#This Row],[Units]]*(1+NewTable_1[[#This Row],[TaxRatePct]]/100)</f>
        <v>16720</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11755-D32C-4B52-A816-AEFDD857CE80}">
  <sheetPr codeName="Sheet16"/>
  <dimension ref="A1:M47"/>
  <sheetViews>
    <sheetView workbookViewId="0">
      <selection activeCell="N18" sqref="N18"/>
    </sheetView>
  </sheetViews>
  <sheetFormatPr defaultRowHeight="14.4" x14ac:dyDescent="0.3"/>
  <sheetData>
    <row r="1" spans="1:13" x14ac:dyDescent="0.3">
      <c r="A1" t="s">
        <v>24</v>
      </c>
      <c r="B1" t="s">
        <v>25</v>
      </c>
      <c r="C1" t="s">
        <v>26</v>
      </c>
      <c r="D1" t="s">
        <v>27</v>
      </c>
      <c r="E1" t="s">
        <v>28</v>
      </c>
      <c r="F1" t="s">
        <v>29</v>
      </c>
      <c r="G1" t="s">
        <v>1</v>
      </c>
      <c r="H1" t="s">
        <v>30</v>
      </c>
      <c r="I1" t="s">
        <v>31</v>
      </c>
      <c r="J1" t="s">
        <v>32</v>
      </c>
      <c r="K1" t="s">
        <v>33</v>
      </c>
      <c r="L1" t="s">
        <v>34</v>
      </c>
      <c r="M1" t="s">
        <v>35</v>
      </c>
    </row>
    <row r="2" spans="1:13" x14ac:dyDescent="0.3">
      <c r="A2">
        <v>4001</v>
      </c>
      <c r="B2" s="2">
        <v>45749</v>
      </c>
      <c r="C2" t="s">
        <v>52</v>
      </c>
      <c r="D2" t="s">
        <v>36</v>
      </c>
      <c r="E2" t="s">
        <v>95</v>
      </c>
      <c r="F2" t="s">
        <v>37</v>
      </c>
      <c r="G2" t="s">
        <v>38</v>
      </c>
      <c r="H2">
        <v>2</v>
      </c>
      <c r="I2">
        <v>56000</v>
      </c>
      <c r="J2">
        <v>0.05</v>
      </c>
      <c r="K2">
        <v>18</v>
      </c>
      <c r="L2" t="s">
        <v>39</v>
      </c>
      <c r="M2" t="s">
        <v>40</v>
      </c>
    </row>
    <row r="3" spans="1:13" x14ac:dyDescent="0.3">
      <c r="A3">
        <v>4002</v>
      </c>
      <c r="B3" s="2">
        <v>45749</v>
      </c>
      <c r="C3" t="s">
        <v>41</v>
      </c>
      <c r="D3" t="s">
        <v>42</v>
      </c>
      <c r="E3" t="s">
        <v>83</v>
      </c>
      <c r="F3" t="s">
        <v>43</v>
      </c>
      <c r="G3" t="s">
        <v>38</v>
      </c>
      <c r="H3">
        <v>7</v>
      </c>
      <c r="I3">
        <v>740</v>
      </c>
      <c r="J3">
        <v>0</v>
      </c>
      <c r="K3">
        <v>18</v>
      </c>
      <c r="L3" t="s">
        <v>39</v>
      </c>
      <c r="M3" t="s">
        <v>40</v>
      </c>
    </row>
    <row r="4" spans="1:13" x14ac:dyDescent="0.3">
      <c r="A4">
        <v>4003</v>
      </c>
      <c r="B4" s="2">
        <v>45749</v>
      </c>
      <c r="C4" t="s">
        <v>58</v>
      </c>
      <c r="D4" t="s">
        <v>44</v>
      </c>
      <c r="E4" t="s">
        <v>96</v>
      </c>
      <c r="F4" t="s">
        <v>45</v>
      </c>
      <c r="G4" t="s">
        <v>46</v>
      </c>
      <c r="H4">
        <v>3</v>
      </c>
      <c r="I4">
        <v>9100</v>
      </c>
      <c r="J4">
        <v>0.1</v>
      </c>
      <c r="L4" t="s">
        <v>47</v>
      </c>
      <c r="M4" t="s">
        <v>40</v>
      </c>
    </row>
    <row r="5" spans="1:13" x14ac:dyDescent="0.3">
      <c r="A5">
        <v>4004</v>
      </c>
      <c r="B5" s="3">
        <v>45750</v>
      </c>
      <c r="C5" t="s">
        <v>48</v>
      </c>
      <c r="D5" t="s">
        <v>49</v>
      </c>
      <c r="E5" t="s">
        <v>84</v>
      </c>
      <c r="F5" t="s">
        <v>50</v>
      </c>
      <c r="G5" t="s">
        <v>46</v>
      </c>
      <c r="H5">
        <v>6</v>
      </c>
      <c r="I5">
        <v>1650</v>
      </c>
      <c r="J5">
        <v>0.08</v>
      </c>
      <c r="K5">
        <v>18</v>
      </c>
      <c r="L5" t="s">
        <v>39</v>
      </c>
      <c r="M5" t="s">
        <v>51</v>
      </c>
    </row>
    <row r="6" spans="1:13" x14ac:dyDescent="0.3">
      <c r="A6">
        <v>4005</v>
      </c>
      <c r="B6" s="2">
        <v>45751</v>
      </c>
      <c r="C6" t="s">
        <v>52</v>
      </c>
      <c r="D6" t="s">
        <v>36</v>
      </c>
      <c r="E6" t="s">
        <v>97</v>
      </c>
      <c r="F6" t="s">
        <v>53</v>
      </c>
      <c r="G6" t="s">
        <v>38</v>
      </c>
      <c r="H6">
        <v>2</v>
      </c>
      <c r="I6">
        <v>15800</v>
      </c>
      <c r="J6">
        <v>0.12</v>
      </c>
      <c r="K6">
        <v>18</v>
      </c>
      <c r="L6" t="s">
        <v>39</v>
      </c>
      <c r="M6" t="s">
        <v>40</v>
      </c>
    </row>
    <row r="7" spans="1:13" x14ac:dyDescent="0.3">
      <c r="A7">
        <v>4006</v>
      </c>
      <c r="B7" s="2">
        <v>45752</v>
      </c>
      <c r="C7" t="s">
        <v>41</v>
      </c>
      <c r="D7" t="s">
        <v>54</v>
      </c>
      <c r="E7" t="s">
        <v>85</v>
      </c>
      <c r="F7" t="s">
        <v>55</v>
      </c>
      <c r="G7" t="s">
        <v>56</v>
      </c>
      <c r="H7">
        <v>30</v>
      </c>
      <c r="I7">
        <v>72</v>
      </c>
      <c r="J7">
        <v>0</v>
      </c>
      <c r="K7">
        <v>18</v>
      </c>
      <c r="L7" t="s">
        <v>57</v>
      </c>
      <c r="M7" t="s">
        <v>40</v>
      </c>
    </row>
    <row r="8" spans="1:13" x14ac:dyDescent="0.3">
      <c r="A8">
        <v>4007</v>
      </c>
      <c r="B8" s="2">
        <v>45753</v>
      </c>
      <c r="C8" t="s">
        <v>58</v>
      </c>
      <c r="D8" t="s">
        <v>44</v>
      </c>
      <c r="E8" t="s">
        <v>86</v>
      </c>
      <c r="F8" t="s">
        <v>59</v>
      </c>
      <c r="G8" t="s">
        <v>38</v>
      </c>
      <c r="H8">
        <v>12</v>
      </c>
      <c r="I8">
        <v>3600</v>
      </c>
      <c r="J8">
        <v>0.05</v>
      </c>
      <c r="L8" t="s">
        <v>39</v>
      </c>
      <c r="M8" t="s">
        <v>40</v>
      </c>
    </row>
    <row r="9" spans="1:13" x14ac:dyDescent="0.3">
      <c r="A9">
        <v>4008</v>
      </c>
      <c r="B9" s="3">
        <v>45754</v>
      </c>
      <c r="C9" t="s">
        <v>48</v>
      </c>
      <c r="D9" t="s">
        <v>74</v>
      </c>
      <c r="E9" t="s">
        <v>98</v>
      </c>
      <c r="F9" t="s">
        <v>61</v>
      </c>
      <c r="G9" t="s">
        <v>38</v>
      </c>
      <c r="H9">
        <v>10</v>
      </c>
      <c r="I9">
        <v>63000</v>
      </c>
      <c r="J9">
        <v>0.08</v>
      </c>
      <c r="K9">
        <v>18</v>
      </c>
      <c r="L9" t="s">
        <v>39</v>
      </c>
      <c r="M9" t="s">
        <v>62</v>
      </c>
    </row>
    <row r="10" spans="1:13" x14ac:dyDescent="0.3">
      <c r="A10">
        <v>4009</v>
      </c>
      <c r="B10" s="2">
        <v>45755</v>
      </c>
      <c r="C10" t="s">
        <v>52</v>
      </c>
      <c r="D10" t="s">
        <v>63</v>
      </c>
      <c r="E10" t="s">
        <v>99</v>
      </c>
      <c r="F10" t="s">
        <v>64</v>
      </c>
      <c r="G10" t="s">
        <v>46</v>
      </c>
      <c r="H10">
        <v>11</v>
      </c>
      <c r="I10">
        <v>19800</v>
      </c>
      <c r="J10">
        <v>0.12</v>
      </c>
      <c r="K10">
        <v>18</v>
      </c>
      <c r="L10" t="s">
        <v>47</v>
      </c>
      <c r="M10" t="s">
        <v>40</v>
      </c>
    </row>
    <row r="11" spans="1:13" x14ac:dyDescent="0.3">
      <c r="A11">
        <v>4010</v>
      </c>
      <c r="B11" s="2">
        <v>45756</v>
      </c>
      <c r="C11" t="s">
        <v>41</v>
      </c>
      <c r="D11" t="s">
        <v>42</v>
      </c>
      <c r="E11" t="s">
        <v>87</v>
      </c>
      <c r="F11" t="s">
        <v>65</v>
      </c>
      <c r="G11" t="s">
        <v>38</v>
      </c>
      <c r="H11">
        <v>2</v>
      </c>
      <c r="I11">
        <v>24000</v>
      </c>
      <c r="J11">
        <v>0.05</v>
      </c>
      <c r="K11">
        <v>18</v>
      </c>
      <c r="L11" t="s">
        <v>39</v>
      </c>
      <c r="M11" t="s">
        <v>40</v>
      </c>
    </row>
    <row r="12" spans="1:13" x14ac:dyDescent="0.3">
      <c r="A12">
        <v>4011</v>
      </c>
      <c r="B12" s="2">
        <v>45757</v>
      </c>
      <c r="C12" t="s">
        <v>58</v>
      </c>
      <c r="D12" t="s">
        <v>66</v>
      </c>
      <c r="E12" t="s">
        <v>88</v>
      </c>
      <c r="F12" t="s">
        <v>67</v>
      </c>
      <c r="G12" t="s">
        <v>38</v>
      </c>
      <c r="H12">
        <v>1</v>
      </c>
      <c r="I12">
        <v>13200</v>
      </c>
      <c r="J12">
        <v>0.06</v>
      </c>
      <c r="L12" t="s">
        <v>47</v>
      </c>
      <c r="M12" t="s">
        <v>40</v>
      </c>
    </row>
    <row r="13" spans="1:13" x14ac:dyDescent="0.3">
      <c r="A13">
        <v>4012</v>
      </c>
      <c r="B13" s="3">
        <v>45758</v>
      </c>
      <c r="C13" t="s">
        <v>48</v>
      </c>
      <c r="D13" t="s">
        <v>79</v>
      </c>
      <c r="E13" t="s">
        <v>100</v>
      </c>
      <c r="F13" t="s">
        <v>68</v>
      </c>
      <c r="G13" t="s">
        <v>46</v>
      </c>
      <c r="H13">
        <v>2</v>
      </c>
      <c r="I13">
        <v>9800</v>
      </c>
      <c r="J13">
        <v>0</v>
      </c>
      <c r="K13">
        <v>18</v>
      </c>
      <c r="L13" t="s">
        <v>57</v>
      </c>
      <c r="M13" t="s">
        <v>40</v>
      </c>
    </row>
    <row r="14" spans="1:13" x14ac:dyDescent="0.3">
      <c r="A14">
        <v>4013</v>
      </c>
      <c r="B14" s="2">
        <v>45759</v>
      </c>
      <c r="C14" t="s">
        <v>52</v>
      </c>
      <c r="D14" t="s">
        <v>36</v>
      </c>
      <c r="E14" t="s">
        <v>101</v>
      </c>
      <c r="F14" t="s">
        <v>69</v>
      </c>
      <c r="G14" t="s">
        <v>70</v>
      </c>
      <c r="H14">
        <v>6</v>
      </c>
      <c r="I14">
        <v>1150</v>
      </c>
      <c r="J14">
        <v>0.04</v>
      </c>
      <c r="K14">
        <v>18</v>
      </c>
      <c r="L14" t="s">
        <v>39</v>
      </c>
      <c r="M14" t="s">
        <v>40</v>
      </c>
    </row>
    <row r="15" spans="1:13" x14ac:dyDescent="0.3">
      <c r="A15">
        <v>4014</v>
      </c>
      <c r="B15" s="2">
        <v>45760</v>
      </c>
      <c r="C15" t="s">
        <v>41</v>
      </c>
      <c r="D15" t="s">
        <v>71</v>
      </c>
      <c r="E15" t="s">
        <v>102</v>
      </c>
      <c r="F15" t="s">
        <v>72</v>
      </c>
      <c r="G15" t="s">
        <v>38</v>
      </c>
      <c r="H15">
        <v>3</v>
      </c>
      <c r="I15">
        <v>2550</v>
      </c>
      <c r="J15">
        <v>0.05</v>
      </c>
      <c r="K15">
        <v>18</v>
      </c>
      <c r="L15" t="s">
        <v>39</v>
      </c>
      <c r="M15" t="s">
        <v>40</v>
      </c>
    </row>
    <row r="16" spans="1:13" x14ac:dyDescent="0.3">
      <c r="A16">
        <v>4015</v>
      </c>
      <c r="B16" s="2">
        <v>45761</v>
      </c>
      <c r="C16" t="s">
        <v>58</v>
      </c>
      <c r="D16" t="s">
        <v>73</v>
      </c>
      <c r="E16" t="s">
        <v>103</v>
      </c>
      <c r="F16" t="s">
        <v>50</v>
      </c>
      <c r="G16" t="s">
        <v>46</v>
      </c>
      <c r="H16">
        <v>4</v>
      </c>
      <c r="I16">
        <v>1650</v>
      </c>
      <c r="J16">
        <v>0.05</v>
      </c>
      <c r="L16" t="s">
        <v>47</v>
      </c>
      <c r="M16" t="s">
        <v>40</v>
      </c>
    </row>
    <row r="17" spans="1:13" x14ac:dyDescent="0.3">
      <c r="A17">
        <v>4016</v>
      </c>
      <c r="B17" s="3">
        <v>45762</v>
      </c>
      <c r="C17" t="s">
        <v>48</v>
      </c>
      <c r="D17" t="s">
        <v>60</v>
      </c>
      <c r="E17" t="s">
        <v>75</v>
      </c>
      <c r="F17" t="s">
        <v>55</v>
      </c>
      <c r="G17" t="s">
        <v>56</v>
      </c>
      <c r="H17">
        <v>28</v>
      </c>
      <c r="I17">
        <v>80</v>
      </c>
      <c r="J17">
        <v>0</v>
      </c>
      <c r="K17">
        <v>18</v>
      </c>
      <c r="L17" t="s">
        <v>57</v>
      </c>
      <c r="M17" t="s">
        <v>40</v>
      </c>
    </row>
    <row r="18" spans="1:13" x14ac:dyDescent="0.3">
      <c r="A18">
        <v>4017</v>
      </c>
      <c r="B18" s="2">
        <v>45763</v>
      </c>
      <c r="C18" t="s">
        <v>52</v>
      </c>
      <c r="D18" t="s">
        <v>76</v>
      </c>
      <c r="E18" t="s">
        <v>104</v>
      </c>
      <c r="F18" t="s">
        <v>53</v>
      </c>
      <c r="G18" t="s">
        <v>38</v>
      </c>
      <c r="H18">
        <v>1</v>
      </c>
      <c r="I18">
        <v>15200</v>
      </c>
      <c r="J18">
        <v>0.09</v>
      </c>
      <c r="K18">
        <v>18</v>
      </c>
      <c r="L18" t="s">
        <v>39</v>
      </c>
      <c r="M18" t="s">
        <v>62</v>
      </c>
    </row>
    <row r="19" spans="1:13" x14ac:dyDescent="0.3">
      <c r="A19">
        <v>4018</v>
      </c>
      <c r="B19" s="2">
        <v>45764</v>
      </c>
      <c r="C19" t="s">
        <v>41</v>
      </c>
      <c r="D19" t="s">
        <v>42</v>
      </c>
      <c r="E19" t="s">
        <v>89</v>
      </c>
      <c r="F19" t="s">
        <v>45</v>
      </c>
      <c r="G19" t="s">
        <v>46</v>
      </c>
      <c r="H19">
        <v>22</v>
      </c>
      <c r="I19">
        <v>9000</v>
      </c>
      <c r="J19">
        <v>0.05</v>
      </c>
      <c r="K19">
        <v>18</v>
      </c>
      <c r="L19" t="s">
        <v>47</v>
      </c>
      <c r="M19" t="s">
        <v>40</v>
      </c>
    </row>
    <row r="20" spans="1:13" x14ac:dyDescent="0.3">
      <c r="A20">
        <v>4019</v>
      </c>
      <c r="B20" s="2">
        <v>45765</v>
      </c>
      <c r="C20" t="s">
        <v>58</v>
      </c>
      <c r="D20" t="s">
        <v>44</v>
      </c>
      <c r="E20" t="s">
        <v>90</v>
      </c>
      <c r="F20" t="s">
        <v>43</v>
      </c>
      <c r="G20" t="s">
        <v>38</v>
      </c>
      <c r="H20">
        <v>10</v>
      </c>
      <c r="I20">
        <v>710</v>
      </c>
      <c r="J20">
        <v>0.02</v>
      </c>
      <c r="L20" t="s">
        <v>39</v>
      </c>
      <c r="M20" t="s">
        <v>40</v>
      </c>
    </row>
    <row r="21" spans="1:13" x14ac:dyDescent="0.3">
      <c r="A21">
        <v>4020</v>
      </c>
      <c r="B21" s="3">
        <v>45766</v>
      </c>
      <c r="C21" t="s">
        <v>48</v>
      </c>
      <c r="D21" t="s">
        <v>49</v>
      </c>
      <c r="E21" t="s">
        <v>91</v>
      </c>
      <c r="F21" t="s">
        <v>37</v>
      </c>
      <c r="G21" t="s">
        <v>38</v>
      </c>
      <c r="H21">
        <v>2</v>
      </c>
      <c r="I21">
        <v>53000</v>
      </c>
      <c r="J21">
        <v>0.06</v>
      </c>
      <c r="K21">
        <v>18</v>
      </c>
      <c r="L21" t="s">
        <v>39</v>
      </c>
      <c r="M21" t="s">
        <v>40</v>
      </c>
    </row>
    <row r="22" spans="1:13" x14ac:dyDescent="0.3">
      <c r="A22">
        <v>4021</v>
      </c>
      <c r="B22" s="2">
        <v>45767</v>
      </c>
      <c r="C22" t="s">
        <v>52</v>
      </c>
      <c r="D22" t="s">
        <v>36</v>
      </c>
      <c r="E22" t="s">
        <v>92</v>
      </c>
      <c r="F22" t="s">
        <v>64</v>
      </c>
      <c r="G22" t="s">
        <v>46</v>
      </c>
      <c r="H22">
        <v>1</v>
      </c>
      <c r="I22">
        <v>20500</v>
      </c>
      <c r="J22">
        <v>0.15</v>
      </c>
      <c r="K22">
        <v>18</v>
      </c>
      <c r="L22" t="s">
        <v>47</v>
      </c>
      <c r="M22" t="s">
        <v>40</v>
      </c>
    </row>
    <row r="23" spans="1:13" x14ac:dyDescent="0.3">
      <c r="A23">
        <v>4022</v>
      </c>
      <c r="B23" s="2">
        <v>45768</v>
      </c>
      <c r="C23" t="s">
        <v>41</v>
      </c>
      <c r="D23" t="s">
        <v>54</v>
      </c>
      <c r="E23" t="s">
        <v>77</v>
      </c>
      <c r="F23" t="s">
        <v>61</v>
      </c>
      <c r="G23" t="s">
        <v>38</v>
      </c>
      <c r="H23">
        <v>3</v>
      </c>
      <c r="I23">
        <v>66000</v>
      </c>
      <c r="J23">
        <v>0.09</v>
      </c>
      <c r="K23">
        <v>18</v>
      </c>
      <c r="L23" t="s">
        <v>39</v>
      </c>
      <c r="M23" t="s">
        <v>40</v>
      </c>
    </row>
    <row r="24" spans="1:13" x14ac:dyDescent="0.3">
      <c r="A24">
        <v>4023</v>
      </c>
      <c r="B24" s="2">
        <v>45769</v>
      </c>
      <c r="C24" t="s">
        <v>58</v>
      </c>
      <c r="D24" t="s">
        <v>66</v>
      </c>
      <c r="E24" t="s">
        <v>93</v>
      </c>
      <c r="F24" t="s">
        <v>78</v>
      </c>
      <c r="G24" t="s">
        <v>38</v>
      </c>
      <c r="H24">
        <v>5</v>
      </c>
      <c r="I24">
        <v>1850</v>
      </c>
      <c r="J24">
        <v>0</v>
      </c>
      <c r="K24">
        <v>18</v>
      </c>
      <c r="L24" t="s">
        <v>39</v>
      </c>
      <c r="M24" t="s">
        <v>40</v>
      </c>
    </row>
    <row r="25" spans="1:13" x14ac:dyDescent="0.3">
      <c r="A25">
        <v>4024</v>
      </c>
      <c r="B25" s="3">
        <v>45770</v>
      </c>
      <c r="C25" t="s">
        <v>48</v>
      </c>
      <c r="D25" t="s">
        <v>79</v>
      </c>
      <c r="E25" t="s">
        <v>94</v>
      </c>
      <c r="F25" t="s">
        <v>80</v>
      </c>
      <c r="G25" t="s">
        <v>56</v>
      </c>
      <c r="H25">
        <v>70</v>
      </c>
      <c r="I25">
        <v>11</v>
      </c>
      <c r="J25">
        <v>0</v>
      </c>
      <c r="K25">
        <v>18</v>
      </c>
      <c r="L25" t="s">
        <v>57</v>
      </c>
      <c r="M25" t="s">
        <v>40</v>
      </c>
    </row>
    <row r="26" spans="1:13" x14ac:dyDescent="0.3">
      <c r="A26">
        <v>4025</v>
      </c>
      <c r="B26" s="2">
        <v>45771</v>
      </c>
      <c r="C26" t="s">
        <v>52</v>
      </c>
      <c r="D26" t="s">
        <v>63</v>
      </c>
      <c r="E26" t="s">
        <v>81</v>
      </c>
      <c r="F26" t="s">
        <v>82</v>
      </c>
      <c r="G26" t="s">
        <v>38</v>
      </c>
      <c r="H26">
        <v>5</v>
      </c>
      <c r="I26">
        <v>3200</v>
      </c>
      <c r="J26">
        <v>0.05</v>
      </c>
      <c r="L26" t="s">
        <v>39</v>
      </c>
      <c r="M26" t="s">
        <v>40</v>
      </c>
    </row>
    <row r="27" spans="1:13" x14ac:dyDescent="0.3">
      <c r="A27">
        <v>4005</v>
      </c>
      <c r="B27" s="2">
        <v>45751</v>
      </c>
      <c r="C27" t="s">
        <v>52</v>
      </c>
      <c r="D27" t="s">
        <v>36</v>
      </c>
      <c r="E27" t="s">
        <v>97</v>
      </c>
      <c r="F27" t="s">
        <v>53</v>
      </c>
      <c r="G27" t="s">
        <v>38</v>
      </c>
      <c r="H27">
        <v>2</v>
      </c>
      <c r="I27">
        <v>15800</v>
      </c>
      <c r="J27">
        <v>0.12</v>
      </c>
      <c r="K27">
        <v>18</v>
      </c>
      <c r="L27" t="s">
        <v>39</v>
      </c>
      <c r="M27" t="s">
        <v>40</v>
      </c>
    </row>
    <row r="28" spans="1:13" x14ac:dyDescent="0.3">
      <c r="A28">
        <v>4006</v>
      </c>
      <c r="B28" s="2">
        <v>45752</v>
      </c>
      <c r="C28" t="s">
        <v>41</v>
      </c>
      <c r="D28" t="s">
        <v>54</v>
      </c>
      <c r="E28" t="s">
        <v>85</v>
      </c>
      <c r="F28" t="s">
        <v>55</v>
      </c>
      <c r="G28" t="s">
        <v>56</v>
      </c>
      <c r="H28">
        <v>30</v>
      </c>
      <c r="I28">
        <v>72</v>
      </c>
      <c r="J28">
        <v>0</v>
      </c>
      <c r="K28">
        <v>18</v>
      </c>
      <c r="L28" t="s">
        <v>57</v>
      </c>
      <c r="M28" t="s">
        <v>40</v>
      </c>
    </row>
    <row r="29" spans="1:13" x14ac:dyDescent="0.3">
      <c r="A29">
        <v>4007</v>
      </c>
      <c r="B29" s="2">
        <v>45753</v>
      </c>
      <c r="C29" t="s">
        <v>58</v>
      </c>
      <c r="D29" t="s">
        <v>44</v>
      </c>
      <c r="E29" t="s">
        <v>86</v>
      </c>
      <c r="F29" t="s">
        <v>59</v>
      </c>
      <c r="G29" t="s">
        <v>38</v>
      </c>
      <c r="H29">
        <v>12</v>
      </c>
      <c r="I29">
        <v>3600</v>
      </c>
      <c r="J29">
        <v>0.05</v>
      </c>
      <c r="L29" t="s">
        <v>39</v>
      </c>
      <c r="M29" t="s">
        <v>40</v>
      </c>
    </row>
    <row r="30" spans="1:13" x14ac:dyDescent="0.3">
      <c r="A30">
        <v>4008</v>
      </c>
      <c r="B30" s="3">
        <v>45754</v>
      </c>
      <c r="C30" t="s">
        <v>48</v>
      </c>
      <c r="D30" t="s">
        <v>74</v>
      </c>
      <c r="E30" t="s">
        <v>98</v>
      </c>
      <c r="F30" t="s">
        <v>61</v>
      </c>
      <c r="G30" t="s">
        <v>38</v>
      </c>
      <c r="H30">
        <v>10</v>
      </c>
      <c r="I30">
        <v>63000</v>
      </c>
      <c r="J30">
        <v>0.08</v>
      </c>
      <c r="K30">
        <v>18</v>
      </c>
      <c r="L30" t="s">
        <v>39</v>
      </c>
      <c r="M30" t="s">
        <v>62</v>
      </c>
    </row>
    <row r="31" spans="1:13" x14ac:dyDescent="0.3">
      <c r="A31">
        <v>4009</v>
      </c>
      <c r="B31" s="2">
        <v>45755</v>
      </c>
      <c r="C31" t="s">
        <v>52</v>
      </c>
      <c r="D31" t="s">
        <v>63</v>
      </c>
      <c r="E31" t="s">
        <v>99</v>
      </c>
      <c r="F31" t="s">
        <v>64</v>
      </c>
      <c r="G31" t="s">
        <v>46</v>
      </c>
      <c r="H31">
        <v>11</v>
      </c>
      <c r="I31">
        <v>19800</v>
      </c>
      <c r="J31">
        <v>0.12</v>
      </c>
      <c r="K31">
        <v>18</v>
      </c>
      <c r="L31" t="s">
        <v>47</v>
      </c>
      <c r="M31" t="s">
        <v>40</v>
      </c>
    </row>
    <row r="32" spans="1:13" x14ac:dyDescent="0.3">
      <c r="A32">
        <v>4010</v>
      </c>
      <c r="B32" s="2">
        <v>45756</v>
      </c>
      <c r="C32" t="s">
        <v>41</v>
      </c>
      <c r="D32" t="s">
        <v>42</v>
      </c>
      <c r="E32" t="s">
        <v>87</v>
      </c>
      <c r="F32" t="s">
        <v>65</v>
      </c>
      <c r="G32" t="s">
        <v>38</v>
      </c>
      <c r="H32">
        <v>2</v>
      </c>
      <c r="I32">
        <v>24000</v>
      </c>
      <c r="J32">
        <v>0.05</v>
      </c>
      <c r="K32">
        <v>18</v>
      </c>
      <c r="L32" t="s">
        <v>39</v>
      </c>
      <c r="M32" t="s">
        <v>40</v>
      </c>
    </row>
    <row r="33" spans="1:13" x14ac:dyDescent="0.3">
      <c r="A33">
        <v>4011</v>
      </c>
      <c r="B33" s="2">
        <v>45757</v>
      </c>
      <c r="C33" t="s">
        <v>58</v>
      </c>
      <c r="D33" t="s">
        <v>66</v>
      </c>
      <c r="E33" t="s">
        <v>88</v>
      </c>
      <c r="F33" t="s">
        <v>67</v>
      </c>
      <c r="G33" t="s">
        <v>38</v>
      </c>
      <c r="H33">
        <v>1</v>
      </c>
      <c r="I33">
        <v>13200</v>
      </c>
      <c r="J33">
        <v>0.06</v>
      </c>
      <c r="L33" t="s">
        <v>47</v>
      </c>
      <c r="M33" t="s">
        <v>40</v>
      </c>
    </row>
    <row r="34" spans="1:13" x14ac:dyDescent="0.3">
      <c r="A34">
        <v>4012</v>
      </c>
      <c r="B34" s="3">
        <v>45758</v>
      </c>
      <c r="C34" t="s">
        <v>48</v>
      </c>
      <c r="D34" t="s">
        <v>79</v>
      </c>
      <c r="E34" t="s">
        <v>100</v>
      </c>
      <c r="F34" t="s">
        <v>68</v>
      </c>
      <c r="G34" t="s">
        <v>46</v>
      </c>
      <c r="H34">
        <v>2</v>
      </c>
      <c r="I34">
        <v>9800</v>
      </c>
      <c r="J34">
        <v>0</v>
      </c>
      <c r="K34">
        <v>18</v>
      </c>
      <c r="L34" t="s">
        <v>57</v>
      </c>
      <c r="M34" t="s">
        <v>40</v>
      </c>
    </row>
    <row r="35" spans="1:13" x14ac:dyDescent="0.3">
      <c r="A35">
        <v>4013</v>
      </c>
      <c r="B35" s="2">
        <v>45759</v>
      </c>
      <c r="C35" t="s">
        <v>52</v>
      </c>
      <c r="D35" t="s">
        <v>36</v>
      </c>
      <c r="E35" t="s">
        <v>101</v>
      </c>
      <c r="F35" t="s">
        <v>69</v>
      </c>
      <c r="G35" t="s">
        <v>70</v>
      </c>
      <c r="H35">
        <v>6</v>
      </c>
      <c r="I35">
        <v>1150</v>
      </c>
      <c r="J35">
        <v>0.04</v>
      </c>
      <c r="K35">
        <v>18</v>
      </c>
      <c r="L35" t="s">
        <v>39</v>
      </c>
      <c r="M35" t="s">
        <v>40</v>
      </c>
    </row>
    <row r="36" spans="1:13" x14ac:dyDescent="0.3">
      <c r="A36">
        <v>4014</v>
      </c>
      <c r="B36" s="2">
        <v>45760</v>
      </c>
      <c r="C36" t="s">
        <v>41</v>
      </c>
      <c r="D36" t="s">
        <v>71</v>
      </c>
      <c r="E36" t="s">
        <v>102</v>
      </c>
      <c r="F36" t="s">
        <v>72</v>
      </c>
      <c r="G36" t="s">
        <v>38</v>
      </c>
      <c r="H36">
        <v>3</v>
      </c>
      <c r="I36">
        <v>2550</v>
      </c>
      <c r="J36">
        <v>0.05</v>
      </c>
      <c r="K36">
        <v>18</v>
      </c>
      <c r="L36" t="s">
        <v>39</v>
      </c>
      <c r="M36" t="s">
        <v>40</v>
      </c>
    </row>
    <row r="37" spans="1:13" x14ac:dyDescent="0.3">
      <c r="A37">
        <v>4015</v>
      </c>
      <c r="B37" s="2">
        <v>45761</v>
      </c>
      <c r="C37" t="s">
        <v>58</v>
      </c>
      <c r="D37" t="s">
        <v>73</v>
      </c>
      <c r="E37" t="s">
        <v>103</v>
      </c>
      <c r="F37" t="s">
        <v>50</v>
      </c>
      <c r="G37" t="s">
        <v>46</v>
      </c>
      <c r="H37">
        <v>4</v>
      </c>
      <c r="I37">
        <v>1650</v>
      </c>
      <c r="J37">
        <v>0.05</v>
      </c>
      <c r="L37" t="s">
        <v>47</v>
      </c>
      <c r="M37" t="s">
        <v>40</v>
      </c>
    </row>
    <row r="38" spans="1:13" x14ac:dyDescent="0.3">
      <c r="A38">
        <v>4016</v>
      </c>
      <c r="B38" s="3">
        <v>45762</v>
      </c>
      <c r="C38" t="s">
        <v>48</v>
      </c>
      <c r="D38" t="s">
        <v>60</v>
      </c>
      <c r="E38" t="s">
        <v>75</v>
      </c>
      <c r="F38" t="s">
        <v>55</v>
      </c>
      <c r="G38" t="s">
        <v>56</v>
      </c>
      <c r="H38">
        <v>28</v>
      </c>
      <c r="I38">
        <v>80</v>
      </c>
      <c r="J38">
        <v>0</v>
      </c>
      <c r="K38">
        <v>18</v>
      </c>
      <c r="L38" t="s">
        <v>57</v>
      </c>
      <c r="M38" t="s">
        <v>40</v>
      </c>
    </row>
    <row r="39" spans="1:13" x14ac:dyDescent="0.3">
      <c r="A39">
        <v>4017</v>
      </c>
      <c r="B39" s="2">
        <v>45763</v>
      </c>
      <c r="C39" t="s">
        <v>52</v>
      </c>
      <c r="D39" t="s">
        <v>76</v>
      </c>
      <c r="E39" t="s">
        <v>104</v>
      </c>
      <c r="F39" t="s">
        <v>53</v>
      </c>
      <c r="G39" t="s">
        <v>38</v>
      </c>
      <c r="H39">
        <v>1</v>
      </c>
      <c r="I39">
        <v>15200</v>
      </c>
      <c r="J39">
        <v>0.09</v>
      </c>
      <c r="K39">
        <v>18</v>
      </c>
      <c r="L39" t="s">
        <v>39</v>
      </c>
      <c r="M39" t="s">
        <v>62</v>
      </c>
    </row>
    <row r="40" spans="1:13" x14ac:dyDescent="0.3">
      <c r="A40">
        <v>4018</v>
      </c>
      <c r="B40" s="2">
        <v>45764</v>
      </c>
      <c r="C40" t="s">
        <v>41</v>
      </c>
      <c r="D40" t="s">
        <v>42</v>
      </c>
      <c r="E40" t="s">
        <v>89</v>
      </c>
      <c r="F40" t="s">
        <v>45</v>
      </c>
      <c r="G40" t="s">
        <v>46</v>
      </c>
      <c r="H40">
        <v>22</v>
      </c>
      <c r="I40">
        <v>9000</v>
      </c>
      <c r="J40">
        <v>0.05</v>
      </c>
      <c r="K40">
        <v>18</v>
      </c>
      <c r="L40" t="s">
        <v>47</v>
      </c>
      <c r="M40" t="s">
        <v>40</v>
      </c>
    </row>
    <row r="41" spans="1:13" x14ac:dyDescent="0.3">
      <c r="A41">
        <v>4019</v>
      </c>
      <c r="B41" s="2">
        <v>45765</v>
      </c>
      <c r="C41" t="s">
        <v>58</v>
      </c>
      <c r="D41" t="s">
        <v>44</v>
      </c>
      <c r="E41" t="s">
        <v>90</v>
      </c>
      <c r="F41" t="s">
        <v>43</v>
      </c>
      <c r="G41" t="s">
        <v>38</v>
      </c>
      <c r="H41">
        <v>10</v>
      </c>
      <c r="I41">
        <v>710</v>
      </c>
      <c r="J41">
        <v>0.02</v>
      </c>
      <c r="L41" t="s">
        <v>39</v>
      </c>
      <c r="M41" t="s">
        <v>40</v>
      </c>
    </row>
    <row r="42" spans="1:13" x14ac:dyDescent="0.3">
      <c r="A42">
        <v>4020</v>
      </c>
      <c r="B42" s="3">
        <v>45766</v>
      </c>
      <c r="C42" t="s">
        <v>48</v>
      </c>
      <c r="D42" t="s">
        <v>49</v>
      </c>
      <c r="E42" t="s">
        <v>91</v>
      </c>
      <c r="F42" t="s">
        <v>37</v>
      </c>
      <c r="G42" t="s">
        <v>38</v>
      </c>
      <c r="H42">
        <v>2</v>
      </c>
      <c r="I42">
        <v>53000</v>
      </c>
      <c r="J42">
        <v>0.06</v>
      </c>
      <c r="K42">
        <v>18</v>
      </c>
      <c r="L42" t="s">
        <v>39</v>
      </c>
      <c r="M42" t="s">
        <v>40</v>
      </c>
    </row>
    <row r="43" spans="1:13" x14ac:dyDescent="0.3">
      <c r="A43">
        <v>4021</v>
      </c>
      <c r="B43" s="2">
        <v>45767</v>
      </c>
      <c r="C43" t="s">
        <v>52</v>
      </c>
      <c r="D43" t="s">
        <v>36</v>
      </c>
      <c r="E43" t="s">
        <v>92</v>
      </c>
      <c r="F43" t="s">
        <v>64</v>
      </c>
      <c r="G43" t="s">
        <v>46</v>
      </c>
      <c r="H43">
        <v>1</v>
      </c>
      <c r="I43">
        <v>20500</v>
      </c>
      <c r="J43">
        <v>0.15</v>
      </c>
      <c r="K43">
        <v>18</v>
      </c>
      <c r="L43" t="s">
        <v>47</v>
      </c>
      <c r="M43" t="s">
        <v>40</v>
      </c>
    </row>
    <row r="44" spans="1:13" x14ac:dyDescent="0.3">
      <c r="A44">
        <v>4022</v>
      </c>
      <c r="B44" s="2">
        <v>45768</v>
      </c>
      <c r="C44" t="s">
        <v>41</v>
      </c>
      <c r="D44" t="s">
        <v>54</v>
      </c>
      <c r="E44" t="s">
        <v>77</v>
      </c>
      <c r="F44" t="s">
        <v>61</v>
      </c>
      <c r="G44" t="s">
        <v>38</v>
      </c>
      <c r="H44">
        <v>3</v>
      </c>
      <c r="I44">
        <v>66000</v>
      </c>
      <c r="J44">
        <v>0.09</v>
      </c>
      <c r="K44">
        <v>18</v>
      </c>
      <c r="L44" t="s">
        <v>39</v>
      </c>
      <c r="M44" t="s">
        <v>40</v>
      </c>
    </row>
    <row r="45" spans="1:13" x14ac:dyDescent="0.3">
      <c r="A45">
        <v>4023</v>
      </c>
      <c r="B45" s="2">
        <v>45769</v>
      </c>
      <c r="C45" t="s">
        <v>58</v>
      </c>
      <c r="D45" t="s">
        <v>66</v>
      </c>
      <c r="E45" t="s">
        <v>93</v>
      </c>
      <c r="F45" t="s">
        <v>78</v>
      </c>
      <c r="G45" t="s">
        <v>38</v>
      </c>
      <c r="H45">
        <v>5</v>
      </c>
      <c r="I45">
        <v>1850</v>
      </c>
      <c r="J45">
        <v>0</v>
      </c>
      <c r="K45">
        <v>18</v>
      </c>
      <c r="L45" t="s">
        <v>39</v>
      </c>
      <c r="M45" t="s">
        <v>40</v>
      </c>
    </row>
    <row r="46" spans="1:13" x14ac:dyDescent="0.3">
      <c r="A46">
        <v>4024</v>
      </c>
      <c r="B46" s="3">
        <v>45770</v>
      </c>
      <c r="C46" t="s">
        <v>48</v>
      </c>
      <c r="D46" t="s">
        <v>79</v>
      </c>
      <c r="E46" t="s">
        <v>94</v>
      </c>
      <c r="F46" t="s">
        <v>80</v>
      </c>
      <c r="G46" t="s">
        <v>56</v>
      </c>
      <c r="H46">
        <v>70</v>
      </c>
      <c r="I46">
        <v>11</v>
      </c>
      <c r="J46">
        <v>0</v>
      </c>
      <c r="K46">
        <v>18</v>
      </c>
      <c r="L46" t="s">
        <v>57</v>
      </c>
      <c r="M46" t="s">
        <v>40</v>
      </c>
    </row>
    <row r="47" spans="1:13" x14ac:dyDescent="0.3">
      <c r="A47">
        <v>4025</v>
      </c>
      <c r="B47" s="2">
        <v>45771</v>
      </c>
      <c r="C47" t="s">
        <v>52</v>
      </c>
      <c r="D47" t="s">
        <v>63</v>
      </c>
      <c r="E47" t="s">
        <v>81</v>
      </c>
      <c r="F47" t="s">
        <v>82</v>
      </c>
      <c r="G47" t="s">
        <v>38</v>
      </c>
      <c r="H47">
        <v>5</v>
      </c>
      <c r="I47">
        <v>3200</v>
      </c>
      <c r="J47">
        <v>0.05</v>
      </c>
      <c r="L47" t="s">
        <v>39</v>
      </c>
      <c r="M47" t="s">
        <v>40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D7AA0-153E-44CC-AC47-859CE93A3B77}">
  <sheetPr codeName="Sheet11"/>
  <dimension ref="A1:B22"/>
  <sheetViews>
    <sheetView workbookViewId="0">
      <selection activeCell="Q8" sqref="Q8"/>
    </sheetView>
  </sheetViews>
  <sheetFormatPr defaultRowHeight="14.4" x14ac:dyDescent="0.3"/>
  <sheetData>
    <row r="1" spans="1:2" x14ac:dyDescent="0.3">
      <c r="A1" t="s">
        <v>237</v>
      </c>
    </row>
    <row r="2" spans="1:2" x14ac:dyDescent="0.3">
      <c r="A2" t="s">
        <v>0</v>
      </c>
      <c r="B2" t="s">
        <v>132</v>
      </c>
    </row>
    <row r="3" spans="1:2" x14ac:dyDescent="0.3">
      <c r="A3" s="19" t="s">
        <v>217</v>
      </c>
      <c r="B3">
        <v>4200</v>
      </c>
    </row>
    <row r="4" spans="1:2" x14ac:dyDescent="0.3">
      <c r="A4" s="19" t="s">
        <v>218</v>
      </c>
      <c r="B4">
        <v>4450</v>
      </c>
    </row>
    <row r="5" spans="1:2" x14ac:dyDescent="0.3">
      <c r="A5" s="19" t="s">
        <v>219</v>
      </c>
      <c r="B5">
        <v>4680</v>
      </c>
    </row>
    <row r="6" spans="1:2" x14ac:dyDescent="0.3">
      <c r="A6" s="19" t="s">
        <v>220</v>
      </c>
      <c r="B6">
        <v>4550</v>
      </c>
    </row>
    <row r="7" spans="1:2" x14ac:dyDescent="0.3">
      <c r="A7" s="19" t="s">
        <v>221</v>
      </c>
      <c r="B7">
        <v>4800</v>
      </c>
    </row>
    <row r="8" spans="1:2" x14ac:dyDescent="0.3">
      <c r="A8" s="19" t="s">
        <v>222</v>
      </c>
      <c r="B8">
        <v>5100</v>
      </c>
    </row>
    <row r="9" spans="1:2" x14ac:dyDescent="0.3">
      <c r="A9" s="19" t="s">
        <v>223</v>
      </c>
      <c r="B9">
        <v>4950</v>
      </c>
    </row>
    <row r="10" spans="1:2" x14ac:dyDescent="0.3">
      <c r="A10" s="19" t="s">
        <v>224</v>
      </c>
      <c r="B10">
        <v>5200</v>
      </c>
    </row>
    <row r="11" spans="1:2" x14ac:dyDescent="0.3">
      <c r="A11" s="19" t="s">
        <v>225</v>
      </c>
      <c r="B11">
        <v>5050</v>
      </c>
    </row>
    <row r="12" spans="1:2" x14ac:dyDescent="0.3">
      <c r="A12" s="19" t="s">
        <v>226</v>
      </c>
      <c r="B12">
        <v>5300</v>
      </c>
    </row>
    <row r="13" spans="1:2" x14ac:dyDescent="0.3">
      <c r="A13" s="19" t="s">
        <v>227</v>
      </c>
      <c r="B13">
        <v>5450</v>
      </c>
    </row>
    <row r="14" spans="1:2" x14ac:dyDescent="0.3">
      <c r="A14" s="19" t="s">
        <v>228</v>
      </c>
      <c r="B14">
        <v>5600</v>
      </c>
    </row>
    <row r="15" spans="1:2" x14ac:dyDescent="0.3">
      <c r="A15" s="19" t="s">
        <v>229</v>
      </c>
      <c r="B15">
        <v>4700</v>
      </c>
    </row>
    <row r="16" spans="1:2" x14ac:dyDescent="0.3">
      <c r="A16" s="19" t="s">
        <v>230</v>
      </c>
      <c r="B16">
        <v>4900</v>
      </c>
    </row>
    <row r="17" spans="1:2" x14ac:dyDescent="0.3">
      <c r="A17" s="19" t="s">
        <v>231</v>
      </c>
      <c r="B17">
        <v>5150</v>
      </c>
    </row>
    <row r="18" spans="1:2" x14ac:dyDescent="0.3">
      <c r="A18" s="19" t="s">
        <v>232</v>
      </c>
      <c r="B18">
        <v>5000</v>
      </c>
    </row>
    <row r="19" spans="1:2" x14ac:dyDescent="0.3">
      <c r="A19" s="19" t="s">
        <v>233</v>
      </c>
      <c r="B19">
        <v>5250</v>
      </c>
    </row>
    <row r="20" spans="1:2" x14ac:dyDescent="0.3">
      <c r="A20" s="19" t="s">
        <v>234</v>
      </c>
      <c r="B20">
        <v>5500</v>
      </c>
    </row>
    <row r="21" spans="1:2" x14ac:dyDescent="0.3">
      <c r="A21" s="19" t="s">
        <v>235</v>
      </c>
      <c r="B21">
        <v>5400</v>
      </c>
    </row>
    <row r="22" spans="1:2" x14ac:dyDescent="0.3">
      <c r="A22" s="19" t="s">
        <v>236</v>
      </c>
      <c r="B22">
        <v>5650</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64820-E9D7-4269-8A3C-FEC18E0F7CD7}">
  <sheetPr codeName="Sheet15"/>
  <dimension ref="A1:Q73"/>
  <sheetViews>
    <sheetView zoomScale="83" zoomScaleNormal="83" workbookViewId="0">
      <selection activeCell="Q3" sqref="Q3"/>
    </sheetView>
  </sheetViews>
  <sheetFormatPr defaultRowHeight="14.4" x14ac:dyDescent="0.3"/>
  <cols>
    <col min="3" max="3" width="9.6640625" customWidth="1"/>
    <col min="4" max="4" width="12.88671875" customWidth="1"/>
    <col min="5" max="5" width="15.109375" customWidth="1"/>
    <col min="6" max="6" width="16.21875" customWidth="1"/>
    <col min="7" max="7" width="11.33203125" customWidth="1"/>
    <col min="11" max="11" width="11.88671875" customWidth="1"/>
    <col min="12" max="12" width="27.6640625" customWidth="1"/>
    <col min="13" max="13" width="24" customWidth="1"/>
    <col min="14" max="14" width="16.6640625" customWidth="1"/>
    <col min="16" max="16" width="17" customWidth="1"/>
  </cols>
  <sheetData>
    <row r="1" spans="1:17" x14ac:dyDescent="0.3">
      <c r="A1" t="s">
        <v>158</v>
      </c>
      <c r="B1" t="s">
        <v>159</v>
      </c>
      <c r="C1" t="s">
        <v>160</v>
      </c>
      <c r="D1" t="s">
        <v>26</v>
      </c>
      <c r="E1" t="s">
        <v>1</v>
      </c>
      <c r="F1" t="s">
        <v>161</v>
      </c>
      <c r="G1" t="s">
        <v>162</v>
      </c>
      <c r="H1" t="s">
        <v>132</v>
      </c>
      <c r="I1" t="s">
        <v>163</v>
      </c>
      <c r="J1" t="s">
        <v>164</v>
      </c>
      <c r="K1" t="s">
        <v>165</v>
      </c>
      <c r="L1" t="s">
        <v>166</v>
      </c>
      <c r="M1" t="s">
        <v>167</v>
      </c>
      <c r="N1" t="s">
        <v>168</v>
      </c>
    </row>
    <row r="2" spans="1:17" x14ac:dyDescent="0.3">
      <c r="A2">
        <v>2019</v>
      </c>
      <c r="B2" t="s">
        <v>169</v>
      </c>
      <c r="C2" t="s">
        <v>170</v>
      </c>
      <c r="D2" t="s">
        <v>171</v>
      </c>
      <c r="E2" t="s">
        <v>38</v>
      </c>
      <c r="F2" t="s">
        <v>172</v>
      </c>
      <c r="G2">
        <v>1200</v>
      </c>
      <c r="H2">
        <v>360000</v>
      </c>
      <c r="I2">
        <v>290000</v>
      </c>
      <c r="J2">
        <v>70000</v>
      </c>
      <c r="K2">
        <v>4.3</v>
      </c>
      <c r="L2">
        <v>25000</v>
      </c>
      <c r="M2">
        <v>450000</v>
      </c>
      <c r="N2">
        <v>1.7999999999999999E-2</v>
      </c>
    </row>
    <row r="3" spans="1:17" x14ac:dyDescent="0.3">
      <c r="A3">
        <v>2019</v>
      </c>
      <c r="B3" t="s">
        <v>173</v>
      </c>
      <c r="C3" t="s">
        <v>170</v>
      </c>
      <c r="D3" t="s">
        <v>171</v>
      </c>
      <c r="E3" t="s">
        <v>38</v>
      </c>
      <c r="F3" t="s">
        <v>174</v>
      </c>
      <c r="G3">
        <v>950</v>
      </c>
      <c r="H3">
        <v>522500</v>
      </c>
      <c r="I3">
        <v>450000</v>
      </c>
      <c r="J3">
        <v>72500</v>
      </c>
      <c r="K3">
        <v>4.4000000000000004</v>
      </c>
      <c r="L3">
        <v>30000</v>
      </c>
      <c r="M3">
        <v>470000</v>
      </c>
      <c r="N3">
        <v>2.1000000000000001E-2</v>
      </c>
      <c r="P3" t="s">
        <v>238</v>
      </c>
      <c r="Q3" t="s">
        <v>132</v>
      </c>
    </row>
    <row r="4" spans="1:17" x14ac:dyDescent="0.3">
      <c r="A4">
        <v>2019</v>
      </c>
      <c r="B4" t="s">
        <v>175</v>
      </c>
      <c r="C4" t="s">
        <v>170</v>
      </c>
      <c r="D4" t="s">
        <v>171</v>
      </c>
      <c r="E4" t="s">
        <v>176</v>
      </c>
      <c r="F4" t="s">
        <v>177</v>
      </c>
      <c r="G4">
        <v>3200</v>
      </c>
      <c r="H4">
        <v>256000</v>
      </c>
      <c r="I4">
        <v>198000</v>
      </c>
      <c r="J4">
        <v>58000</v>
      </c>
      <c r="K4">
        <v>4.0999999999999996</v>
      </c>
      <c r="L4">
        <v>18000</v>
      </c>
      <c r="M4">
        <v>320000</v>
      </c>
      <c r="N4">
        <v>3.2000000000000001E-2</v>
      </c>
      <c r="P4" t="str" cm="1">
        <f t="array" ref="P4:P9">_xlfn.UNIQUE(D2:D73)</f>
        <v>North America</v>
      </c>
      <c r="Q4">
        <f>SUMIF(D2:D73,P4,H2:H73)</f>
        <v>3526500</v>
      </c>
    </row>
    <row r="5" spans="1:17" x14ac:dyDescent="0.3">
      <c r="A5">
        <v>2019</v>
      </c>
      <c r="B5" t="s">
        <v>178</v>
      </c>
      <c r="C5" t="s">
        <v>179</v>
      </c>
      <c r="D5" t="s">
        <v>171</v>
      </c>
      <c r="E5" t="s">
        <v>176</v>
      </c>
      <c r="F5" t="s">
        <v>180</v>
      </c>
      <c r="G5">
        <v>1800</v>
      </c>
      <c r="H5">
        <v>144000</v>
      </c>
      <c r="I5">
        <v>112000</v>
      </c>
      <c r="J5">
        <v>32000</v>
      </c>
      <c r="K5">
        <v>4</v>
      </c>
      <c r="L5">
        <v>12000</v>
      </c>
      <c r="M5">
        <v>210000</v>
      </c>
      <c r="N5">
        <v>2.9000000000000001E-2</v>
      </c>
      <c r="P5" t="str">
        <v>Asia</v>
      </c>
      <c r="Q5">
        <f t="shared" ref="Q5:Q9" si="0">SUMIF(D3:D74,P5,H3:H74)</f>
        <v>7653000</v>
      </c>
    </row>
    <row r="6" spans="1:17" x14ac:dyDescent="0.3">
      <c r="A6">
        <v>2019</v>
      </c>
      <c r="B6" t="s">
        <v>181</v>
      </c>
      <c r="C6" t="s">
        <v>179</v>
      </c>
      <c r="D6" t="s">
        <v>171</v>
      </c>
      <c r="E6" t="s">
        <v>182</v>
      </c>
      <c r="F6" t="s">
        <v>183</v>
      </c>
      <c r="G6">
        <v>400</v>
      </c>
      <c r="H6">
        <v>200000</v>
      </c>
      <c r="I6">
        <v>165000</v>
      </c>
      <c r="J6">
        <v>35000</v>
      </c>
      <c r="K6">
        <v>4.5</v>
      </c>
      <c r="L6">
        <v>22000</v>
      </c>
      <c r="M6">
        <v>160000</v>
      </c>
      <c r="N6">
        <v>8.9999999999999993E-3</v>
      </c>
      <c r="P6" t="str">
        <v>Europe</v>
      </c>
      <c r="Q6">
        <f t="shared" si="0"/>
        <v>5073000</v>
      </c>
    </row>
    <row r="7" spans="1:17" x14ac:dyDescent="0.3">
      <c r="A7">
        <v>2019</v>
      </c>
      <c r="B7" t="s">
        <v>184</v>
      </c>
      <c r="C7" t="s">
        <v>185</v>
      </c>
      <c r="D7" t="s">
        <v>171</v>
      </c>
      <c r="E7" t="s">
        <v>38</v>
      </c>
      <c r="F7" t="s">
        <v>186</v>
      </c>
      <c r="G7">
        <v>1100</v>
      </c>
      <c r="H7">
        <v>198000</v>
      </c>
      <c r="I7">
        <v>150000</v>
      </c>
      <c r="J7">
        <v>48000</v>
      </c>
      <c r="K7">
        <v>4.2</v>
      </c>
      <c r="L7">
        <v>15000</v>
      </c>
      <c r="M7">
        <v>280000</v>
      </c>
      <c r="N7">
        <v>2.5000000000000001E-2</v>
      </c>
      <c r="P7" t="str">
        <v>South America</v>
      </c>
      <c r="Q7">
        <f t="shared" si="0"/>
        <v>4744000</v>
      </c>
    </row>
    <row r="8" spans="1:17" x14ac:dyDescent="0.3">
      <c r="A8">
        <v>2019</v>
      </c>
      <c r="B8" t="s">
        <v>187</v>
      </c>
      <c r="C8" t="s">
        <v>185</v>
      </c>
      <c r="D8" t="s">
        <v>171</v>
      </c>
      <c r="E8" t="s">
        <v>176</v>
      </c>
      <c r="F8" t="s">
        <v>188</v>
      </c>
      <c r="G8">
        <v>2600</v>
      </c>
      <c r="H8">
        <v>208000</v>
      </c>
      <c r="I8">
        <v>158000</v>
      </c>
      <c r="J8">
        <v>50000</v>
      </c>
      <c r="K8">
        <v>4.0999999999999996</v>
      </c>
      <c r="L8">
        <v>14000</v>
      </c>
      <c r="M8">
        <v>260000</v>
      </c>
      <c r="N8">
        <v>2.8000000000000001E-2</v>
      </c>
      <c r="P8" t="str">
        <v>Oceania</v>
      </c>
      <c r="Q8">
        <f t="shared" si="0"/>
        <v>3532000</v>
      </c>
    </row>
    <row r="9" spans="1:17" x14ac:dyDescent="0.3">
      <c r="A9">
        <v>2019</v>
      </c>
      <c r="B9" t="s">
        <v>189</v>
      </c>
      <c r="C9" t="s">
        <v>170</v>
      </c>
      <c r="D9" t="s">
        <v>171</v>
      </c>
      <c r="E9" t="s">
        <v>46</v>
      </c>
      <c r="F9" t="s">
        <v>190</v>
      </c>
      <c r="G9">
        <v>900</v>
      </c>
      <c r="H9">
        <v>225000</v>
      </c>
      <c r="I9">
        <v>180000</v>
      </c>
      <c r="J9">
        <v>45000</v>
      </c>
      <c r="K9">
        <v>4.3</v>
      </c>
      <c r="L9">
        <v>17000</v>
      </c>
      <c r="M9">
        <v>190000</v>
      </c>
      <c r="N9">
        <v>1.4999999999999999E-2</v>
      </c>
      <c r="P9" t="str">
        <v>Africa</v>
      </c>
      <c r="Q9">
        <f t="shared" si="0"/>
        <v>2765000</v>
      </c>
    </row>
    <row r="10" spans="1:17" x14ac:dyDescent="0.3">
      <c r="A10">
        <v>2019</v>
      </c>
      <c r="B10" t="s">
        <v>191</v>
      </c>
      <c r="C10" t="s">
        <v>170</v>
      </c>
      <c r="D10" t="s">
        <v>171</v>
      </c>
      <c r="E10" t="s">
        <v>46</v>
      </c>
      <c r="F10" t="s">
        <v>192</v>
      </c>
      <c r="G10">
        <v>450</v>
      </c>
      <c r="H10">
        <v>270000</v>
      </c>
      <c r="I10">
        <v>220000</v>
      </c>
      <c r="J10">
        <v>50000</v>
      </c>
      <c r="K10">
        <v>4.4000000000000004</v>
      </c>
      <c r="L10">
        <v>21000</v>
      </c>
      <c r="M10">
        <v>175000</v>
      </c>
      <c r="N10">
        <v>1.0999999999999999E-2</v>
      </c>
    </row>
    <row r="11" spans="1:17" x14ac:dyDescent="0.3">
      <c r="A11">
        <v>2019</v>
      </c>
      <c r="B11" t="s">
        <v>193</v>
      </c>
      <c r="C11" t="s">
        <v>179</v>
      </c>
      <c r="D11" t="s">
        <v>171</v>
      </c>
      <c r="E11" t="s">
        <v>182</v>
      </c>
      <c r="F11" t="s">
        <v>194</v>
      </c>
      <c r="G11">
        <v>550</v>
      </c>
      <c r="H11">
        <v>275000</v>
      </c>
      <c r="I11">
        <v>235000</v>
      </c>
      <c r="J11">
        <v>40000</v>
      </c>
      <c r="K11">
        <v>4.2</v>
      </c>
      <c r="L11">
        <v>20000</v>
      </c>
      <c r="M11">
        <v>150000</v>
      </c>
      <c r="N11">
        <v>0.01</v>
      </c>
    </row>
    <row r="12" spans="1:17" x14ac:dyDescent="0.3">
      <c r="A12">
        <v>2019</v>
      </c>
      <c r="B12" t="s">
        <v>195</v>
      </c>
      <c r="C12" t="s">
        <v>170</v>
      </c>
      <c r="D12" t="s">
        <v>171</v>
      </c>
      <c r="E12" t="s">
        <v>38</v>
      </c>
      <c r="F12" t="s">
        <v>172</v>
      </c>
      <c r="G12">
        <v>1800</v>
      </c>
      <c r="H12">
        <v>540000</v>
      </c>
      <c r="I12">
        <v>430000</v>
      </c>
      <c r="J12">
        <v>110000</v>
      </c>
      <c r="K12">
        <v>4.4000000000000004</v>
      </c>
      <c r="L12">
        <v>30000</v>
      </c>
      <c r="M12">
        <v>650000</v>
      </c>
      <c r="N12">
        <v>0.02</v>
      </c>
    </row>
    <row r="13" spans="1:17" x14ac:dyDescent="0.3">
      <c r="A13">
        <v>2019</v>
      </c>
      <c r="B13" t="s">
        <v>196</v>
      </c>
      <c r="C13" t="s">
        <v>170</v>
      </c>
      <c r="D13" t="s">
        <v>171</v>
      </c>
      <c r="E13" t="s">
        <v>176</v>
      </c>
      <c r="F13" t="s">
        <v>188</v>
      </c>
      <c r="G13">
        <v>4100</v>
      </c>
      <c r="H13">
        <v>328000</v>
      </c>
      <c r="I13">
        <v>265000</v>
      </c>
      <c r="J13">
        <v>63000</v>
      </c>
      <c r="K13">
        <v>4</v>
      </c>
      <c r="L13">
        <v>25000</v>
      </c>
      <c r="M13">
        <v>700000</v>
      </c>
      <c r="N13">
        <v>3.5000000000000003E-2</v>
      </c>
    </row>
    <row r="14" spans="1:17" x14ac:dyDescent="0.3">
      <c r="A14">
        <v>2020</v>
      </c>
      <c r="B14" t="s">
        <v>169</v>
      </c>
      <c r="C14" t="s">
        <v>197</v>
      </c>
      <c r="D14" t="s">
        <v>198</v>
      </c>
      <c r="E14" t="s">
        <v>38</v>
      </c>
      <c r="F14" t="s">
        <v>172</v>
      </c>
      <c r="G14">
        <v>2400</v>
      </c>
      <c r="H14">
        <v>360000</v>
      </c>
      <c r="I14">
        <v>290000</v>
      </c>
      <c r="J14">
        <v>70000</v>
      </c>
      <c r="K14">
        <v>4.2</v>
      </c>
      <c r="L14">
        <v>20000</v>
      </c>
      <c r="M14">
        <v>500000</v>
      </c>
      <c r="N14">
        <v>0.02</v>
      </c>
    </row>
    <row r="15" spans="1:17" x14ac:dyDescent="0.3">
      <c r="A15">
        <v>2020</v>
      </c>
      <c r="B15" t="s">
        <v>173</v>
      </c>
      <c r="C15" t="s">
        <v>197</v>
      </c>
      <c r="D15" t="s">
        <v>198</v>
      </c>
      <c r="E15" t="s">
        <v>176</v>
      </c>
      <c r="F15" t="s">
        <v>177</v>
      </c>
      <c r="G15">
        <v>5200</v>
      </c>
      <c r="H15">
        <v>364000</v>
      </c>
      <c r="I15">
        <v>280000</v>
      </c>
      <c r="J15">
        <v>84000</v>
      </c>
      <c r="K15">
        <v>4</v>
      </c>
      <c r="L15">
        <v>17000</v>
      </c>
      <c r="M15">
        <v>360000</v>
      </c>
      <c r="N15">
        <v>3.1E-2</v>
      </c>
    </row>
    <row r="16" spans="1:17" x14ac:dyDescent="0.3">
      <c r="A16">
        <v>2020</v>
      </c>
      <c r="B16" t="s">
        <v>175</v>
      </c>
      <c r="C16" t="s">
        <v>197</v>
      </c>
      <c r="D16" t="s">
        <v>198</v>
      </c>
      <c r="E16" t="s">
        <v>182</v>
      </c>
      <c r="F16" t="s">
        <v>199</v>
      </c>
      <c r="G16">
        <v>650</v>
      </c>
      <c r="H16">
        <v>390000</v>
      </c>
      <c r="I16">
        <v>330000</v>
      </c>
      <c r="J16">
        <v>60000</v>
      </c>
      <c r="K16">
        <v>4.3</v>
      </c>
      <c r="L16">
        <v>25000</v>
      </c>
      <c r="M16">
        <v>220000</v>
      </c>
      <c r="N16">
        <v>1.2E-2</v>
      </c>
    </row>
    <row r="17" spans="1:14" x14ac:dyDescent="0.3">
      <c r="A17">
        <v>2020</v>
      </c>
      <c r="B17" t="s">
        <v>178</v>
      </c>
      <c r="C17" t="s">
        <v>200</v>
      </c>
      <c r="D17" t="s">
        <v>198</v>
      </c>
      <c r="E17" t="s">
        <v>38</v>
      </c>
      <c r="F17" t="s">
        <v>174</v>
      </c>
      <c r="G17">
        <v>3000</v>
      </c>
      <c r="H17">
        <v>1650000</v>
      </c>
      <c r="I17">
        <v>1420000</v>
      </c>
      <c r="J17">
        <v>230000</v>
      </c>
      <c r="K17">
        <v>4.5</v>
      </c>
      <c r="L17">
        <v>50000</v>
      </c>
      <c r="M17">
        <v>900000</v>
      </c>
      <c r="N17">
        <v>1.7999999999999999E-2</v>
      </c>
    </row>
    <row r="18" spans="1:14" x14ac:dyDescent="0.3">
      <c r="A18">
        <v>2020</v>
      </c>
      <c r="B18" t="s">
        <v>181</v>
      </c>
      <c r="C18" t="s">
        <v>200</v>
      </c>
      <c r="D18" t="s">
        <v>198</v>
      </c>
      <c r="E18" t="s">
        <v>176</v>
      </c>
      <c r="F18" t="s">
        <v>180</v>
      </c>
      <c r="G18">
        <v>4200</v>
      </c>
      <c r="H18">
        <v>336000</v>
      </c>
      <c r="I18">
        <v>260000</v>
      </c>
      <c r="J18">
        <v>76000</v>
      </c>
      <c r="K18">
        <v>4.0999999999999996</v>
      </c>
      <c r="L18">
        <v>22000</v>
      </c>
      <c r="M18">
        <v>400000</v>
      </c>
      <c r="N18">
        <v>2.8000000000000001E-2</v>
      </c>
    </row>
    <row r="19" spans="1:14" x14ac:dyDescent="0.3">
      <c r="A19">
        <v>2020</v>
      </c>
      <c r="B19" t="s">
        <v>184</v>
      </c>
      <c r="C19" t="s">
        <v>201</v>
      </c>
      <c r="D19" t="s">
        <v>198</v>
      </c>
      <c r="E19" t="s">
        <v>46</v>
      </c>
      <c r="F19" t="s">
        <v>190</v>
      </c>
      <c r="G19">
        <v>1600</v>
      </c>
      <c r="H19">
        <v>400000</v>
      </c>
      <c r="I19">
        <v>310000</v>
      </c>
      <c r="J19">
        <v>90000</v>
      </c>
      <c r="K19">
        <v>4.5999999999999996</v>
      </c>
      <c r="L19">
        <v>28000</v>
      </c>
      <c r="M19">
        <v>250000</v>
      </c>
      <c r="N19">
        <v>1.6E-2</v>
      </c>
    </row>
    <row r="20" spans="1:14" x14ac:dyDescent="0.3">
      <c r="A20">
        <v>2020</v>
      </c>
      <c r="B20" t="s">
        <v>187</v>
      </c>
      <c r="C20" t="s">
        <v>201</v>
      </c>
      <c r="D20" t="s">
        <v>198</v>
      </c>
      <c r="E20" t="s">
        <v>46</v>
      </c>
      <c r="F20" t="s">
        <v>192</v>
      </c>
      <c r="G20">
        <v>900</v>
      </c>
      <c r="H20">
        <v>540000</v>
      </c>
      <c r="I20">
        <v>450000</v>
      </c>
      <c r="J20">
        <v>90000</v>
      </c>
      <c r="K20">
        <v>4.5</v>
      </c>
      <c r="L20">
        <v>29000</v>
      </c>
      <c r="M20">
        <v>200000</v>
      </c>
      <c r="N20">
        <v>1.4E-2</v>
      </c>
    </row>
    <row r="21" spans="1:14" x14ac:dyDescent="0.3">
      <c r="A21">
        <v>2020</v>
      </c>
      <c r="B21" t="s">
        <v>189</v>
      </c>
      <c r="C21" t="s">
        <v>197</v>
      </c>
      <c r="D21" t="s">
        <v>198</v>
      </c>
      <c r="E21" t="s">
        <v>182</v>
      </c>
      <c r="F21" t="s">
        <v>194</v>
      </c>
      <c r="G21">
        <v>700</v>
      </c>
      <c r="H21">
        <v>350000</v>
      </c>
      <c r="I21">
        <v>295000</v>
      </c>
      <c r="J21">
        <v>55000</v>
      </c>
      <c r="K21">
        <v>4.2</v>
      </c>
      <c r="L21">
        <v>24000</v>
      </c>
      <c r="M21">
        <v>190000</v>
      </c>
      <c r="N21">
        <v>8.9999999999999993E-3</v>
      </c>
    </row>
    <row r="22" spans="1:14" x14ac:dyDescent="0.3">
      <c r="A22">
        <v>2020</v>
      </c>
      <c r="B22" t="s">
        <v>191</v>
      </c>
      <c r="C22" t="s">
        <v>200</v>
      </c>
      <c r="D22" t="s">
        <v>198</v>
      </c>
      <c r="E22" t="s">
        <v>38</v>
      </c>
      <c r="F22" t="s">
        <v>186</v>
      </c>
      <c r="G22">
        <v>4100</v>
      </c>
      <c r="H22">
        <v>738000</v>
      </c>
      <c r="I22">
        <v>580000</v>
      </c>
      <c r="J22">
        <v>158000</v>
      </c>
      <c r="K22">
        <v>4.3</v>
      </c>
      <c r="L22">
        <v>26000</v>
      </c>
      <c r="M22">
        <v>450000</v>
      </c>
      <c r="N22">
        <v>0.02</v>
      </c>
    </row>
    <row r="23" spans="1:14" x14ac:dyDescent="0.3">
      <c r="A23">
        <v>2020</v>
      </c>
      <c r="B23" t="s">
        <v>193</v>
      </c>
      <c r="C23" t="s">
        <v>200</v>
      </c>
      <c r="D23" t="s">
        <v>198</v>
      </c>
      <c r="E23" t="s">
        <v>38</v>
      </c>
      <c r="F23" t="s">
        <v>172</v>
      </c>
      <c r="G23">
        <v>6000</v>
      </c>
      <c r="H23">
        <v>1800000</v>
      </c>
      <c r="I23">
        <v>1480000</v>
      </c>
      <c r="J23">
        <v>320000</v>
      </c>
      <c r="K23">
        <v>4.5999999999999996</v>
      </c>
      <c r="L23">
        <v>70000</v>
      </c>
      <c r="M23">
        <v>1000000</v>
      </c>
      <c r="N23">
        <v>1.6E-2</v>
      </c>
    </row>
    <row r="24" spans="1:14" x14ac:dyDescent="0.3">
      <c r="A24">
        <v>2020</v>
      </c>
      <c r="B24" t="s">
        <v>195</v>
      </c>
      <c r="C24" t="s">
        <v>201</v>
      </c>
      <c r="D24" t="s">
        <v>198</v>
      </c>
      <c r="E24" t="s">
        <v>176</v>
      </c>
      <c r="F24" t="s">
        <v>188</v>
      </c>
      <c r="G24">
        <v>3400</v>
      </c>
      <c r="H24">
        <v>272000</v>
      </c>
      <c r="I24">
        <v>210000</v>
      </c>
      <c r="J24">
        <v>62000</v>
      </c>
      <c r="K24">
        <v>4.0999999999999996</v>
      </c>
      <c r="L24">
        <v>18000</v>
      </c>
      <c r="M24">
        <v>300000</v>
      </c>
      <c r="N24">
        <v>0.03</v>
      </c>
    </row>
    <row r="25" spans="1:14" x14ac:dyDescent="0.3">
      <c r="A25">
        <v>2020</v>
      </c>
      <c r="B25" t="s">
        <v>196</v>
      </c>
      <c r="C25" t="s">
        <v>197</v>
      </c>
      <c r="D25" t="s">
        <v>198</v>
      </c>
      <c r="E25" t="s">
        <v>176</v>
      </c>
      <c r="F25" t="s">
        <v>177</v>
      </c>
      <c r="G25">
        <v>6300</v>
      </c>
      <c r="H25">
        <v>453000</v>
      </c>
      <c r="I25">
        <v>360000</v>
      </c>
      <c r="J25">
        <v>93000</v>
      </c>
      <c r="K25">
        <v>4</v>
      </c>
      <c r="L25">
        <v>20000</v>
      </c>
      <c r="M25">
        <v>380000</v>
      </c>
      <c r="N25">
        <v>3.4000000000000002E-2</v>
      </c>
    </row>
    <row r="26" spans="1:14" x14ac:dyDescent="0.3">
      <c r="A26">
        <v>2021</v>
      </c>
      <c r="B26" t="s">
        <v>169</v>
      </c>
      <c r="C26" t="s">
        <v>202</v>
      </c>
      <c r="D26" t="s">
        <v>203</v>
      </c>
      <c r="E26" t="s">
        <v>38</v>
      </c>
      <c r="F26" t="s">
        <v>172</v>
      </c>
      <c r="G26">
        <v>1900</v>
      </c>
      <c r="H26">
        <v>570000</v>
      </c>
      <c r="I26">
        <v>470000</v>
      </c>
      <c r="J26">
        <v>100000</v>
      </c>
      <c r="K26">
        <v>4.3</v>
      </c>
      <c r="L26">
        <v>28000</v>
      </c>
      <c r="M26">
        <v>480000</v>
      </c>
      <c r="N26">
        <v>0.02</v>
      </c>
    </row>
    <row r="27" spans="1:14" x14ac:dyDescent="0.3">
      <c r="A27">
        <v>2021</v>
      </c>
      <c r="B27" t="s">
        <v>173</v>
      </c>
      <c r="C27" t="s">
        <v>202</v>
      </c>
      <c r="D27" t="s">
        <v>203</v>
      </c>
      <c r="E27" t="s">
        <v>182</v>
      </c>
      <c r="F27" t="s">
        <v>183</v>
      </c>
      <c r="G27">
        <v>800</v>
      </c>
      <c r="H27">
        <v>400000</v>
      </c>
      <c r="I27">
        <v>330000</v>
      </c>
      <c r="J27">
        <v>70000</v>
      </c>
      <c r="K27">
        <v>4.4000000000000004</v>
      </c>
      <c r="L27">
        <v>30000</v>
      </c>
      <c r="M27">
        <v>210000</v>
      </c>
      <c r="N27">
        <v>0.01</v>
      </c>
    </row>
    <row r="28" spans="1:14" x14ac:dyDescent="0.3">
      <c r="A28">
        <v>2021</v>
      </c>
      <c r="B28" t="s">
        <v>175</v>
      </c>
      <c r="C28" t="s">
        <v>204</v>
      </c>
      <c r="D28" t="s">
        <v>203</v>
      </c>
      <c r="E28" t="s">
        <v>176</v>
      </c>
      <c r="F28" t="s">
        <v>188</v>
      </c>
      <c r="G28">
        <v>2900</v>
      </c>
      <c r="H28">
        <v>232000</v>
      </c>
      <c r="I28">
        <v>180000</v>
      </c>
      <c r="J28">
        <v>52000</v>
      </c>
      <c r="K28">
        <v>4</v>
      </c>
      <c r="L28">
        <v>15000</v>
      </c>
      <c r="M28">
        <v>340000</v>
      </c>
      <c r="N28">
        <v>2.7E-2</v>
      </c>
    </row>
    <row r="29" spans="1:14" x14ac:dyDescent="0.3">
      <c r="A29">
        <v>2021</v>
      </c>
      <c r="B29" t="s">
        <v>178</v>
      </c>
      <c r="C29" t="s">
        <v>204</v>
      </c>
      <c r="D29" t="s">
        <v>203</v>
      </c>
      <c r="E29" t="s">
        <v>176</v>
      </c>
      <c r="F29" t="s">
        <v>177</v>
      </c>
      <c r="G29">
        <v>3100</v>
      </c>
      <c r="H29">
        <v>217000</v>
      </c>
      <c r="I29">
        <v>170000</v>
      </c>
      <c r="J29">
        <v>47000</v>
      </c>
      <c r="K29">
        <v>4.0999999999999996</v>
      </c>
      <c r="L29">
        <v>16000</v>
      </c>
      <c r="M29">
        <v>310000</v>
      </c>
      <c r="N29">
        <v>2.8000000000000001E-2</v>
      </c>
    </row>
    <row r="30" spans="1:14" x14ac:dyDescent="0.3">
      <c r="A30">
        <v>2021</v>
      </c>
      <c r="B30" t="s">
        <v>181</v>
      </c>
      <c r="C30" t="s">
        <v>205</v>
      </c>
      <c r="D30" t="s">
        <v>203</v>
      </c>
      <c r="E30" t="s">
        <v>46</v>
      </c>
      <c r="F30" t="s">
        <v>192</v>
      </c>
      <c r="G30">
        <v>600</v>
      </c>
      <c r="H30">
        <v>360000</v>
      </c>
      <c r="I30">
        <v>300000</v>
      </c>
      <c r="J30">
        <v>60000</v>
      </c>
      <c r="K30">
        <v>4.3</v>
      </c>
      <c r="L30">
        <v>21000</v>
      </c>
      <c r="M30">
        <v>190000</v>
      </c>
      <c r="N30">
        <v>1.2999999999999999E-2</v>
      </c>
    </row>
    <row r="31" spans="1:14" x14ac:dyDescent="0.3">
      <c r="A31">
        <v>2021</v>
      </c>
      <c r="B31" t="s">
        <v>184</v>
      </c>
      <c r="C31" t="s">
        <v>205</v>
      </c>
      <c r="D31" t="s">
        <v>203</v>
      </c>
      <c r="E31" t="s">
        <v>46</v>
      </c>
      <c r="F31" t="s">
        <v>190</v>
      </c>
      <c r="G31">
        <v>1300</v>
      </c>
      <c r="H31">
        <v>325000</v>
      </c>
      <c r="I31">
        <v>255000</v>
      </c>
      <c r="J31">
        <v>70000</v>
      </c>
      <c r="K31">
        <v>4.4000000000000004</v>
      </c>
      <c r="L31">
        <v>20000</v>
      </c>
      <c r="M31">
        <v>220000</v>
      </c>
      <c r="N31">
        <v>1.4999999999999999E-2</v>
      </c>
    </row>
    <row r="32" spans="1:14" x14ac:dyDescent="0.3">
      <c r="A32">
        <v>2021</v>
      </c>
      <c r="B32" t="s">
        <v>187</v>
      </c>
      <c r="C32" t="s">
        <v>202</v>
      </c>
      <c r="D32" t="s">
        <v>203</v>
      </c>
      <c r="E32" t="s">
        <v>38</v>
      </c>
      <c r="F32" t="s">
        <v>174</v>
      </c>
      <c r="G32">
        <v>1700</v>
      </c>
      <c r="H32">
        <v>935000</v>
      </c>
      <c r="I32">
        <v>790000</v>
      </c>
      <c r="J32">
        <v>145000</v>
      </c>
      <c r="K32">
        <v>4.5</v>
      </c>
      <c r="L32">
        <v>45000</v>
      </c>
      <c r="M32">
        <v>510000</v>
      </c>
      <c r="N32">
        <v>1.9E-2</v>
      </c>
    </row>
    <row r="33" spans="1:14" x14ac:dyDescent="0.3">
      <c r="A33">
        <v>2021</v>
      </c>
      <c r="B33" t="s">
        <v>189</v>
      </c>
      <c r="C33" t="s">
        <v>204</v>
      </c>
      <c r="D33" t="s">
        <v>203</v>
      </c>
      <c r="E33" t="s">
        <v>182</v>
      </c>
      <c r="F33" t="s">
        <v>199</v>
      </c>
      <c r="G33">
        <v>400</v>
      </c>
      <c r="H33">
        <v>240000</v>
      </c>
      <c r="I33">
        <v>200000</v>
      </c>
      <c r="J33">
        <v>40000</v>
      </c>
      <c r="K33">
        <v>4.2</v>
      </c>
      <c r="L33">
        <v>23000</v>
      </c>
      <c r="M33">
        <v>170000</v>
      </c>
      <c r="N33">
        <v>8.9999999999999993E-3</v>
      </c>
    </row>
    <row r="34" spans="1:14" x14ac:dyDescent="0.3">
      <c r="A34">
        <v>2021</v>
      </c>
      <c r="B34" t="s">
        <v>191</v>
      </c>
      <c r="C34" t="s">
        <v>202</v>
      </c>
      <c r="D34" t="s">
        <v>203</v>
      </c>
      <c r="E34" t="s">
        <v>176</v>
      </c>
      <c r="F34" t="s">
        <v>180</v>
      </c>
      <c r="G34">
        <v>2600</v>
      </c>
      <c r="H34">
        <v>208000</v>
      </c>
      <c r="I34">
        <v>160000</v>
      </c>
      <c r="J34">
        <v>48000</v>
      </c>
      <c r="K34">
        <v>4.0999999999999996</v>
      </c>
      <c r="L34">
        <v>16000</v>
      </c>
      <c r="M34">
        <v>290000</v>
      </c>
      <c r="N34">
        <v>2.7E-2</v>
      </c>
    </row>
    <row r="35" spans="1:14" x14ac:dyDescent="0.3">
      <c r="A35">
        <v>2021</v>
      </c>
      <c r="B35" t="s">
        <v>193</v>
      </c>
      <c r="C35" t="s">
        <v>205</v>
      </c>
      <c r="D35" t="s">
        <v>203</v>
      </c>
      <c r="E35" t="s">
        <v>38</v>
      </c>
      <c r="F35" t="s">
        <v>186</v>
      </c>
      <c r="G35">
        <v>2000</v>
      </c>
      <c r="H35">
        <v>360000</v>
      </c>
      <c r="I35">
        <v>290000</v>
      </c>
      <c r="J35">
        <v>70000</v>
      </c>
      <c r="K35">
        <v>4.4000000000000004</v>
      </c>
      <c r="L35">
        <v>21000</v>
      </c>
      <c r="M35">
        <v>320000</v>
      </c>
      <c r="N35">
        <v>0.02</v>
      </c>
    </row>
    <row r="36" spans="1:14" x14ac:dyDescent="0.3">
      <c r="A36">
        <v>2021</v>
      </c>
      <c r="B36" t="s">
        <v>195</v>
      </c>
      <c r="C36" t="s">
        <v>202</v>
      </c>
      <c r="D36" t="s">
        <v>203</v>
      </c>
      <c r="E36" t="s">
        <v>38</v>
      </c>
      <c r="F36" t="s">
        <v>172</v>
      </c>
      <c r="G36">
        <v>3100</v>
      </c>
      <c r="H36">
        <v>930000</v>
      </c>
      <c r="I36">
        <v>740000</v>
      </c>
      <c r="J36">
        <v>190000</v>
      </c>
      <c r="K36">
        <v>4.3</v>
      </c>
      <c r="L36">
        <v>35000</v>
      </c>
      <c r="M36">
        <v>700000</v>
      </c>
      <c r="N36">
        <v>1.7999999999999999E-2</v>
      </c>
    </row>
    <row r="37" spans="1:14" x14ac:dyDescent="0.3">
      <c r="A37">
        <v>2021</v>
      </c>
      <c r="B37" t="s">
        <v>196</v>
      </c>
      <c r="C37" t="s">
        <v>204</v>
      </c>
      <c r="D37" t="s">
        <v>203</v>
      </c>
      <c r="E37" t="s">
        <v>176</v>
      </c>
      <c r="F37" t="s">
        <v>188</v>
      </c>
      <c r="G37">
        <v>3700</v>
      </c>
      <c r="H37">
        <v>296000</v>
      </c>
      <c r="I37">
        <v>240000</v>
      </c>
      <c r="J37">
        <v>56000</v>
      </c>
      <c r="K37">
        <v>4</v>
      </c>
      <c r="L37">
        <v>18000</v>
      </c>
      <c r="M37">
        <v>360000</v>
      </c>
      <c r="N37">
        <v>3.1E-2</v>
      </c>
    </row>
    <row r="38" spans="1:14" x14ac:dyDescent="0.3">
      <c r="A38">
        <v>2022</v>
      </c>
      <c r="B38" t="s">
        <v>169</v>
      </c>
      <c r="C38" t="s">
        <v>206</v>
      </c>
      <c r="D38" t="s">
        <v>207</v>
      </c>
      <c r="E38" t="s">
        <v>38</v>
      </c>
      <c r="F38" t="s">
        <v>174</v>
      </c>
      <c r="G38">
        <v>1300</v>
      </c>
      <c r="H38">
        <v>715000</v>
      </c>
      <c r="I38">
        <v>610000</v>
      </c>
      <c r="J38">
        <v>105000</v>
      </c>
      <c r="K38">
        <v>4.2</v>
      </c>
      <c r="L38">
        <v>35000</v>
      </c>
      <c r="M38">
        <v>280000</v>
      </c>
      <c r="N38">
        <v>1.4E-2</v>
      </c>
    </row>
    <row r="39" spans="1:14" x14ac:dyDescent="0.3">
      <c r="A39">
        <v>2022</v>
      </c>
      <c r="B39" t="s">
        <v>173</v>
      </c>
      <c r="C39" t="s">
        <v>206</v>
      </c>
      <c r="D39" t="s">
        <v>207</v>
      </c>
      <c r="E39" t="s">
        <v>176</v>
      </c>
      <c r="F39" t="s">
        <v>180</v>
      </c>
      <c r="G39">
        <v>3100</v>
      </c>
      <c r="H39">
        <v>248000</v>
      </c>
      <c r="I39">
        <v>190000</v>
      </c>
      <c r="J39">
        <v>58000</v>
      </c>
      <c r="K39">
        <v>4</v>
      </c>
      <c r="L39">
        <v>18000</v>
      </c>
      <c r="M39">
        <v>240000</v>
      </c>
      <c r="N39">
        <v>2.5999999999999999E-2</v>
      </c>
    </row>
    <row r="40" spans="1:14" x14ac:dyDescent="0.3">
      <c r="A40">
        <v>2022</v>
      </c>
      <c r="B40" t="s">
        <v>175</v>
      </c>
      <c r="C40" t="s">
        <v>208</v>
      </c>
      <c r="D40" t="s">
        <v>207</v>
      </c>
      <c r="E40" t="s">
        <v>176</v>
      </c>
      <c r="F40" t="s">
        <v>177</v>
      </c>
      <c r="G40">
        <v>4200</v>
      </c>
      <c r="H40">
        <v>294000</v>
      </c>
      <c r="I40">
        <v>230000</v>
      </c>
      <c r="J40">
        <v>64000</v>
      </c>
      <c r="K40">
        <v>4.0999999999999996</v>
      </c>
      <c r="L40">
        <v>20000</v>
      </c>
      <c r="M40">
        <v>250000</v>
      </c>
      <c r="N40">
        <v>0.03</v>
      </c>
    </row>
    <row r="41" spans="1:14" x14ac:dyDescent="0.3">
      <c r="A41">
        <v>2022</v>
      </c>
      <c r="B41" t="s">
        <v>178</v>
      </c>
      <c r="C41" t="s">
        <v>208</v>
      </c>
      <c r="D41" t="s">
        <v>207</v>
      </c>
      <c r="E41" t="s">
        <v>38</v>
      </c>
      <c r="F41" t="s">
        <v>172</v>
      </c>
      <c r="G41">
        <v>2100</v>
      </c>
      <c r="H41">
        <v>630000</v>
      </c>
      <c r="I41">
        <v>520000</v>
      </c>
      <c r="J41">
        <v>110000</v>
      </c>
      <c r="K41">
        <v>4.3</v>
      </c>
      <c r="L41">
        <v>26000</v>
      </c>
      <c r="M41">
        <v>330000</v>
      </c>
      <c r="N41">
        <v>1.9E-2</v>
      </c>
    </row>
    <row r="42" spans="1:14" x14ac:dyDescent="0.3">
      <c r="A42">
        <v>2022</v>
      </c>
      <c r="B42" t="s">
        <v>181</v>
      </c>
      <c r="C42" t="s">
        <v>206</v>
      </c>
      <c r="D42" t="s">
        <v>207</v>
      </c>
      <c r="E42" t="s">
        <v>46</v>
      </c>
      <c r="F42" t="s">
        <v>192</v>
      </c>
      <c r="G42">
        <v>700</v>
      </c>
      <c r="H42">
        <v>420000</v>
      </c>
      <c r="I42">
        <v>330000</v>
      </c>
      <c r="J42">
        <v>90000</v>
      </c>
      <c r="K42">
        <v>4.4000000000000004</v>
      </c>
      <c r="L42">
        <v>24000</v>
      </c>
      <c r="M42">
        <v>150000</v>
      </c>
      <c r="N42">
        <v>1.0999999999999999E-2</v>
      </c>
    </row>
    <row r="43" spans="1:14" x14ac:dyDescent="0.3">
      <c r="A43">
        <v>2022</v>
      </c>
      <c r="B43" t="s">
        <v>184</v>
      </c>
      <c r="C43" t="s">
        <v>209</v>
      </c>
      <c r="D43" t="s">
        <v>207</v>
      </c>
      <c r="E43" t="s">
        <v>46</v>
      </c>
      <c r="F43" t="s">
        <v>190</v>
      </c>
      <c r="G43">
        <v>1100</v>
      </c>
      <c r="H43">
        <v>275000</v>
      </c>
      <c r="I43">
        <v>220000</v>
      </c>
      <c r="J43">
        <v>55000</v>
      </c>
      <c r="K43">
        <v>4.2</v>
      </c>
      <c r="L43">
        <v>20000</v>
      </c>
      <c r="M43">
        <v>130000</v>
      </c>
      <c r="N43">
        <v>1.4999999999999999E-2</v>
      </c>
    </row>
    <row r="44" spans="1:14" x14ac:dyDescent="0.3">
      <c r="A44">
        <v>2022</v>
      </c>
      <c r="B44" t="s">
        <v>187</v>
      </c>
      <c r="C44" t="s">
        <v>209</v>
      </c>
      <c r="D44" t="s">
        <v>207</v>
      </c>
      <c r="E44" t="s">
        <v>182</v>
      </c>
      <c r="F44" t="s">
        <v>199</v>
      </c>
      <c r="G44">
        <v>350</v>
      </c>
      <c r="H44">
        <v>210000</v>
      </c>
      <c r="I44">
        <v>175000</v>
      </c>
      <c r="J44">
        <v>35000</v>
      </c>
      <c r="K44">
        <v>4.0999999999999996</v>
      </c>
      <c r="L44">
        <v>18000</v>
      </c>
      <c r="M44">
        <v>115000</v>
      </c>
      <c r="N44">
        <v>8.9999999999999993E-3</v>
      </c>
    </row>
    <row r="45" spans="1:14" x14ac:dyDescent="0.3">
      <c r="A45">
        <v>2022</v>
      </c>
      <c r="B45" t="s">
        <v>189</v>
      </c>
      <c r="C45" t="s">
        <v>206</v>
      </c>
      <c r="D45" t="s">
        <v>207</v>
      </c>
      <c r="E45" t="s">
        <v>38</v>
      </c>
      <c r="F45" t="s">
        <v>186</v>
      </c>
      <c r="G45">
        <v>1800</v>
      </c>
      <c r="H45">
        <v>324000</v>
      </c>
      <c r="I45">
        <v>260000</v>
      </c>
      <c r="J45">
        <v>64000</v>
      </c>
      <c r="K45">
        <v>4.3</v>
      </c>
      <c r="L45">
        <v>21000</v>
      </c>
      <c r="M45">
        <v>200000</v>
      </c>
      <c r="N45">
        <v>1.7999999999999999E-2</v>
      </c>
    </row>
    <row r="46" spans="1:14" x14ac:dyDescent="0.3">
      <c r="A46">
        <v>2022</v>
      </c>
      <c r="B46" t="s">
        <v>191</v>
      </c>
      <c r="C46" t="s">
        <v>208</v>
      </c>
      <c r="D46" t="s">
        <v>207</v>
      </c>
      <c r="E46" t="s">
        <v>176</v>
      </c>
      <c r="F46" t="s">
        <v>188</v>
      </c>
      <c r="G46">
        <v>2900</v>
      </c>
      <c r="H46">
        <v>232000</v>
      </c>
      <c r="I46">
        <v>185000</v>
      </c>
      <c r="J46">
        <v>47000</v>
      </c>
      <c r="K46">
        <v>4</v>
      </c>
      <c r="L46">
        <v>15000</v>
      </c>
      <c r="M46">
        <v>230000</v>
      </c>
      <c r="N46">
        <v>2.7E-2</v>
      </c>
    </row>
    <row r="47" spans="1:14" x14ac:dyDescent="0.3">
      <c r="A47">
        <v>2022</v>
      </c>
      <c r="B47" t="s">
        <v>193</v>
      </c>
      <c r="C47" t="s">
        <v>206</v>
      </c>
      <c r="D47" t="s">
        <v>207</v>
      </c>
      <c r="E47" t="s">
        <v>182</v>
      </c>
      <c r="F47" t="s">
        <v>194</v>
      </c>
      <c r="G47">
        <v>500</v>
      </c>
      <c r="H47">
        <v>250000</v>
      </c>
      <c r="I47">
        <v>210000</v>
      </c>
      <c r="J47">
        <v>40000</v>
      </c>
      <c r="K47">
        <v>4.2</v>
      </c>
      <c r="L47">
        <v>22000</v>
      </c>
      <c r="M47">
        <v>160000</v>
      </c>
      <c r="N47">
        <v>0.01</v>
      </c>
    </row>
    <row r="48" spans="1:14" x14ac:dyDescent="0.3">
      <c r="A48">
        <v>2022</v>
      </c>
      <c r="B48" t="s">
        <v>195</v>
      </c>
      <c r="C48" t="s">
        <v>209</v>
      </c>
      <c r="D48" t="s">
        <v>207</v>
      </c>
      <c r="E48" t="s">
        <v>38</v>
      </c>
      <c r="F48" t="s">
        <v>172</v>
      </c>
      <c r="G48">
        <v>2700</v>
      </c>
      <c r="H48">
        <v>810000</v>
      </c>
      <c r="I48">
        <v>680000</v>
      </c>
      <c r="J48">
        <v>130000</v>
      </c>
      <c r="K48">
        <v>4.3</v>
      </c>
      <c r="L48">
        <v>30000</v>
      </c>
      <c r="M48">
        <v>300000</v>
      </c>
      <c r="N48">
        <v>0.02</v>
      </c>
    </row>
    <row r="49" spans="1:14" x14ac:dyDescent="0.3">
      <c r="A49">
        <v>2022</v>
      </c>
      <c r="B49" t="s">
        <v>196</v>
      </c>
      <c r="C49" t="s">
        <v>206</v>
      </c>
      <c r="D49" t="s">
        <v>207</v>
      </c>
      <c r="E49" t="s">
        <v>176</v>
      </c>
      <c r="F49" t="s">
        <v>177</v>
      </c>
      <c r="G49">
        <v>4800</v>
      </c>
      <c r="H49">
        <v>336000</v>
      </c>
      <c r="I49">
        <v>270000</v>
      </c>
      <c r="J49">
        <v>66000</v>
      </c>
      <c r="K49">
        <v>4.0999999999999996</v>
      </c>
      <c r="L49">
        <v>18000</v>
      </c>
      <c r="M49">
        <v>260000</v>
      </c>
      <c r="N49">
        <v>3.2000000000000001E-2</v>
      </c>
    </row>
    <row r="50" spans="1:14" x14ac:dyDescent="0.3">
      <c r="A50">
        <v>2023</v>
      </c>
      <c r="B50" t="s">
        <v>169</v>
      </c>
      <c r="C50" t="s">
        <v>210</v>
      </c>
      <c r="D50" t="s">
        <v>211</v>
      </c>
      <c r="E50" t="s">
        <v>38</v>
      </c>
      <c r="F50" t="s">
        <v>172</v>
      </c>
      <c r="G50">
        <v>1500</v>
      </c>
      <c r="H50">
        <v>450000</v>
      </c>
      <c r="I50">
        <v>365000</v>
      </c>
      <c r="J50">
        <v>85000</v>
      </c>
      <c r="K50">
        <v>4.3</v>
      </c>
      <c r="L50">
        <v>24000</v>
      </c>
      <c r="M50">
        <v>300000</v>
      </c>
      <c r="N50">
        <v>1.7000000000000001E-2</v>
      </c>
    </row>
    <row r="51" spans="1:14" x14ac:dyDescent="0.3">
      <c r="A51">
        <v>2023</v>
      </c>
      <c r="B51" t="s">
        <v>173</v>
      </c>
      <c r="C51" t="s">
        <v>210</v>
      </c>
      <c r="D51" t="s">
        <v>211</v>
      </c>
      <c r="E51" t="s">
        <v>176</v>
      </c>
      <c r="F51" t="s">
        <v>188</v>
      </c>
      <c r="G51">
        <v>2200</v>
      </c>
      <c r="H51">
        <v>176000</v>
      </c>
      <c r="I51">
        <v>135000</v>
      </c>
      <c r="J51">
        <v>41000</v>
      </c>
      <c r="K51">
        <v>4</v>
      </c>
      <c r="L51">
        <v>12000</v>
      </c>
      <c r="M51">
        <v>190000</v>
      </c>
      <c r="N51">
        <v>2.5999999999999999E-2</v>
      </c>
    </row>
    <row r="52" spans="1:14" x14ac:dyDescent="0.3">
      <c r="A52">
        <v>2023</v>
      </c>
      <c r="B52" t="s">
        <v>175</v>
      </c>
      <c r="C52" t="s">
        <v>212</v>
      </c>
      <c r="D52" t="s">
        <v>211</v>
      </c>
      <c r="E52" t="s">
        <v>176</v>
      </c>
      <c r="F52" t="s">
        <v>177</v>
      </c>
      <c r="G52">
        <v>2600</v>
      </c>
      <c r="H52">
        <v>182000</v>
      </c>
      <c r="I52">
        <v>145000</v>
      </c>
      <c r="J52">
        <v>37000</v>
      </c>
      <c r="K52">
        <v>4.0999999999999996</v>
      </c>
      <c r="L52">
        <v>13000</v>
      </c>
      <c r="M52">
        <v>175000</v>
      </c>
      <c r="N52">
        <v>2.5000000000000001E-2</v>
      </c>
    </row>
    <row r="53" spans="1:14" x14ac:dyDescent="0.3">
      <c r="A53">
        <v>2023</v>
      </c>
      <c r="B53" t="s">
        <v>178</v>
      </c>
      <c r="C53" t="s">
        <v>212</v>
      </c>
      <c r="D53" t="s">
        <v>211</v>
      </c>
      <c r="E53" t="s">
        <v>38</v>
      </c>
      <c r="F53" t="s">
        <v>174</v>
      </c>
      <c r="G53">
        <v>900</v>
      </c>
      <c r="H53">
        <v>495000</v>
      </c>
      <c r="I53">
        <v>420000</v>
      </c>
      <c r="J53">
        <v>75000</v>
      </c>
      <c r="K53">
        <v>4.5</v>
      </c>
      <c r="L53">
        <v>30000</v>
      </c>
      <c r="M53">
        <v>140000</v>
      </c>
      <c r="N53">
        <v>1.2999999999999999E-2</v>
      </c>
    </row>
    <row r="54" spans="1:14" x14ac:dyDescent="0.3">
      <c r="A54">
        <v>2023</v>
      </c>
      <c r="B54" t="s">
        <v>181</v>
      </c>
      <c r="C54" t="s">
        <v>210</v>
      </c>
      <c r="D54" t="s">
        <v>211</v>
      </c>
      <c r="E54" t="s">
        <v>46</v>
      </c>
      <c r="F54" t="s">
        <v>190</v>
      </c>
      <c r="G54">
        <v>700</v>
      </c>
      <c r="H54">
        <v>175000</v>
      </c>
      <c r="I54">
        <v>140000</v>
      </c>
      <c r="J54">
        <v>35000</v>
      </c>
      <c r="K54">
        <v>4.4000000000000004</v>
      </c>
      <c r="L54">
        <v>15000</v>
      </c>
      <c r="M54">
        <v>120000</v>
      </c>
      <c r="N54">
        <v>1.4E-2</v>
      </c>
    </row>
    <row r="55" spans="1:14" x14ac:dyDescent="0.3">
      <c r="A55">
        <v>2023</v>
      </c>
      <c r="B55" t="s">
        <v>184</v>
      </c>
      <c r="C55" t="s">
        <v>210</v>
      </c>
      <c r="D55" t="s">
        <v>211</v>
      </c>
      <c r="E55" t="s">
        <v>182</v>
      </c>
      <c r="F55" t="s">
        <v>183</v>
      </c>
      <c r="G55">
        <v>450</v>
      </c>
      <c r="H55">
        <v>225000</v>
      </c>
      <c r="I55">
        <v>187000</v>
      </c>
      <c r="J55">
        <v>38000</v>
      </c>
      <c r="K55">
        <v>4.3</v>
      </c>
      <c r="L55">
        <v>20000</v>
      </c>
      <c r="M55">
        <v>110000</v>
      </c>
      <c r="N55">
        <v>0.01</v>
      </c>
    </row>
    <row r="56" spans="1:14" x14ac:dyDescent="0.3">
      <c r="A56">
        <v>2023</v>
      </c>
      <c r="B56" t="s">
        <v>187</v>
      </c>
      <c r="C56" t="s">
        <v>212</v>
      </c>
      <c r="D56" t="s">
        <v>211</v>
      </c>
      <c r="E56" t="s">
        <v>176</v>
      </c>
      <c r="F56" t="s">
        <v>188</v>
      </c>
      <c r="G56">
        <v>1800</v>
      </c>
      <c r="H56">
        <v>144000</v>
      </c>
      <c r="I56">
        <v>108000</v>
      </c>
      <c r="J56">
        <v>36000</v>
      </c>
      <c r="K56">
        <v>4</v>
      </c>
      <c r="L56">
        <v>10000</v>
      </c>
      <c r="M56">
        <v>150000</v>
      </c>
      <c r="N56">
        <v>2.4E-2</v>
      </c>
    </row>
    <row r="57" spans="1:14" x14ac:dyDescent="0.3">
      <c r="A57">
        <v>2023</v>
      </c>
      <c r="B57" t="s">
        <v>189</v>
      </c>
      <c r="C57" t="s">
        <v>210</v>
      </c>
      <c r="D57" t="s">
        <v>211</v>
      </c>
      <c r="E57" t="s">
        <v>38</v>
      </c>
      <c r="F57" t="s">
        <v>186</v>
      </c>
      <c r="G57">
        <v>1600</v>
      </c>
      <c r="H57">
        <v>288000</v>
      </c>
      <c r="I57">
        <v>230000</v>
      </c>
      <c r="J57">
        <v>58000</v>
      </c>
      <c r="K57">
        <v>4.2</v>
      </c>
      <c r="L57">
        <v>18000</v>
      </c>
      <c r="M57">
        <v>210000</v>
      </c>
      <c r="N57">
        <v>1.9E-2</v>
      </c>
    </row>
    <row r="58" spans="1:14" x14ac:dyDescent="0.3">
      <c r="A58">
        <v>2023</v>
      </c>
      <c r="B58" t="s">
        <v>191</v>
      </c>
      <c r="C58" t="s">
        <v>212</v>
      </c>
      <c r="D58" t="s">
        <v>211</v>
      </c>
      <c r="E58" t="s">
        <v>46</v>
      </c>
      <c r="F58" t="s">
        <v>192</v>
      </c>
      <c r="G58">
        <v>500</v>
      </c>
      <c r="H58">
        <v>300000</v>
      </c>
      <c r="I58">
        <v>245000</v>
      </c>
      <c r="J58">
        <v>55000</v>
      </c>
      <c r="K58">
        <v>4.4000000000000004</v>
      </c>
      <c r="L58">
        <v>18000</v>
      </c>
      <c r="M58">
        <v>95000</v>
      </c>
      <c r="N58">
        <v>1.0999999999999999E-2</v>
      </c>
    </row>
    <row r="59" spans="1:14" x14ac:dyDescent="0.3">
      <c r="A59">
        <v>2023</v>
      </c>
      <c r="B59" t="s">
        <v>193</v>
      </c>
      <c r="C59" t="s">
        <v>210</v>
      </c>
      <c r="D59" t="s">
        <v>211</v>
      </c>
      <c r="E59" t="s">
        <v>182</v>
      </c>
      <c r="F59" t="s">
        <v>194</v>
      </c>
      <c r="G59">
        <v>380</v>
      </c>
      <c r="H59">
        <v>190000</v>
      </c>
      <c r="I59">
        <v>155000</v>
      </c>
      <c r="J59">
        <v>35000</v>
      </c>
      <c r="K59">
        <v>4.3</v>
      </c>
      <c r="L59">
        <v>16000</v>
      </c>
      <c r="M59">
        <v>100000</v>
      </c>
      <c r="N59">
        <v>0.01</v>
      </c>
    </row>
    <row r="60" spans="1:14" x14ac:dyDescent="0.3">
      <c r="A60">
        <v>2023</v>
      </c>
      <c r="B60" t="s">
        <v>195</v>
      </c>
      <c r="C60" t="s">
        <v>210</v>
      </c>
      <c r="D60" t="s">
        <v>211</v>
      </c>
      <c r="E60" t="s">
        <v>38</v>
      </c>
      <c r="F60" t="s">
        <v>172</v>
      </c>
      <c r="G60">
        <v>2300</v>
      </c>
      <c r="H60">
        <v>690000</v>
      </c>
      <c r="I60">
        <v>560000</v>
      </c>
      <c r="J60">
        <v>130000</v>
      </c>
      <c r="K60">
        <v>4.4000000000000004</v>
      </c>
      <c r="L60">
        <v>28000</v>
      </c>
      <c r="M60">
        <v>320000</v>
      </c>
      <c r="N60">
        <v>1.7999999999999999E-2</v>
      </c>
    </row>
    <row r="61" spans="1:14" x14ac:dyDescent="0.3">
      <c r="A61">
        <v>2023</v>
      </c>
      <c r="B61" t="s">
        <v>196</v>
      </c>
      <c r="C61" t="s">
        <v>212</v>
      </c>
      <c r="D61" t="s">
        <v>211</v>
      </c>
      <c r="E61" t="s">
        <v>176</v>
      </c>
      <c r="F61" t="s">
        <v>177</v>
      </c>
      <c r="G61">
        <v>3100</v>
      </c>
      <c r="H61">
        <v>217000</v>
      </c>
      <c r="I61">
        <v>175000</v>
      </c>
      <c r="J61">
        <v>42000</v>
      </c>
      <c r="K61">
        <v>4.0999999999999996</v>
      </c>
      <c r="L61">
        <v>15000</v>
      </c>
      <c r="M61">
        <v>160000</v>
      </c>
      <c r="N61">
        <v>2.1000000000000001E-2</v>
      </c>
    </row>
    <row r="62" spans="1:14" x14ac:dyDescent="0.3">
      <c r="A62">
        <v>2024</v>
      </c>
      <c r="B62" t="s">
        <v>169</v>
      </c>
      <c r="C62" t="s">
        <v>213</v>
      </c>
      <c r="D62" t="s">
        <v>214</v>
      </c>
      <c r="E62" t="s">
        <v>38</v>
      </c>
      <c r="F62" t="s">
        <v>172</v>
      </c>
      <c r="G62">
        <v>900</v>
      </c>
      <c r="H62">
        <v>270000</v>
      </c>
      <c r="I62">
        <v>220000</v>
      </c>
      <c r="J62">
        <v>50000</v>
      </c>
      <c r="K62">
        <v>4.2</v>
      </c>
      <c r="L62">
        <v>20000</v>
      </c>
      <c r="M62">
        <v>140000</v>
      </c>
      <c r="N62">
        <v>1.6E-2</v>
      </c>
    </row>
    <row r="63" spans="1:14" x14ac:dyDescent="0.3">
      <c r="A63">
        <v>2024</v>
      </c>
      <c r="B63" t="s">
        <v>173</v>
      </c>
      <c r="C63" t="s">
        <v>215</v>
      </c>
      <c r="D63" t="s">
        <v>214</v>
      </c>
      <c r="E63" t="s">
        <v>176</v>
      </c>
      <c r="F63" t="s">
        <v>180</v>
      </c>
      <c r="G63">
        <v>2600</v>
      </c>
      <c r="H63">
        <v>208000</v>
      </c>
      <c r="I63">
        <v>162000</v>
      </c>
      <c r="J63">
        <v>46000</v>
      </c>
      <c r="K63">
        <v>4</v>
      </c>
      <c r="L63">
        <v>12000</v>
      </c>
      <c r="M63">
        <v>130000</v>
      </c>
      <c r="N63">
        <v>2.7E-2</v>
      </c>
    </row>
    <row r="64" spans="1:14" x14ac:dyDescent="0.3">
      <c r="A64">
        <v>2024</v>
      </c>
      <c r="B64" t="s">
        <v>175</v>
      </c>
      <c r="C64" t="s">
        <v>216</v>
      </c>
      <c r="D64" t="s">
        <v>214</v>
      </c>
      <c r="E64" t="s">
        <v>176</v>
      </c>
      <c r="F64" t="s">
        <v>177</v>
      </c>
      <c r="G64">
        <v>2700</v>
      </c>
      <c r="H64">
        <v>189000</v>
      </c>
      <c r="I64">
        <v>150000</v>
      </c>
      <c r="J64">
        <v>39000</v>
      </c>
      <c r="K64">
        <v>4.0999999999999996</v>
      </c>
      <c r="L64">
        <v>13000</v>
      </c>
      <c r="M64">
        <v>125000</v>
      </c>
      <c r="N64">
        <v>2.5999999999999999E-2</v>
      </c>
    </row>
    <row r="65" spans="1:14" x14ac:dyDescent="0.3">
      <c r="A65">
        <v>2024</v>
      </c>
      <c r="B65" t="s">
        <v>178</v>
      </c>
      <c r="C65" t="s">
        <v>213</v>
      </c>
      <c r="D65" t="s">
        <v>214</v>
      </c>
      <c r="E65" t="s">
        <v>182</v>
      </c>
      <c r="F65" t="s">
        <v>183</v>
      </c>
      <c r="G65">
        <v>300</v>
      </c>
      <c r="H65">
        <v>150000</v>
      </c>
      <c r="I65">
        <v>123000</v>
      </c>
      <c r="J65">
        <v>27000</v>
      </c>
      <c r="K65">
        <v>4.3</v>
      </c>
      <c r="L65">
        <v>16000</v>
      </c>
      <c r="M65">
        <v>90000</v>
      </c>
      <c r="N65">
        <v>0.01</v>
      </c>
    </row>
    <row r="66" spans="1:14" x14ac:dyDescent="0.3">
      <c r="A66">
        <v>2024</v>
      </c>
      <c r="B66" t="s">
        <v>181</v>
      </c>
      <c r="C66" t="s">
        <v>215</v>
      </c>
      <c r="D66" t="s">
        <v>214</v>
      </c>
      <c r="E66" t="s">
        <v>38</v>
      </c>
      <c r="F66" t="s">
        <v>172</v>
      </c>
      <c r="G66">
        <v>1500</v>
      </c>
      <c r="H66">
        <v>450000</v>
      </c>
      <c r="I66">
        <v>375000</v>
      </c>
      <c r="J66">
        <v>75000</v>
      </c>
      <c r="K66">
        <v>4.2</v>
      </c>
      <c r="L66">
        <v>22000</v>
      </c>
      <c r="M66">
        <v>160000</v>
      </c>
      <c r="N66">
        <v>1.7000000000000001E-2</v>
      </c>
    </row>
    <row r="67" spans="1:14" x14ac:dyDescent="0.3">
      <c r="A67">
        <v>2024</v>
      </c>
      <c r="B67" t="s">
        <v>184</v>
      </c>
      <c r="C67" t="s">
        <v>216</v>
      </c>
      <c r="D67" t="s">
        <v>214</v>
      </c>
      <c r="E67" t="s">
        <v>46</v>
      </c>
      <c r="F67" t="s">
        <v>190</v>
      </c>
      <c r="G67">
        <v>400</v>
      </c>
      <c r="H67">
        <v>100000</v>
      </c>
      <c r="I67">
        <v>80000</v>
      </c>
      <c r="J67">
        <v>20000</v>
      </c>
      <c r="K67">
        <v>4.0999999999999996</v>
      </c>
      <c r="L67">
        <v>9000</v>
      </c>
      <c r="M67">
        <v>60000</v>
      </c>
      <c r="N67">
        <v>1.2999999999999999E-2</v>
      </c>
    </row>
    <row r="68" spans="1:14" x14ac:dyDescent="0.3">
      <c r="A68">
        <v>2024</v>
      </c>
      <c r="B68" t="s">
        <v>187</v>
      </c>
      <c r="C68" t="s">
        <v>213</v>
      </c>
      <c r="D68" t="s">
        <v>214</v>
      </c>
      <c r="E68" t="s">
        <v>182</v>
      </c>
      <c r="F68" t="s">
        <v>199</v>
      </c>
      <c r="G68">
        <v>250</v>
      </c>
      <c r="H68">
        <v>150000</v>
      </c>
      <c r="I68">
        <v>125000</v>
      </c>
      <c r="J68">
        <v>25000</v>
      </c>
      <c r="K68">
        <v>4.3</v>
      </c>
      <c r="L68">
        <v>15000</v>
      </c>
      <c r="M68">
        <v>70000</v>
      </c>
      <c r="N68">
        <v>8.9999999999999993E-3</v>
      </c>
    </row>
    <row r="69" spans="1:14" x14ac:dyDescent="0.3">
      <c r="A69">
        <v>2024</v>
      </c>
      <c r="B69" t="s">
        <v>189</v>
      </c>
      <c r="C69" t="s">
        <v>215</v>
      </c>
      <c r="D69" t="s">
        <v>214</v>
      </c>
      <c r="E69" t="s">
        <v>46</v>
      </c>
      <c r="F69" t="s">
        <v>192</v>
      </c>
      <c r="G69">
        <v>320</v>
      </c>
      <c r="H69">
        <v>192000</v>
      </c>
      <c r="I69">
        <v>157000</v>
      </c>
      <c r="J69">
        <v>35000</v>
      </c>
      <c r="K69">
        <v>4.2</v>
      </c>
      <c r="L69">
        <v>14000</v>
      </c>
      <c r="M69">
        <v>55000</v>
      </c>
      <c r="N69">
        <v>0.01</v>
      </c>
    </row>
    <row r="70" spans="1:14" x14ac:dyDescent="0.3">
      <c r="A70">
        <v>2024</v>
      </c>
      <c r="B70" t="s">
        <v>191</v>
      </c>
      <c r="C70" t="s">
        <v>216</v>
      </c>
      <c r="D70" t="s">
        <v>214</v>
      </c>
      <c r="E70" t="s">
        <v>38</v>
      </c>
      <c r="F70" t="s">
        <v>186</v>
      </c>
      <c r="G70">
        <v>1100</v>
      </c>
      <c r="H70">
        <v>198000</v>
      </c>
      <c r="I70">
        <v>160000</v>
      </c>
      <c r="J70">
        <v>38000</v>
      </c>
      <c r="K70">
        <v>4.0999999999999996</v>
      </c>
      <c r="L70">
        <v>15000</v>
      </c>
      <c r="M70">
        <v>90000</v>
      </c>
      <c r="N70">
        <v>1.2E-2</v>
      </c>
    </row>
    <row r="71" spans="1:14" x14ac:dyDescent="0.3">
      <c r="A71">
        <v>2024</v>
      </c>
      <c r="B71" t="s">
        <v>193</v>
      </c>
      <c r="C71" t="s">
        <v>215</v>
      </c>
      <c r="D71" t="s">
        <v>214</v>
      </c>
      <c r="E71" t="s">
        <v>176</v>
      </c>
      <c r="F71" t="s">
        <v>188</v>
      </c>
      <c r="G71">
        <v>1900</v>
      </c>
      <c r="H71">
        <v>152000</v>
      </c>
      <c r="I71">
        <v>117000</v>
      </c>
      <c r="J71">
        <v>35000</v>
      </c>
      <c r="K71">
        <v>4</v>
      </c>
      <c r="L71">
        <v>11000</v>
      </c>
      <c r="M71">
        <v>120000</v>
      </c>
      <c r="N71">
        <v>2.1999999999999999E-2</v>
      </c>
    </row>
    <row r="72" spans="1:14" x14ac:dyDescent="0.3">
      <c r="A72">
        <v>2024</v>
      </c>
      <c r="B72" t="s">
        <v>195</v>
      </c>
      <c r="C72" t="s">
        <v>213</v>
      </c>
      <c r="D72" t="s">
        <v>214</v>
      </c>
      <c r="E72" t="s">
        <v>38</v>
      </c>
      <c r="F72" t="s">
        <v>172</v>
      </c>
      <c r="G72">
        <v>1700</v>
      </c>
      <c r="H72">
        <v>510000</v>
      </c>
      <c r="I72">
        <v>420000</v>
      </c>
      <c r="J72">
        <v>90000</v>
      </c>
      <c r="K72">
        <v>4.3</v>
      </c>
      <c r="L72">
        <v>26000</v>
      </c>
      <c r="M72">
        <v>180000</v>
      </c>
      <c r="N72">
        <v>1.6E-2</v>
      </c>
    </row>
    <row r="73" spans="1:14" x14ac:dyDescent="0.3">
      <c r="A73">
        <v>2024</v>
      </c>
      <c r="B73" t="s">
        <v>196</v>
      </c>
      <c r="C73" t="s">
        <v>216</v>
      </c>
      <c r="D73" t="s">
        <v>214</v>
      </c>
      <c r="E73" t="s">
        <v>176</v>
      </c>
      <c r="F73" t="s">
        <v>177</v>
      </c>
      <c r="G73">
        <v>2800</v>
      </c>
      <c r="H73">
        <v>196000</v>
      </c>
      <c r="I73">
        <v>152000</v>
      </c>
      <c r="J73">
        <v>44000</v>
      </c>
      <c r="K73">
        <v>4.0999999999999996</v>
      </c>
      <c r="L73">
        <v>14000</v>
      </c>
      <c r="M73">
        <v>135000</v>
      </c>
      <c r="N73">
        <v>2.5000000000000001E-2</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70D03-E29B-47CD-B355-19A6D0268062}">
  <dimension ref="A1:S71"/>
  <sheetViews>
    <sheetView topLeftCell="A49" zoomScale="94" zoomScaleNormal="94" workbookViewId="0">
      <selection activeCell="A58" sqref="A58"/>
    </sheetView>
  </sheetViews>
  <sheetFormatPr defaultRowHeight="14.4" x14ac:dyDescent="0.3"/>
  <cols>
    <col min="1" max="1" width="17.44140625" bestFit="1" customWidth="1"/>
    <col min="2" max="2" width="17.109375" bestFit="1" customWidth="1"/>
    <col min="3" max="3" width="9.5546875" bestFit="1" customWidth="1"/>
    <col min="4" max="4" width="10.109375" bestFit="1" customWidth="1"/>
    <col min="5" max="5" width="17.44140625" bestFit="1" customWidth="1"/>
    <col min="6" max="6" width="12" bestFit="1" customWidth="1"/>
    <col min="7" max="10" width="7.44140625" bestFit="1" customWidth="1"/>
    <col min="11" max="11" width="8.5546875" bestFit="1" customWidth="1"/>
    <col min="12" max="13" width="7.44140625" bestFit="1" customWidth="1"/>
    <col min="14" max="14" width="13.21875" bestFit="1" customWidth="1"/>
    <col min="15" max="15" width="7.6640625" bestFit="1" customWidth="1"/>
    <col min="16" max="16" width="12.6640625" bestFit="1" customWidth="1"/>
    <col min="17" max="18" width="7.109375" bestFit="1" customWidth="1"/>
    <col min="19" max="19" width="12" bestFit="1" customWidth="1"/>
  </cols>
  <sheetData>
    <row r="1" spans="1:13" x14ac:dyDescent="0.3">
      <c r="A1" s="21" t="s">
        <v>241</v>
      </c>
      <c r="B1" s="21" t="s">
        <v>240</v>
      </c>
    </row>
    <row r="2" spans="1:13" x14ac:dyDescent="0.3">
      <c r="A2" s="21" t="s">
        <v>239</v>
      </c>
      <c r="B2" t="s">
        <v>169</v>
      </c>
      <c r="C2" t="s">
        <v>173</v>
      </c>
      <c r="D2" t="s">
        <v>175</v>
      </c>
      <c r="E2" t="s">
        <v>178</v>
      </c>
      <c r="F2" t="s">
        <v>181</v>
      </c>
      <c r="G2" t="s">
        <v>184</v>
      </c>
      <c r="H2" t="s">
        <v>187</v>
      </c>
      <c r="I2" t="s">
        <v>189</v>
      </c>
      <c r="J2" t="s">
        <v>191</v>
      </c>
      <c r="K2" t="s">
        <v>193</v>
      </c>
      <c r="L2" t="s">
        <v>195</v>
      </c>
      <c r="M2" t="s">
        <v>196</v>
      </c>
    </row>
    <row r="3" spans="1:13" x14ac:dyDescent="0.3">
      <c r="A3" s="22" t="s">
        <v>214</v>
      </c>
      <c r="B3" s="23">
        <v>270000</v>
      </c>
      <c r="C3" s="23">
        <v>208000</v>
      </c>
      <c r="D3" s="23">
        <v>189000</v>
      </c>
      <c r="E3" s="23">
        <v>150000</v>
      </c>
      <c r="F3" s="23">
        <v>450000</v>
      </c>
      <c r="G3" s="23">
        <v>100000</v>
      </c>
      <c r="H3" s="23">
        <v>150000</v>
      </c>
      <c r="I3" s="23">
        <v>192000</v>
      </c>
      <c r="J3" s="23">
        <v>198000</v>
      </c>
      <c r="K3" s="23">
        <v>152000</v>
      </c>
      <c r="L3" s="23">
        <v>510000</v>
      </c>
      <c r="M3" s="23">
        <v>196000</v>
      </c>
    </row>
    <row r="4" spans="1:13" x14ac:dyDescent="0.3">
      <c r="A4" s="22" t="s">
        <v>198</v>
      </c>
      <c r="B4" s="23">
        <v>360000</v>
      </c>
      <c r="C4" s="23">
        <v>364000</v>
      </c>
      <c r="D4" s="23">
        <v>390000</v>
      </c>
      <c r="E4" s="23">
        <v>1650000</v>
      </c>
      <c r="F4" s="23">
        <v>336000</v>
      </c>
      <c r="G4" s="23">
        <v>400000</v>
      </c>
      <c r="H4" s="23">
        <v>540000</v>
      </c>
      <c r="I4" s="23">
        <v>350000</v>
      </c>
      <c r="J4" s="23">
        <v>738000</v>
      </c>
      <c r="K4" s="23">
        <v>1800000</v>
      </c>
      <c r="L4" s="23">
        <v>272000</v>
      </c>
      <c r="M4" s="23">
        <v>453000</v>
      </c>
    </row>
    <row r="5" spans="1:13" x14ac:dyDescent="0.3">
      <c r="A5" s="22" t="s">
        <v>203</v>
      </c>
      <c r="B5" s="23">
        <v>570000</v>
      </c>
      <c r="C5" s="23">
        <v>400000</v>
      </c>
      <c r="D5" s="23">
        <v>232000</v>
      </c>
      <c r="E5" s="23">
        <v>217000</v>
      </c>
      <c r="F5" s="23">
        <v>360000</v>
      </c>
      <c r="G5" s="23">
        <v>325000</v>
      </c>
      <c r="H5" s="23">
        <v>935000</v>
      </c>
      <c r="I5" s="23">
        <v>240000</v>
      </c>
      <c r="J5" s="23">
        <v>208000</v>
      </c>
      <c r="K5" s="23">
        <v>360000</v>
      </c>
      <c r="L5" s="23">
        <v>930000</v>
      </c>
      <c r="M5" s="23">
        <v>296000</v>
      </c>
    </row>
    <row r="6" spans="1:13" x14ac:dyDescent="0.3">
      <c r="A6" s="22" t="s">
        <v>171</v>
      </c>
      <c r="B6" s="23">
        <v>360000</v>
      </c>
      <c r="C6" s="23">
        <v>522500</v>
      </c>
      <c r="D6" s="23">
        <v>256000</v>
      </c>
      <c r="E6" s="23">
        <v>144000</v>
      </c>
      <c r="F6" s="23">
        <v>200000</v>
      </c>
      <c r="G6" s="23">
        <v>198000</v>
      </c>
      <c r="H6" s="23">
        <v>208000</v>
      </c>
      <c r="I6" s="23">
        <v>225000</v>
      </c>
      <c r="J6" s="23">
        <v>270000</v>
      </c>
      <c r="K6" s="23">
        <v>275000</v>
      </c>
      <c r="L6" s="23">
        <v>540000</v>
      </c>
      <c r="M6" s="23">
        <v>328000</v>
      </c>
    </row>
    <row r="7" spans="1:13" x14ac:dyDescent="0.3">
      <c r="A7" s="22" t="s">
        <v>211</v>
      </c>
      <c r="B7" s="23">
        <v>450000</v>
      </c>
      <c r="C7" s="23">
        <v>176000</v>
      </c>
      <c r="D7" s="23">
        <v>182000</v>
      </c>
      <c r="E7" s="23">
        <v>495000</v>
      </c>
      <c r="F7" s="23">
        <v>175000</v>
      </c>
      <c r="G7" s="23">
        <v>225000</v>
      </c>
      <c r="H7" s="23">
        <v>144000</v>
      </c>
      <c r="I7" s="23">
        <v>288000</v>
      </c>
      <c r="J7" s="23">
        <v>300000</v>
      </c>
      <c r="K7" s="23">
        <v>190000</v>
      </c>
      <c r="L7" s="23">
        <v>690000</v>
      </c>
      <c r="M7" s="23">
        <v>217000</v>
      </c>
    </row>
    <row r="8" spans="1:13" x14ac:dyDescent="0.3">
      <c r="A8" s="22" t="s">
        <v>207</v>
      </c>
      <c r="B8" s="23">
        <v>715000</v>
      </c>
      <c r="C8" s="23">
        <v>248000</v>
      </c>
      <c r="D8" s="23">
        <v>294000</v>
      </c>
      <c r="E8" s="23">
        <v>630000</v>
      </c>
      <c r="F8" s="23">
        <v>420000</v>
      </c>
      <c r="G8" s="23">
        <v>275000</v>
      </c>
      <c r="H8" s="23">
        <v>210000</v>
      </c>
      <c r="I8" s="23">
        <v>324000</v>
      </c>
      <c r="J8" s="23">
        <v>232000</v>
      </c>
      <c r="K8" s="23">
        <v>250000</v>
      </c>
      <c r="L8" s="23">
        <v>810000</v>
      </c>
      <c r="M8" s="23">
        <v>336000</v>
      </c>
    </row>
    <row r="14" spans="1:13" x14ac:dyDescent="0.3">
      <c r="A14" s="21" t="s">
        <v>239</v>
      </c>
      <c r="B14" t="s">
        <v>243</v>
      </c>
    </row>
    <row r="15" spans="1:13" x14ac:dyDescent="0.3">
      <c r="A15" s="22" t="s">
        <v>214</v>
      </c>
      <c r="B15" s="23">
        <v>2241000</v>
      </c>
    </row>
    <row r="16" spans="1:13" x14ac:dyDescent="0.3">
      <c r="A16" s="22" t="s">
        <v>198</v>
      </c>
      <c r="B16" s="23">
        <v>6265000</v>
      </c>
    </row>
    <row r="17" spans="1:19" x14ac:dyDescent="0.3">
      <c r="A17" s="22" t="s">
        <v>203</v>
      </c>
      <c r="B17" s="23">
        <v>4125000</v>
      </c>
    </row>
    <row r="18" spans="1:19" x14ac:dyDescent="0.3">
      <c r="A18" s="22" t="s">
        <v>171</v>
      </c>
      <c r="B18" s="23">
        <v>2853000</v>
      </c>
    </row>
    <row r="19" spans="1:19" x14ac:dyDescent="0.3">
      <c r="A19" s="22" t="s">
        <v>211</v>
      </c>
      <c r="B19" s="23">
        <v>2865000</v>
      </c>
    </row>
    <row r="20" spans="1:19" x14ac:dyDescent="0.3">
      <c r="A20" s="22" t="s">
        <v>207</v>
      </c>
      <c r="B20" s="23">
        <v>3880000</v>
      </c>
    </row>
    <row r="21" spans="1:19" x14ac:dyDescent="0.3">
      <c r="A21" s="22" t="s">
        <v>242</v>
      </c>
      <c r="B21" s="23">
        <v>22229000</v>
      </c>
    </row>
    <row r="29" spans="1:19" x14ac:dyDescent="0.3">
      <c r="A29" s="21" t="s">
        <v>244</v>
      </c>
      <c r="B29" s="21" t="s">
        <v>240</v>
      </c>
    </row>
    <row r="30" spans="1:19" x14ac:dyDescent="0.3">
      <c r="A30" s="21" t="s">
        <v>239</v>
      </c>
      <c r="B30" t="s">
        <v>208</v>
      </c>
      <c r="C30" t="s">
        <v>210</v>
      </c>
      <c r="D30" t="s">
        <v>206</v>
      </c>
      <c r="E30" t="s">
        <v>179</v>
      </c>
      <c r="F30" t="s">
        <v>209</v>
      </c>
      <c r="G30" t="s">
        <v>200</v>
      </c>
      <c r="H30" t="s">
        <v>205</v>
      </c>
      <c r="I30" t="s">
        <v>202</v>
      </c>
      <c r="J30" t="s">
        <v>197</v>
      </c>
      <c r="K30" t="s">
        <v>201</v>
      </c>
      <c r="L30" t="s">
        <v>216</v>
      </c>
      <c r="M30" t="s">
        <v>185</v>
      </c>
      <c r="N30" t="s">
        <v>212</v>
      </c>
      <c r="O30" t="s">
        <v>215</v>
      </c>
      <c r="P30" t="s">
        <v>213</v>
      </c>
      <c r="Q30" t="s">
        <v>204</v>
      </c>
      <c r="R30" t="s">
        <v>170</v>
      </c>
      <c r="S30" t="s">
        <v>242</v>
      </c>
    </row>
    <row r="31" spans="1:19" x14ac:dyDescent="0.3">
      <c r="A31" s="22" t="s">
        <v>214</v>
      </c>
      <c r="B31" s="23"/>
      <c r="C31" s="23"/>
      <c r="D31" s="23"/>
      <c r="E31" s="23"/>
      <c r="F31" s="23"/>
      <c r="G31" s="23"/>
      <c r="H31" s="23"/>
      <c r="I31" s="23"/>
      <c r="J31" s="23"/>
      <c r="K31" s="23"/>
      <c r="L31" s="23">
        <v>7000</v>
      </c>
      <c r="M31" s="23"/>
      <c r="N31" s="23"/>
      <c r="O31" s="23">
        <v>6320</v>
      </c>
      <c r="P31" s="23">
        <v>3150</v>
      </c>
      <c r="Q31" s="23"/>
      <c r="R31" s="23"/>
      <c r="S31" s="23">
        <v>16470</v>
      </c>
    </row>
    <row r="32" spans="1:19" x14ac:dyDescent="0.3">
      <c r="A32" s="22" t="s">
        <v>198</v>
      </c>
      <c r="B32" s="23"/>
      <c r="C32" s="23"/>
      <c r="D32" s="23"/>
      <c r="E32" s="23"/>
      <c r="F32" s="23"/>
      <c r="G32" s="23">
        <v>17300</v>
      </c>
      <c r="H32" s="23"/>
      <c r="I32" s="23"/>
      <c r="J32" s="23">
        <v>15250</v>
      </c>
      <c r="K32" s="23">
        <v>5900</v>
      </c>
      <c r="L32" s="23"/>
      <c r="M32" s="23"/>
      <c r="N32" s="23"/>
      <c r="O32" s="23"/>
      <c r="P32" s="23"/>
      <c r="Q32" s="23"/>
      <c r="R32" s="23"/>
      <c r="S32" s="23">
        <v>38450</v>
      </c>
    </row>
    <row r="33" spans="1:19" x14ac:dyDescent="0.3">
      <c r="A33" s="22" t="s">
        <v>203</v>
      </c>
      <c r="B33" s="23"/>
      <c r="C33" s="23"/>
      <c r="D33" s="23"/>
      <c r="E33" s="23"/>
      <c r="F33" s="23"/>
      <c r="G33" s="23"/>
      <c r="H33" s="23">
        <v>3900</v>
      </c>
      <c r="I33" s="23">
        <v>10100</v>
      </c>
      <c r="J33" s="23"/>
      <c r="K33" s="23"/>
      <c r="L33" s="23"/>
      <c r="M33" s="23"/>
      <c r="N33" s="23"/>
      <c r="O33" s="23"/>
      <c r="P33" s="23"/>
      <c r="Q33" s="23">
        <v>10100</v>
      </c>
      <c r="R33" s="23"/>
      <c r="S33" s="23">
        <v>24100</v>
      </c>
    </row>
    <row r="34" spans="1:19" x14ac:dyDescent="0.3">
      <c r="A34" s="22" t="s">
        <v>171</v>
      </c>
      <c r="B34" s="23"/>
      <c r="C34" s="23"/>
      <c r="D34" s="23"/>
      <c r="E34" s="23">
        <v>2750</v>
      </c>
      <c r="F34" s="23"/>
      <c r="G34" s="23"/>
      <c r="H34" s="23"/>
      <c r="I34" s="23"/>
      <c r="J34" s="23"/>
      <c r="K34" s="23"/>
      <c r="L34" s="23"/>
      <c r="M34" s="23">
        <v>3700</v>
      </c>
      <c r="N34" s="23"/>
      <c r="O34" s="23"/>
      <c r="P34" s="23"/>
      <c r="Q34" s="23"/>
      <c r="R34" s="23">
        <v>12600</v>
      </c>
      <c r="S34" s="23">
        <v>19050</v>
      </c>
    </row>
    <row r="35" spans="1:19" x14ac:dyDescent="0.3">
      <c r="A35" s="22" t="s">
        <v>211</v>
      </c>
      <c r="B35" s="23"/>
      <c r="C35" s="23">
        <v>9130</v>
      </c>
      <c r="D35" s="23"/>
      <c r="E35" s="23"/>
      <c r="F35" s="23"/>
      <c r="G35" s="23"/>
      <c r="H35" s="23"/>
      <c r="I35" s="23"/>
      <c r="J35" s="23"/>
      <c r="K35" s="23"/>
      <c r="L35" s="23"/>
      <c r="M35" s="23"/>
      <c r="N35" s="23">
        <v>8900</v>
      </c>
      <c r="O35" s="23"/>
      <c r="P35" s="23"/>
      <c r="Q35" s="23"/>
      <c r="R35" s="23"/>
      <c r="S35" s="23">
        <v>18030</v>
      </c>
    </row>
    <row r="36" spans="1:19" x14ac:dyDescent="0.3">
      <c r="A36" s="22" t="s">
        <v>207</v>
      </c>
      <c r="B36" s="23">
        <v>9200</v>
      </c>
      <c r="C36" s="23"/>
      <c r="D36" s="23">
        <v>12200</v>
      </c>
      <c r="E36" s="23"/>
      <c r="F36" s="23">
        <v>4150</v>
      </c>
      <c r="G36" s="23"/>
      <c r="H36" s="23"/>
      <c r="I36" s="23"/>
      <c r="J36" s="23"/>
      <c r="K36" s="23"/>
      <c r="L36" s="23"/>
      <c r="M36" s="23"/>
      <c r="N36" s="23"/>
      <c r="O36" s="23"/>
      <c r="P36" s="23"/>
      <c r="Q36" s="23"/>
      <c r="R36" s="23"/>
      <c r="S36" s="23">
        <v>25550</v>
      </c>
    </row>
    <row r="37" spans="1:19" x14ac:dyDescent="0.3">
      <c r="A37" s="22" t="s">
        <v>242</v>
      </c>
      <c r="B37" s="23">
        <v>9200</v>
      </c>
      <c r="C37" s="23">
        <v>9130</v>
      </c>
      <c r="D37" s="23">
        <v>12200</v>
      </c>
      <c r="E37" s="23">
        <v>2750</v>
      </c>
      <c r="F37" s="23">
        <v>4150</v>
      </c>
      <c r="G37" s="23">
        <v>17300</v>
      </c>
      <c r="H37" s="23">
        <v>3900</v>
      </c>
      <c r="I37" s="23">
        <v>10100</v>
      </c>
      <c r="J37" s="23">
        <v>15250</v>
      </c>
      <c r="K37" s="23">
        <v>5900</v>
      </c>
      <c r="L37" s="23">
        <v>7000</v>
      </c>
      <c r="M37" s="23">
        <v>3700</v>
      </c>
      <c r="N37" s="23">
        <v>8900</v>
      </c>
      <c r="O37" s="23">
        <v>6320</v>
      </c>
      <c r="P37" s="23">
        <v>3150</v>
      </c>
      <c r="Q37" s="23">
        <v>10100</v>
      </c>
      <c r="R37" s="23">
        <v>12600</v>
      </c>
      <c r="S37" s="23">
        <v>141650</v>
      </c>
    </row>
    <row r="58" spans="1:6" x14ac:dyDescent="0.3">
      <c r="A58" s="21" t="s">
        <v>241</v>
      </c>
      <c r="B58" s="21" t="s">
        <v>240</v>
      </c>
    </row>
    <row r="59" spans="1:6" x14ac:dyDescent="0.3">
      <c r="A59" s="21" t="s">
        <v>239</v>
      </c>
      <c r="B59" t="s">
        <v>38</v>
      </c>
      <c r="C59" t="s">
        <v>176</v>
      </c>
      <c r="D59" t="s">
        <v>46</v>
      </c>
      <c r="E59" t="s">
        <v>182</v>
      </c>
      <c r="F59" t="s">
        <v>242</v>
      </c>
    </row>
    <row r="60" spans="1:6" x14ac:dyDescent="0.3">
      <c r="A60" s="22" t="s">
        <v>199</v>
      </c>
      <c r="B60" s="23"/>
      <c r="C60" s="23"/>
      <c r="D60" s="23"/>
      <c r="E60" s="23">
        <v>990000</v>
      </c>
      <c r="F60" s="23">
        <v>990000</v>
      </c>
    </row>
    <row r="61" spans="1:6" x14ac:dyDescent="0.3">
      <c r="A61" s="22" t="s">
        <v>192</v>
      </c>
      <c r="B61" s="23"/>
      <c r="C61" s="23"/>
      <c r="D61" s="23">
        <v>2082000</v>
      </c>
      <c r="E61" s="23"/>
      <c r="F61" s="23">
        <v>2082000</v>
      </c>
    </row>
    <row r="62" spans="1:6" x14ac:dyDescent="0.3">
      <c r="A62" s="22" t="s">
        <v>180</v>
      </c>
      <c r="B62" s="23"/>
      <c r="C62" s="23">
        <v>1144000</v>
      </c>
      <c r="D62" s="23"/>
      <c r="E62" s="23"/>
      <c r="F62" s="23">
        <v>1144000</v>
      </c>
    </row>
    <row r="63" spans="1:6" x14ac:dyDescent="0.3">
      <c r="A63" s="22" t="s">
        <v>174</v>
      </c>
      <c r="B63" s="23">
        <v>4317500</v>
      </c>
      <c r="C63" s="23"/>
      <c r="D63" s="23"/>
      <c r="E63" s="23"/>
      <c r="F63" s="23">
        <v>4317500</v>
      </c>
    </row>
    <row r="64" spans="1:6" x14ac:dyDescent="0.3">
      <c r="A64" s="22" t="s">
        <v>177</v>
      </c>
      <c r="B64" s="23"/>
      <c r="C64" s="23">
        <v>2704000</v>
      </c>
      <c r="D64" s="23"/>
      <c r="E64" s="23"/>
      <c r="F64" s="23">
        <v>2704000</v>
      </c>
    </row>
    <row r="65" spans="1:6" x14ac:dyDescent="0.3">
      <c r="A65" s="22" t="s">
        <v>190</v>
      </c>
      <c r="B65" s="23"/>
      <c r="C65" s="23"/>
      <c r="D65" s="23">
        <v>1500000</v>
      </c>
      <c r="E65" s="23"/>
      <c r="F65" s="23">
        <v>1500000</v>
      </c>
    </row>
    <row r="66" spans="1:6" x14ac:dyDescent="0.3">
      <c r="A66" s="22" t="s">
        <v>183</v>
      </c>
      <c r="B66" s="23"/>
      <c r="C66" s="23"/>
      <c r="D66" s="23"/>
      <c r="E66" s="23">
        <v>975000</v>
      </c>
      <c r="F66" s="23">
        <v>975000</v>
      </c>
    </row>
    <row r="67" spans="1:6" x14ac:dyDescent="0.3">
      <c r="A67" s="22" t="s">
        <v>172</v>
      </c>
      <c r="B67" s="23">
        <v>8370000</v>
      </c>
      <c r="C67" s="23"/>
      <c r="D67" s="23"/>
      <c r="E67" s="23"/>
      <c r="F67" s="23">
        <v>8370000</v>
      </c>
    </row>
    <row r="68" spans="1:6" x14ac:dyDescent="0.3">
      <c r="A68" s="22" t="s">
        <v>186</v>
      </c>
      <c r="B68" s="23">
        <v>2106000</v>
      </c>
      <c r="C68" s="23"/>
      <c r="D68" s="23"/>
      <c r="E68" s="23"/>
      <c r="F68" s="23">
        <v>2106000</v>
      </c>
    </row>
    <row r="69" spans="1:6" x14ac:dyDescent="0.3">
      <c r="A69" s="22" t="s">
        <v>194</v>
      </c>
      <c r="B69" s="23"/>
      <c r="C69" s="23"/>
      <c r="D69" s="23"/>
      <c r="E69" s="23">
        <v>1065000</v>
      </c>
      <c r="F69" s="23">
        <v>1065000</v>
      </c>
    </row>
    <row r="70" spans="1:6" x14ac:dyDescent="0.3">
      <c r="A70" s="22" t="s">
        <v>188</v>
      </c>
      <c r="B70" s="23"/>
      <c r="C70" s="23">
        <v>2040000</v>
      </c>
      <c r="D70" s="23"/>
      <c r="E70" s="23"/>
      <c r="F70" s="23">
        <v>2040000</v>
      </c>
    </row>
    <row r="71" spans="1:6" x14ac:dyDescent="0.3">
      <c r="A71" s="22" t="s">
        <v>242</v>
      </c>
      <c r="B71" s="23">
        <v>14793500</v>
      </c>
      <c r="C71" s="23">
        <v>5888000</v>
      </c>
      <c r="D71" s="23">
        <v>3582000</v>
      </c>
      <c r="E71" s="23">
        <v>3030000</v>
      </c>
      <c r="F71" s="23">
        <v>27293500</v>
      </c>
    </row>
  </sheetData>
  <pageMargins left="0.7" right="0.7" top="0.75" bottom="0.75" header="0.3" footer="0.3"/>
  <drawing r:id="rId5"/>
  <extLst>
    <ext xmlns:x14="http://schemas.microsoft.com/office/spreadsheetml/2009/9/main" uri="{05C60535-1F16-4fd2-B633-F4F36F0B64E0}">
      <x14:sparklineGroups xmlns:xm="http://schemas.microsoft.com/office/excel/2006/main">
        <x14:sparklineGroup type="column" displayEmptyCellsAs="gap" high="1" low="1" xr2:uid="{CFE9B481-7373-4EAE-9D5A-21C3D4F9EC6D}">
          <x14:colorSeries theme="5" tint="-0.249977111117893"/>
          <x14:colorNegative theme="4"/>
          <x14:colorAxis rgb="FF000000"/>
          <x14:colorMarkers theme="9" tint="-0.249977111117893"/>
          <x14:colorFirst theme="9" tint="-0.249977111117893"/>
          <x14:colorLast theme="9" tint="-0.249977111117893"/>
          <x14:colorHigh rgb="FF00B050"/>
          <x14:colorLow rgb="FFFF0000"/>
          <x14:sparklines>
            <x14:sparkline>
              <xm:f>Sheet1!B3:M3</xm:f>
              <xm:sqref>N3</xm:sqref>
            </x14:sparkline>
            <x14:sparkline>
              <xm:f>Sheet1!B4:M4</xm:f>
              <xm:sqref>N4</xm:sqref>
            </x14:sparkline>
            <x14:sparkline>
              <xm:f>Sheet1!B5:M5</xm:f>
              <xm:sqref>N5</xm:sqref>
            </x14:sparkline>
            <x14:sparkline>
              <xm:f>Sheet1!B6:M6</xm:f>
              <xm:sqref>N6</xm:sqref>
            </x14:sparkline>
            <x14:sparkline>
              <xm:f>Sheet1!B7:M7</xm:f>
              <xm:sqref>N7</xm:sqref>
            </x14:sparkline>
            <x14:sparkline>
              <xm:f>Sheet1!B8:M8</xm:f>
              <xm:sqref>N8</xm:sqref>
            </x14:sparkline>
          </x14:sparklines>
        </x14:sparklineGroup>
        <x14:sparklineGroup type="stacked" displayEmptyCellsAs="gap" negative="1" xr2:uid="{9D5EFB73-17BA-417A-8B4F-6947DFBA4048}">
          <x14:colorSeries rgb="FF376092"/>
          <x14:colorNegative rgb="FFD00000"/>
          <x14:colorAxis rgb="FF000000"/>
          <x14:colorMarkers rgb="FFD00000"/>
          <x14:colorFirst rgb="FFD00000"/>
          <x14:colorLast rgb="FFD00000"/>
          <x14:colorHigh rgb="FFD00000"/>
          <x14:colorLow rgb="FFD00000"/>
          <x14:sparklines>
            <x14:sparkline>
              <xm:f>Sheet1!K12:K18</xm:f>
              <xm:sqref>K19</xm:sqref>
            </x14:sparkline>
          </x14:sparklines>
        </x14:sparklineGroup>
      </x14:sparklineGroup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969EE-3E06-4158-9182-27D2E0464DDA}">
  <dimension ref="A1"/>
  <sheetViews>
    <sheetView tabSelected="1" topLeftCell="A16" workbookViewId="0">
      <selection activeCell="D22" sqref="D22"/>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FCB3FA-0F0B-41F5-85D7-82772D4FF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Content</vt:lpstr>
      <vt:lpstr>Macros Introduction</vt:lpstr>
      <vt:lpstr>Macros Introduction (2)</vt:lpstr>
      <vt:lpstr>Macros Introduction (3)</vt:lpstr>
      <vt:lpstr>Sheet9</vt:lpstr>
      <vt:lpstr>North</vt:lpstr>
      <vt:lpstr>South</vt:lpstr>
      <vt:lpstr>East</vt:lpstr>
      <vt:lpstr>West</vt:lpstr>
      <vt:lpstr>West (2)</vt:lpstr>
      <vt:lpstr>West (4)</vt:lpstr>
      <vt:lpstr>West (5)</vt:lpstr>
      <vt:lpstr>West (6)</vt:lpstr>
      <vt:lpstr>West (7)</vt:lpstr>
      <vt:lpstr>Data Visualization basics</vt:lpstr>
      <vt:lpstr>Data Visualization</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Sati</dc:creator>
  <cp:lastModifiedBy>Ajay Sati</cp:lastModifiedBy>
  <dcterms:created xsi:type="dcterms:W3CDTF">2025-11-22T14:02:46Z</dcterms:created>
  <dcterms:modified xsi:type="dcterms:W3CDTF">2025-11-23T15:59:54Z</dcterms:modified>
</cp:coreProperties>
</file>
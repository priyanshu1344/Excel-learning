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commentsmeta0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HP\Desktop\NMD Infotech\Excel\drive-download-20251118T074021Z-1-001\"/>
    </mc:Choice>
  </mc:AlternateContent>
  <xr:revisionPtr revIDLastSave="0" documentId="13_ncr:1_{5BC49308-AB89-4B34-8366-1519267698E2}" xr6:coauthVersionLast="47" xr6:coauthVersionMax="47" xr10:uidLastSave="{00000000-0000-0000-0000-000000000000}"/>
  <bookViews>
    <workbookView xWindow="-108" yWindow="-108" windowWidth="23256" windowHeight="12456" activeTab="4" xr2:uid="{00000000-000D-0000-FFFF-FFFF00000000}"/>
  </bookViews>
  <sheets>
    <sheet name="xlookup" sheetId="1" r:id="rId1"/>
    <sheet name="Hllokup" sheetId="2" r:id="rId2"/>
    <sheet name="vlookup Table 2" sheetId="3" r:id="rId3"/>
    <sheet name="vlookup dataset" sheetId="4" r:id="rId4"/>
    <sheet name="Age wise Analysis" sheetId="5" r:id="rId5"/>
    <sheet name="Assignments Questions" sheetId="6" r:id="rId6"/>
  </sheets>
  <definedNames>
    <definedName name="_xlnm._FilterDatabase" localSheetId="4" hidden="1">'Age wise Analysis'!$A$1:$M$1</definedName>
  </definedNames>
  <calcPr calcId="191029"/>
  <extLst>
    <ext uri="GoogleSheetsCustomDataVersion2">
      <go:sheetsCustomData xmlns:go="http://customooxmlschemas.google.com/" r:id="rId12" roundtripDataChecksum="CkTS87wYvXKpyrY20v6zZN5t3uK5612U9miTZoXdNL4="/>
    </ext>
  </extLst>
</workbook>
</file>

<file path=xl/calcChain.xml><?xml version="1.0" encoding="utf-8"?>
<calcChain xmlns="http://schemas.openxmlformats.org/spreadsheetml/2006/main">
  <c r="M14" i="5" l="1"/>
  <c r="C44" i="5"/>
  <c r="C41" i="5"/>
  <c r="C42" i="5"/>
  <c r="C51" i="5"/>
  <c r="C4" i="5"/>
  <c r="C32" i="5"/>
  <c r="C6" i="5"/>
  <c r="C37" i="5"/>
  <c r="C45" i="5"/>
  <c r="C28" i="5"/>
  <c r="C33" i="5"/>
  <c r="C2" i="5"/>
  <c r="C15" i="5"/>
  <c r="C29" i="5"/>
  <c r="C30" i="5"/>
  <c r="C34" i="5"/>
  <c r="C19" i="5"/>
  <c r="C18" i="5"/>
  <c r="C47" i="5"/>
  <c r="C17" i="5"/>
  <c r="C43" i="5"/>
  <c r="C38" i="5"/>
  <c r="C13" i="5"/>
  <c r="C49" i="5"/>
  <c r="C31" i="5"/>
  <c r="C10" i="5"/>
  <c r="C3" i="5"/>
  <c r="C46" i="5"/>
  <c r="C25" i="5"/>
  <c r="C9" i="5"/>
  <c r="C40" i="5"/>
  <c r="C20" i="5"/>
  <c r="C21" i="5"/>
  <c r="C27" i="5"/>
  <c r="C50" i="5"/>
  <c r="C22" i="5"/>
  <c r="C26" i="5"/>
  <c r="C39" i="5"/>
  <c r="C52" i="5"/>
  <c r="C24" i="5"/>
  <c r="C23" i="5"/>
  <c r="C48" i="5"/>
  <c r="C12" i="5"/>
  <c r="C14" i="5"/>
  <c r="C7" i="5"/>
  <c r="C36" i="5"/>
  <c r="C35" i="5"/>
  <c r="C16" i="5"/>
  <c r="C8" i="5"/>
  <c r="C5" i="5"/>
  <c r="C11" i="5"/>
  <c r="F31" i="4"/>
  <c r="F32" i="4"/>
  <c r="F33" i="4"/>
  <c r="F34" i="4"/>
  <c r="F35" i="4"/>
  <c r="F36" i="4"/>
  <c r="F37" i="4"/>
  <c r="F38" i="4"/>
  <c r="F39" i="4"/>
  <c r="F30" i="4"/>
  <c r="D31" i="4"/>
  <c r="D32" i="4"/>
  <c r="D33" i="4"/>
  <c r="D34" i="4"/>
  <c r="D35" i="4"/>
  <c r="D36" i="4"/>
  <c r="D37" i="4"/>
  <c r="D38" i="4"/>
  <c r="D39" i="4"/>
  <c r="D30" i="4"/>
  <c r="C31" i="4"/>
  <c r="C32" i="4"/>
  <c r="C33" i="4"/>
  <c r="C34" i="4"/>
  <c r="C35" i="4"/>
  <c r="C36" i="4"/>
  <c r="C37" i="4"/>
  <c r="C38" i="4"/>
  <c r="C39" i="4"/>
  <c r="C30" i="4"/>
  <c r="E18" i="4"/>
  <c r="E19" i="4"/>
  <c r="E20" i="4"/>
  <c r="E21" i="4"/>
  <c r="E22" i="4"/>
  <c r="E23" i="4"/>
  <c r="E24" i="4"/>
  <c r="E25" i="4"/>
  <c r="E26" i="4"/>
  <c r="E17" i="4"/>
  <c r="B18" i="4"/>
  <c r="B19" i="4"/>
  <c r="B20" i="4"/>
  <c r="B21" i="4"/>
  <c r="B22" i="4"/>
  <c r="B23" i="4"/>
  <c r="B24" i="4"/>
  <c r="B25" i="4"/>
  <c r="B26" i="4"/>
  <c r="B17" i="4"/>
  <c r="F45" i="1"/>
  <c r="F46" i="1"/>
  <c r="F47" i="1"/>
  <c r="F48" i="1"/>
  <c r="F49" i="1"/>
  <c r="F50" i="1"/>
  <c r="F51" i="1"/>
  <c r="F52" i="1"/>
  <c r="F53" i="1"/>
  <c r="F44" i="1"/>
  <c r="C13" i="2"/>
  <c r="D13" i="2"/>
  <c r="E13" i="2"/>
  <c r="F13" i="2"/>
  <c r="G13" i="2"/>
  <c r="H13" i="2"/>
  <c r="I13" i="2"/>
  <c r="J13" i="2"/>
  <c r="K13" i="2"/>
  <c r="B13" i="2"/>
  <c r="L39" i="5"/>
  <c r="M39" i="5" s="1"/>
  <c r="L26" i="5"/>
  <c r="M26" i="5" s="1"/>
  <c r="L22" i="5"/>
  <c r="M22" i="5" s="1"/>
  <c r="L50" i="5"/>
  <c r="M50" i="5" s="1"/>
  <c r="L27" i="5"/>
  <c r="M27" i="5" s="1"/>
  <c r="L21" i="5"/>
  <c r="M21" i="5" s="1"/>
  <c r="L20" i="5"/>
  <c r="M20" i="5" s="1"/>
  <c r="L40" i="5"/>
  <c r="M40" i="5" s="1"/>
  <c r="L9" i="5"/>
  <c r="M9" i="5" s="1"/>
  <c r="L25" i="5"/>
  <c r="M25" i="5" s="1"/>
  <c r="L46" i="5"/>
  <c r="M46" i="5" s="1"/>
  <c r="L3" i="5"/>
  <c r="M3" i="5" s="1"/>
  <c r="L10" i="5"/>
  <c r="M10" i="5" s="1"/>
  <c r="L31" i="5"/>
  <c r="M31" i="5" s="1"/>
  <c r="L49" i="5"/>
  <c r="M49" i="5" s="1"/>
  <c r="L13" i="5"/>
  <c r="M13" i="5" s="1"/>
  <c r="L38" i="5"/>
  <c r="M38" i="5" s="1"/>
  <c r="L43" i="5"/>
  <c r="M43" i="5" s="1"/>
  <c r="L17" i="5"/>
  <c r="M17" i="5" s="1"/>
  <c r="L47" i="5"/>
  <c r="M47" i="5" s="1"/>
  <c r="L18" i="5"/>
  <c r="M18" i="5" s="1"/>
  <c r="L19" i="5"/>
  <c r="M19" i="5" s="1"/>
  <c r="L34" i="5"/>
  <c r="M34" i="5" s="1"/>
  <c r="L30" i="5"/>
  <c r="M30" i="5" s="1"/>
  <c r="L29" i="5"/>
  <c r="M29" i="5" s="1"/>
  <c r="L15" i="5"/>
  <c r="M15" i="5" s="1"/>
  <c r="L2" i="5"/>
  <c r="M2" i="5" s="1"/>
  <c r="L33" i="5"/>
  <c r="M33" i="5" s="1"/>
  <c r="L28" i="5"/>
  <c r="M28" i="5" s="1"/>
  <c r="L45" i="5"/>
  <c r="M45" i="5" s="1"/>
  <c r="L37" i="5"/>
  <c r="M37" i="5" s="1"/>
  <c r="L6" i="5"/>
  <c r="M6" i="5" s="1"/>
  <c r="L32" i="5"/>
  <c r="M32" i="5" s="1"/>
  <c r="L4" i="5"/>
  <c r="M4" i="5" s="1"/>
  <c r="L51" i="5"/>
  <c r="M51" i="5" s="1"/>
  <c r="L42" i="5"/>
  <c r="M42" i="5" s="1"/>
  <c r="L41" i="5"/>
  <c r="M41" i="5" s="1"/>
  <c r="L44" i="5"/>
  <c r="M44" i="5" s="1"/>
  <c r="L24" i="5"/>
  <c r="M24" i="5" s="1"/>
  <c r="L23" i="5"/>
  <c r="M23" i="5" s="1"/>
  <c r="L48" i="5"/>
  <c r="M48" i="5" s="1"/>
  <c r="L12" i="5"/>
  <c r="M12" i="5" s="1"/>
  <c r="L14" i="5"/>
  <c r="L7" i="5"/>
  <c r="M7" i="5" s="1"/>
  <c r="L36" i="5"/>
  <c r="M36" i="5" s="1"/>
  <c r="L35" i="5"/>
  <c r="M35" i="5" s="1"/>
  <c r="L16" i="5"/>
  <c r="M16" i="5" s="1"/>
  <c r="L8" i="5"/>
  <c r="M8" i="5" s="1"/>
  <c r="L5" i="5"/>
  <c r="M5" i="5" s="1"/>
  <c r="L11" i="5"/>
  <c r="M11" i="5" s="1"/>
  <c r="E39" i="4"/>
  <c r="B39" i="4"/>
  <c r="E38" i="4"/>
  <c r="B38" i="4"/>
  <c r="E37" i="4"/>
  <c r="B37" i="4"/>
  <c r="E36" i="4"/>
  <c r="B36" i="4"/>
  <c r="E35" i="4"/>
  <c r="B35" i="4"/>
  <c r="E34" i="4"/>
  <c r="B34" i="4"/>
  <c r="E33" i="4"/>
  <c r="B33" i="4"/>
  <c r="E32" i="4"/>
  <c r="B32" i="4"/>
  <c r="E31" i="4"/>
  <c r="B31" i="4"/>
  <c r="E30" i="4"/>
  <c r="B30" i="4"/>
  <c r="K39" i="1"/>
  <c r="J39" i="1"/>
  <c r="I39" i="1"/>
  <c r="H39" i="1"/>
  <c r="G39" i="1"/>
  <c r="F39" i="1"/>
  <c r="E39" i="1"/>
  <c r="D39" i="1"/>
  <c r="C39" i="1"/>
  <c r="B39" i="1"/>
  <c r="H26" i="1"/>
  <c r="B26" i="1"/>
  <c r="H25" i="1"/>
  <c r="B25" i="1"/>
  <c r="H24" i="1"/>
  <c r="B24" i="1"/>
  <c r="H23" i="1"/>
  <c r="B23" i="1"/>
  <c r="H22" i="1"/>
  <c r="B22" i="1"/>
  <c r="H21" i="1"/>
  <c r="B21" i="1"/>
  <c r="H20" i="1"/>
  <c r="B20" i="1"/>
  <c r="H19" i="1"/>
  <c r="B19" i="1"/>
  <c r="H18" i="1"/>
  <c r="B18" i="1"/>
  <c r="H17" i="1"/>
  <c r="B17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G29" authorId="0" shapeId="0" xr:uid="{00000000-0006-0000-0300-000001000000}">
      <text>
        <r>
          <rPr>
            <sz val="11"/>
            <color theme="1"/>
            <rFont val="Calibri"/>
            <scheme val="minor"/>
          </rPr>
          <t>======
ID#AAAA-xrDiC4
Kapil kalagi    (2023-10-23 16:48:42)
Logical Bonus Calculations</t>
        </r>
      </text>
    </comment>
    <comment ref="H29" authorId="0" shapeId="0" xr:uid="{00000000-0006-0000-0300-000003000000}">
      <text>
        <r>
          <rPr>
            <sz val="11"/>
            <color theme="1"/>
            <rFont val="Calibri"/>
            <scheme val="minor"/>
          </rPr>
          <t>======
ID#AAAA-xrDiC0
Kapil kalagi    (2023-10-23 16:48:42)
Different Sheet
 Bonus Calculations</t>
        </r>
      </text>
    </comment>
    <comment ref="I29" authorId="0" shapeId="0" xr:uid="{00000000-0006-0000-0300-000002000000}">
      <text>
        <r>
          <rPr>
            <sz val="11"/>
            <color theme="1"/>
            <rFont val="Calibri"/>
            <scheme val="minor"/>
          </rPr>
          <t>======
ID#AAAA-xrDiC8
Kapil kalagi    (2023-10-23 16:48:42)
Different file Bonus 
Bonus Calculations</t>
        </r>
      </text>
    </comment>
  </commentList>
  <extLst>
    <ext xmlns:r="http://schemas.openxmlformats.org/officeDocument/2006/relationships" uri="GoogleSheetsCustomDataVersion2">
      <go:sheetsCustomData xmlns:go="http://customooxmlschemas.google.com/" r:id="rId1" roundtripDataSignature="AMtx7mgv/2gqwxuW47wYrDtA77GpDX3rZA=="/>
    </ext>
  </extLst>
</comments>
</file>

<file path=xl/sharedStrings.xml><?xml version="1.0" encoding="utf-8"?>
<sst xmlns="http://schemas.openxmlformats.org/spreadsheetml/2006/main" count="586" uniqueCount="178">
  <si>
    <t>Table 1</t>
  </si>
  <si>
    <t>Employee ID</t>
  </si>
  <si>
    <t>Name</t>
  </si>
  <si>
    <t>Designation</t>
  </si>
  <si>
    <t>Salary (₹)</t>
  </si>
  <si>
    <t>Experience</t>
  </si>
  <si>
    <t>E101</t>
  </si>
  <si>
    <t>Arjun Sharma</t>
  </si>
  <si>
    <t>Manager</t>
  </si>
  <si>
    <t>E102</t>
  </si>
  <si>
    <t>Priya Mukherjee</t>
  </si>
  <si>
    <t>Assistant Manager</t>
  </si>
  <si>
    <t>E103</t>
  </si>
  <si>
    <t>Rohit Patel</t>
  </si>
  <si>
    <t>Engineer</t>
  </si>
  <si>
    <t>E104</t>
  </si>
  <si>
    <t>Aisha Verma</t>
  </si>
  <si>
    <t>Analyst</t>
  </si>
  <si>
    <t>E105</t>
  </si>
  <si>
    <t>Suresh Kumar</t>
  </si>
  <si>
    <t>Technician</t>
  </si>
  <si>
    <t>E106</t>
  </si>
  <si>
    <t>Deepa Nair</t>
  </si>
  <si>
    <t>Sales Representative</t>
  </si>
  <si>
    <t>E107</t>
  </si>
  <si>
    <t>Vikram Singh</t>
  </si>
  <si>
    <t>Designer</t>
  </si>
  <si>
    <t>E108</t>
  </si>
  <si>
    <t>Lakshmi Raghavan</t>
  </si>
  <si>
    <t>HR Specialist</t>
  </si>
  <si>
    <t>E109</t>
  </si>
  <si>
    <t>Ramesh Joshi</t>
  </si>
  <si>
    <t>Accountant</t>
  </si>
  <si>
    <t>E110</t>
  </si>
  <si>
    <t>Anjali Deshpande</t>
  </si>
  <si>
    <t>Software Developer</t>
  </si>
  <si>
    <t>Example 1</t>
  </si>
  <si>
    <t>Example 2</t>
  </si>
  <si>
    <t>Table 2</t>
  </si>
  <si>
    <t>Table 3</t>
  </si>
  <si>
    <t>Bonus</t>
  </si>
  <si>
    <t>Table 4</t>
  </si>
  <si>
    <t>1,20,000</t>
  </si>
  <si>
    <t>1,00,000</t>
  </si>
  <si>
    <t>1,10,000</t>
  </si>
  <si>
    <t>1,20,000.00</t>
  </si>
  <si>
    <t>1,00,000.00</t>
  </si>
  <si>
    <t>1,10,000.00</t>
  </si>
  <si>
    <t>Bonus (%)</t>
  </si>
  <si>
    <t>Salary</t>
  </si>
  <si>
    <t>salary</t>
  </si>
  <si>
    <t>Example 3</t>
  </si>
  <si>
    <t>First Name</t>
  </si>
  <si>
    <t>Last name</t>
  </si>
  <si>
    <t>Full Name</t>
  </si>
  <si>
    <t>Department</t>
  </si>
  <si>
    <t>Grade</t>
  </si>
  <si>
    <t>Total_Experience</t>
  </si>
  <si>
    <t>Experience_as_manager</t>
  </si>
  <si>
    <t>Gender</t>
  </si>
  <si>
    <t>CTC</t>
  </si>
  <si>
    <t>Date of Join</t>
  </si>
  <si>
    <t>DOB</t>
  </si>
  <si>
    <t>Today</t>
  </si>
  <si>
    <t>Aarav</t>
  </si>
  <si>
    <t>Sharma</t>
  </si>
  <si>
    <t>Operations</t>
  </si>
  <si>
    <t>G2</t>
  </si>
  <si>
    <t>Male</t>
  </si>
  <si>
    <t>Nisha</t>
  </si>
  <si>
    <t>Dey</t>
  </si>
  <si>
    <t>Rupali</t>
  </si>
  <si>
    <t>Mukherjee</t>
  </si>
  <si>
    <t>Geeta</t>
  </si>
  <si>
    <t>Chauhan</t>
  </si>
  <si>
    <t>Usha</t>
  </si>
  <si>
    <t>Roy</t>
  </si>
  <si>
    <t>Vivek</t>
  </si>
  <si>
    <t>Rai</t>
  </si>
  <si>
    <t>G1</t>
  </si>
  <si>
    <t>Kavita</t>
  </si>
  <si>
    <t>Joshi</t>
  </si>
  <si>
    <t>Radha</t>
  </si>
  <si>
    <t>Goyal</t>
  </si>
  <si>
    <t>Rekha</t>
  </si>
  <si>
    <t>Kapoor</t>
  </si>
  <si>
    <t>Female</t>
  </si>
  <si>
    <t>Anand</t>
  </si>
  <si>
    <t>Mittal</t>
  </si>
  <si>
    <t>Marketing</t>
  </si>
  <si>
    <t>Ananya</t>
  </si>
  <si>
    <t>Singh</t>
  </si>
  <si>
    <t>Nitin</t>
  </si>
  <si>
    <t>Jain</t>
  </si>
  <si>
    <t>Rani</t>
  </si>
  <si>
    <t>Reddy</t>
  </si>
  <si>
    <t>Ajay</t>
  </si>
  <si>
    <t>Mathur</t>
  </si>
  <si>
    <t>Seema</t>
  </si>
  <si>
    <t>Rastogi</t>
  </si>
  <si>
    <t>Rajendra</t>
  </si>
  <si>
    <t>Sood</t>
  </si>
  <si>
    <t>Priya</t>
  </si>
  <si>
    <t>Patel</t>
  </si>
  <si>
    <t>Vipul</t>
  </si>
  <si>
    <t>Dasgupta</t>
  </si>
  <si>
    <t>Finance</t>
  </si>
  <si>
    <t>Arun</t>
  </si>
  <si>
    <t>Parekh</t>
  </si>
  <si>
    <t>Amit</t>
  </si>
  <si>
    <t>Saran</t>
  </si>
  <si>
    <t>Deepak</t>
  </si>
  <si>
    <t>Verma</t>
  </si>
  <si>
    <t>Neetu</t>
  </si>
  <si>
    <t>Ghosh</t>
  </si>
  <si>
    <t>Sonali</t>
  </si>
  <si>
    <t>Vohra</t>
  </si>
  <si>
    <t>Vijay</t>
  </si>
  <si>
    <t>Mahajan</t>
  </si>
  <si>
    <t>Meena</t>
  </si>
  <si>
    <t>Menon</t>
  </si>
  <si>
    <t>Archana</t>
  </si>
  <si>
    <t>Mehta</t>
  </si>
  <si>
    <t>Deepika</t>
  </si>
  <si>
    <t>Thakur</t>
  </si>
  <si>
    <t>Pooja</t>
  </si>
  <si>
    <t>Kumar</t>
  </si>
  <si>
    <t>Anil</t>
  </si>
  <si>
    <t>Yadav</t>
  </si>
  <si>
    <t>Vinod</t>
  </si>
  <si>
    <t>Nair</t>
  </si>
  <si>
    <t>Rohit</t>
  </si>
  <si>
    <t>Chatterjee</t>
  </si>
  <si>
    <t>Sandeep</t>
  </si>
  <si>
    <t>Kulkarni</t>
  </si>
  <si>
    <t>Sanjay</t>
  </si>
  <si>
    <t>Chopra</t>
  </si>
  <si>
    <t>Manoj</t>
  </si>
  <si>
    <t>Rathi</t>
  </si>
  <si>
    <t>Suman</t>
  </si>
  <si>
    <t>Bansal</t>
  </si>
  <si>
    <t>Shalini</t>
  </si>
  <si>
    <t>Shah</t>
  </si>
  <si>
    <t>Ramesh</t>
  </si>
  <si>
    <t>Pillai</t>
  </si>
  <si>
    <t>Sheetal</t>
  </si>
  <si>
    <t>Dhawan</t>
  </si>
  <si>
    <t>Suresh</t>
  </si>
  <si>
    <t>Desai</t>
  </si>
  <si>
    <t>Sunita</t>
  </si>
  <si>
    <t>Ranganathan</t>
  </si>
  <si>
    <t>Jyoti</t>
  </si>
  <si>
    <t>Khanna</t>
  </si>
  <si>
    <t>Rajesh</t>
  </si>
  <si>
    <t>Gupta</t>
  </si>
  <si>
    <t>Varun</t>
  </si>
  <si>
    <t>Oberoi</t>
  </si>
  <si>
    <t>Dinesh</t>
  </si>
  <si>
    <t>Bhatnagar</t>
  </si>
  <si>
    <t>Ritu</t>
  </si>
  <si>
    <t>Bajaj</t>
  </si>
  <si>
    <t>Prakash</t>
  </si>
  <si>
    <t>Sengupta</t>
  </si>
  <si>
    <t>Siddharth</t>
  </si>
  <si>
    <t>Krishnamurthy</t>
  </si>
  <si>
    <t>Anita</t>
  </si>
  <si>
    <t>Malhotra</t>
  </si>
  <si>
    <t>Namrata</t>
  </si>
  <si>
    <t>Iyer</t>
  </si>
  <si>
    <t>Manish</t>
  </si>
  <si>
    <t>Agarwal</t>
  </si>
  <si>
    <t>Assignment Questions</t>
  </si>
  <si>
    <t>For Age wise Analysis</t>
  </si>
  <si>
    <t>1. Find out age of the all the people.</t>
  </si>
  <si>
    <t>2. Complete the Full name column</t>
  </si>
  <si>
    <t>3. Do the Analysis using FIlter and Sort and come up with the insights (4 atleast)</t>
  </si>
  <si>
    <t>4. You can use conditional formating and find out 2 insights</t>
  </si>
  <si>
    <t>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</si>
</sst>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 * #,##0.00_ ;_ * \-#,##0.00_ ;_ * &quot;-&quot;??_ ;_ @_ "/>
  </numFmts>
  <fonts count="7" x14ac:knownFonts="1">
    <font>
      <sz val="11"/>
      <color theme="1"/>
      <name val="Calibri"/>
      <scheme val="minor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sz val="11"/>
      <color theme="1"/>
      <name val="Calibri"/>
      <family val="2"/>
      <scheme val="minor"/>
    </font>
    <font>
      <sz val="11"/>
      <color rgb="FF000000"/>
      <name val="Calibri"/>
      <family val="2"/>
    </font>
    <font>
      <b/>
      <sz val="11"/>
      <color rgb="FF000000"/>
      <name val="Calibri"/>
      <family val="2"/>
    </font>
    <font>
      <sz val="12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11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/>
      <diagonal/>
    </border>
    <border>
      <left style="medium">
        <color rgb="FFCCCCCC"/>
      </left>
      <right/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/>
      <bottom style="medium">
        <color rgb="FFCCCCCC"/>
      </bottom>
      <diagonal/>
    </border>
  </borders>
  <cellStyleXfs count="1">
    <xf numFmtId="0" fontId="0" fillId="0" borderId="0"/>
  </cellStyleXfs>
  <cellXfs count="56">
    <xf numFmtId="0" fontId="0" fillId="0" borderId="0" xfId="0"/>
    <xf numFmtId="0" fontId="1" fillId="0" borderId="0" xfId="0" applyFont="1"/>
    <xf numFmtId="0" fontId="2" fillId="2" borderId="1" xfId="0" applyFont="1" applyFill="1" applyBorder="1"/>
    <xf numFmtId="0" fontId="2" fillId="0" borderId="1" xfId="0" applyFont="1" applyBorder="1"/>
    <xf numFmtId="3" fontId="2" fillId="0" borderId="1" xfId="0" applyNumberFormat="1" applyFont="1" applyBorder="1"/>
    <xf numFmtId="2" fontId="2" fillId="0" borderId="1" xfId="0" applyNumberFormat="1" applyFont="1" applyBorder="1"/>
    <xf numFmtId="0" fontId="2" fillId="0" borderId="1" xfId="0" applyFont="1" applyBorder="1" applyAlignment="1">
      <alignment horizontal="left" vertical="center"/>
    </xf>
    <xf numFmtId="3" fontId="2" fillId="0" borderId="1" xfId="0" applyNumberFormat="1" applyFont="1" applyBorder="1" applyAlignment="1">
      <alignment horizontal="left" vertical="center"/>
    </xf>
    <xf numFmtId="2" fontId="2" fillId="0" borderId="1" xfId="0" applyNumberFormat="1" applyFont="1" applyBorder="1" applyAlignment="1">
      <alignment horizontal="left" vertical="center"/>
    </xf>
    <xf numFmtId="3" fontId="3" fillId="0" borderId="0" xfId="0" applyNumberFormat="1" applyFont="1"/>
    <xf numFmtId="0" fontId="2" fillId="2" borderId="2" xfId="0" applyFont="1" applyFill="1" applyBorder="1"/>
    <xf numFmtId="0" fontId="3" fillId="0" borderId="0" xfId="0" applyFont="1"/>
    <xf numFmtId="0" fontId="4" fillId="0" borderId="0" xfId="0" applyFont="1"/>
    <xf numFmtId="0" fontId="5" fillId="0" borderId="0" xfId="0" applyFont="1"/>
    <xf numFmtId="0" fontId="4" fillId="2" borderId="1" xfId="0" applyFont="1" applyFill="1" applyBorder="1"/>
    <xf numFmtId="0" fontId="4" fillId="0" borderId="3" xfId="0" applyFont="1" applyBorder="1" applyAlignment="1">
      <alignment horizontal="left"/>
    </xf>
    <xf numFmtId="0" fontId="4" fillId="2" borderId="4" xfId="0" applyFont="1" applyFill="1" applyBorder="1"/>
    <xf numFmtId="0" fontId="4" fillId="0" borderId="5" xfId="0" applyFont="1" applyBorder="1" applyAlignment="1">
      <alignment horizontal="left"/>
    </xf>
    <xf numFmtId="3" fontId="4" fillId="0" borderId="5" xfId="0" applyNumberFormat="1" applyFont="1" applyBorder="1" applyAlignment="1">
      <alignment horizontal="left"/>
    </xf>
    <xf numFmtId="0" fontId="4" fillId="2" borderId="1" xfId="0" applyFont="1" applyFill="1" applyBorder="1" applyAlignment="1">
      <alignment horizontal="left" vertical="top"/>
    </xf>
    <xf numFmtId="0" fontId="4" fillId="0" borderId="3" xfId="0" applyFont="1" applyBorder="1" applyAlignment="1">
      <alignment horizontal="left" vertical="top"/>
    </xf>
    <xf numFmtId="0" fontId="4" fillId="2" borderId="4" xfId="0" applyFont="1" applyFill="1" applyBorder="1" applyAlignment="1">
      <alignment vertical="top"/>
    </xf>
    <xf numFmtId="0" fontId="4" fillId="0" borderId="5" xfId="0" applyFont="1" applyBorder="1" applyAlignment="1">
      <alignment horizontal="left" vertical="top"/>
    </xf>
    <xf numFmtId="4" fontId="4" fillId="0" borderId="5" xfId="0" applyNumberFormat="1" applyFont="1" applyBorder="1" applyAlignment="1">
      <alignment horizontal="left" vertical="top"/>
    </xf>
    <xf numFmtId="0" fontId="4" fillId="0" borderId="5" xfId="0" applyFont="1" applyBorder="1"/>
    <xf numFmtId="9" fontId="2" fillId="0" borderId="1" xfId="0" applyNumberFormat="1" applyFont="1" applyBorder="1"/>
    <xf numFmtId="10" fontId="2" fillId="0" borderId="1" xfId="0" applyNumberFormat="1" applyFont="1" applyBorder="1"/>
    <xf numFmtId="1" fontId="2" fillId="0" borderId="1" xfId="0" applyNumberFormat="1" applyFont="1" applyBorder="1"/>
    <xf numFmtId="10" fontId="2" fillId="0" borderId="0" xfId="0" applyNumberFormat="1" applyFont="1"/>
    <xf numFmtId="43" fontId="2" fillId="0" borderId="1" xfId="0" applyNumberFormat="1" applyFont="1" applyBorder="1"/>
    <xf numFmtId="0" fontId="1" fillId="2" borderId="6" xfId="0" applyFont="1" applyFill="1" applyBorder="1" applyAlignment="1">
      <alignment wrapText="1"/>
    </xf>
    <xf numFmtId="0" fontId="1" fillId="2" borderId="6" xfId="0" applyFont="1" applyFill="1" applyBorder="1" applyAlignment="1">
      <alignment horizontal="center" wrapText="1"/>
    </xf>
    <xf numFmtId="0" fontId="1" fillId="2" borderId="7" xfId="0" applyFont="1" applyFill="1" applyBorder="1" applyAlignment="1">
      <alignment horizontal="center" wrapText="1"/>
    </xf>
    <xf numFmtId="0" fontId="2" fillId="0" borderId="6" xfId="0" applyFont="1" applyBorder="1" applyAlignment="1">
      <alignment wrapText="1"/>
    </xf>
    <xf numFmtId="0" fontId="2" fillId="0" borderId="6" xfId="0" applyFont="1" applyBorder="1" applyAlignment="1">
      <alignment horizontal="center" wrapText="1"/>
    </xf>
    <xf numFmtId="0" fontId="2" fillId="0" borderId="6" xfId="0" applyFont="1" applyBorder="1" applyAlignment="1">
      <alignment horizontal="right" wrapText="1"/>
    </xf>
    <xf numFmtId="14" fontId="2" fillId="0" borderId="6" xfId="0" applyNumberFormat="1" applyFont="1" applyBorder="1" applyAlignment="1">
      <alignment horizontal="right" wrapText="1"/>
    </xf>
    <xf numFmtId="14" fontId="6" fillId="0" borderId="0" xfId="0" applyNumberFormat="1" applyFont="1" applyAlignment="1">
      <alignment horizontal="left" vertical="center"/>
    </xf>
    <xf numFmtId="14" fontId="2" fillId="0" borderId="0" xfId="0" applyNumberFormat="1" applyFont="1"/>
    <xf numFmtId="0" fontId="2" fillId="0" borderId="8" xfId="0" applyFont="1" applyBorder="1" applyAlignment="1">
      <alignment horizontal="center" wrapText="1"/>
    </xf>
    <xf numFmtId="0" fontId="2" fillId="0" borderId="8" xfId="0" applyFont="1" applyBorder="1" applyAlignment="1">
      <alignment horizontal="right" wrapText="1"/>
    </xf>
    <xf numFmtId="14" fontId="2" fillId="0" borderId="8" xfId="0" applyNumberFormat="1" applyFont="1" applyBorder="1" applyAlignment="1">
      <alignment horizontal="right" wrapText="1"/>
    </xf>
    <xf numFmtId="0" fontId="2" fillId="0" borderId="9" xfId="0" applyFont="1" applyBorder="1" applyAlignment="1">
      <alignment wrapText="1"/>
    </xf>
    <xf numFmtId="0" fontId="2" fillId="0" borderId="0" xfId="0" applyFont="1" applyAlignment="1">
      <alignment horizontal="center" wrapText="1"/>
    </xf>
    <xf numFmtId="0" fontId="2" fillId="0" borderId="0" xfId="0" applyFont="1" applyAlignment="1">
      <alignment horizontal="right" wrapText="1"/>
    </xf>
    <xf numFmtId="14" fontId="2" fillId="0" borderId="0" xfId="0" applyNumberFormat="1" applyFont="1" applyAlignment="1">
      <alignment horizontal="right" wrapText="1"/>
    </xf>
    <xf numFmtId="0" fontId="2" fillId="0" borderId="10" xfId="0" applyFont="1" applyBorder="1" applyAlignment="1">
      <alignment horizontal="center" wrapText="1"/>
    </xf>
    <xf numFmtId="0" fontId="2" fillId="0" borderId="10" xfId="0" applyFont="1" applyBorder="1" applyAlignment="1">
      <alignment horizontal="right" wrapText="1"/>
    </xf>
    <xf numFmtId="14" fontId="2" fillId="0" borderId="10" xfId="0" applyNumberFormat="1" applyFont="1" applyBorder="1" applyAlignment="1">
      <alignment horizontal="right" wrapText="1"/>
    </xf>
    <xf numFmtId="10" fontId="3" fillId="0" borderId="0" xfId="0" applyNumberFormat="1" applyFont="1"/>
    <xf numFmtId="1" fontId="0" fillId="0" borderId="0" xfId="0" applyNumberFormat="1"/>
    <xf numFmtId="14" fontId="0" fillId="0" borderId="0" xfId="0" applyNumberFormat="1"/>
    <xf numFmtId="14" fontId="0" fillId="0" borderId="0" xfId="0" applyNumberFormat="1" applyAlignment="1">
      <alignment horizontal="left"/>
    </xf>
    <xf numFmtId="0" fontId="2" fillId="0" borderId="0" xfId="0" applyFont="1" applyBorder="1" applyAlignment="1">
      <alignment horizontal="center" wrapText="1"/>
    </xf>
    <xf numFmtId="0" fontId="2" fillId="0" borderId="0" xfId="0" applyFont="1" applyBorder="1" applyAlignment="1">
      <alignment horizontal="right" wrapText="1"/>
    </xf>
    <xf numFmtId="14" fontId="2" fillId="0" borderId="0" xfId="0" applyNumberFormat="1" applyFont="1" applyBorder="1" applyAlignment="1">
      <alignment horizontal="righ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comments1.xml.rels><?xml version="1.0" encoding="UTF-8" standalone="yes"?>
<Relationships xmlns="http://schemas.openxmlformats.org/package/2006/relationships"><Relationship Id="rId1" Type="http://customschemas.google.com/relationships/workbookmetadata" Target="commentsmeta0"/></Relationships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12" Type="http://customschemas.google.com/relationships/workbookmetadata" Target="metadata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000"/>
  <sheetViews>
    <sheetView workbookViewId="0">
      <selection activeCell="B39" sqref="B39"/>
    </sheetView>
  </sheetViews>
  <sheetFormatPr defaultColWidth="14.44140625" defaultRowHeight="15" customHeight="1" x14ac:dyDescent="0.3"/>
  <cols>
    <col min="1" max="1" width="13.33203125" customWidth="1"/>
    <col min="2" max="2" width="17.33203125" customWidth="1"/>
    <col min="3" max="3" width="19.88671875" customWidth="1"/>
    <col min="4" max="4" width="12.88671875" customWidth="1"/>
    <col min="5" max="5" width="14.6640625" customWidth="1"/>
    <col min="6" max="6" width="12" bestFit="1" customWidth="1"/>
    <col min="7" max="7" width="20.33203125" customWidth="1"/>
    <col min="8" max="8" width="26.109375" customWidth="1"/>
    <col min="9" max="9" width="21.88671875" customWidth="1"/>
    <col min="10" max="10" width="18.44140625" customWidth="1"/>
    <col min="11" max="11" width="21.6640625" customWidth="1"/>
    <col min="12" max="26" width="8.6640625" customWidth="1"/>
  </cols>
  <sheetData>
    <row r="1" spans="1:8" ht="14.4" x14ac:dyDescent="0.3">
      <c r="A1" s="1" t="s">
        <v>0</v>
      </c>
    </row>
    <row r="2" spans="1:8" ht="14.4" x14ac:dyDescent="0.3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</row>
    <row r="3" spans="1:8" ht="14.4" x14ac:dyDescent="0.3">
      <c r="A3" s="3" t="s">
        <v>6</v>
      </c>
      <c r="B3" s="3" t="s">
        <v>7</v>
      </c>
      <c r="C3" s="3" t="s">
        <v>8</v>
      </c>
      <c r="D3" s="4">
        <v>120000</v>
      </c>
      <c r="E3" s="5">
        <v>15</v>
      </c>
    </row>
    <row r="4" spans="1:8" ht="14.4" x14ac:dyDescent="0.3">
      <c r="A4" s="3" t="s">
        <v>9</v>
      </c>
      <c r="B4" s="3" t="s">
        <v>10</v>
      </c>
      <c r="C4" s="3" t="s">
        <v>11</v>
      </c>
      <c r="D4" s="4">
        <v>100000</v>
      </c>
      <c r="E4" s="5">
        <v>2</v>
      </c>
    </row>
    <row r="5" spans="1:8" ht="14.4" x14ac:dyDescent="0.3">
      <c r="A5" s="3" t="s">
        <v>12</v>
      </c>
      <c r="B5" s="3" t="s">
        <v>13</v>
      </c>
      <c r="C5" s="3" t="s">
        <v>14</v>
      </c>
      <c r="D5" s="4">
        <v>90000</v>
      </c>
      <c r="E5" s="5">
        <v>4</v>
      </c>
    </row>
    <row r="6" spans="1:8" ht="14.4" x14ac:dyDescent="0.3">
      <c r="A6" s="3" t="s">
        <v>15</v>
      </c>
      <c r="B6" s="3" t="s">
        <v>16</v>
      </c>
      <c r="C6" s="3" t="s">
        <v>17</v>
      </c>
      <c r="D6" s="4">
        <v>80000</v>
      </c>
      <c r="E6" s="5">
        <v>3</v>
      </c>
    </row>
    <row r="7" spans="1:8" ht="14.4" x14ac:dyDescent="0.3">
      <c r="A7" s="3" t="s">
        <v>18</v>
      </c>
      <c r="B7" s="3" t="s">
        <v>19</v>
      </c>
      <c r="C7" s="3" t="s">
        <v>20</v>
      </c>
      <c r="D7" s="4">
        <v>70000</v>
      </c>
      <c r="E7" s="5">
        <v>0</v>
      </c>
    </row>
    <row r="8" spans="1:8" ht="14.4" x14ac:dyDescent="0.3">
      <c r="A8" s="3" t="s">
        <v>21</v>
      </c>
      <c r="B8" s="3" t="s">
        <v>22</v>
      </c>
      <c r="C8" s="3" t="s">
        <v>23</v>
      </c>
      <c r="D8" s="4">
        <v>76000</v>
      </c>
      <c r="E8" s="5">
        <v>2</v>
      </c>
    </row>
    <row r="9" spans="1:8" ht="14.4" x14ac:dyDescent="0.3">
      <c r="A9" s="3" t="s">
        <v>24</v>
      </c>
      <c r="B9" s="3" t="s">
        <v>25</v>
      </c>
      <c r="C9" s="3" t="s">
        <v>26</v>
      </c>
      <c r="D9" s="4">
        <v>84000</v>
      </c>
      <c r="E9" s="5">
        <v>6</v>
      </c>
    </row>
    <row r="10" spans="1:8" ht="14.4" x14ac:dyDescent="0.3">
      <c r="A10" s="3" t="s">
        <v>27</v>
      </c>
      <c r="B10" s="3" t="s">
        <v>28</v>
      </c>
      <c r="C10" s="3" t="s">
        <v>29</v>
      </c>
      <c r="D10" s="4">
        <v>96000</v>
      </c>
      <c r="E10" s="5">
        <v>6</v>
      </c>
    </row>
    <row r="11" spans="1:8" ht="14.4" x14ac:dyDescent="0.3">
      <c r="A11" s="3" t="s">
        <v>30</v>
      </c>
      <c r="B11" s="3" t="s">
        <v>31</v>
      </c>
      <c r="C11" s="3" t="s">
        <v>32</v>
      </c>
      <c r="D11" s="4">
        <v>92000</v>
      </c>
      <c r="E11" s="5">
        <v>8</v>
      </c>
    </row>
    <row r="12" spans="1:8" ht="14.4" x14ac:dyDescent="0.3">
      <c r="A12" s="3" t="s">
        <v>33</v>
      </c>
      <c r="B12" s="3" t="s">
        <v>34</v>
      </c>
      <c r="C12" s="3" t="s">
        <v>35</v>
      </c>
      <c r="D12" s="4">
        <v>110000</v>
      </c>
      <c r="E12" s="5">
        <v>9</v>
      </c>
    </row>
    <row r="15" spans="1:8" ht="14.4" x14ac:dyDescent="0.3">
      <c r="A15" s="1" t="s">
        <v>36</v>
      </c>
      <c r="G15" s="1" t="s">
        <v>37</v>
      </c>
    </row>
    <row r="16" spans="1:8" ht="14.4" x14ac:dyDescent="0.3">
      <c r="A16" s="2" t="s">
        <v>1</v>
      </c>
      <c r="B16" s="2" t="s">
        <v>4</v>
      </c>
      <c r="G16" s="2" t="s">
        <v>2</v>
      </c>
      <c r="H16" s="2" t="s">
        <v>1</v>
      </c>
    </row>
    <row r="17" spans="1:11" ht="14.4" x14ac:dyDescent="0.3">
      <c r="A17" s="3" t="s">
        <v>6</v>
      </c>
      <c r="B17" s="4" t="e">
        <f t="shared" ref="B17:B26" ca="1" si="0">XLOOKUP(A17,$A$3:$A$12,$D$3:$D$12)</f>
        <v>#NAME?</v>
      </c>
      <c r="G17" s="3" t="s">
        <v>7</v>
      </c>
      <c r="H17" s="3" t="e">
        <f t="shared" ref="H17:H26" ca="1" si="1">XLOOKUP(G17,$B$3:$B$12,$A$3:$A$12)</f>
        <v>#NAME?</v>
      </c>
    </row>
    <row r="18" spans="1:11" ht="14.4" x14ac:dyDescent="0.3">
      <c r="A18" s="3" t="s">
        <v>9</v>
      </c>
      <c r="B18" s="4" t="e">
        <f t="shared" ca="1" si="0"/>
        <v>#NAME?</v>
      </c>
      <c r="G18" s="3" t="s">
        <v>10</v>
      </c>
      <c r="H18" s="3" t="e">
        <f t="shared" ca="1" si="1"/>
        <v>#NAME?</v>
      </c>
    </row>
    <row r="19" spans="1:11" ht="14.4" x14ac:dyDescent="0.3">
      <c r="A19" s="3" t="s">
        <v>12</v>
      </c>
      <c r="B19" s="4" t="e">
        <f t="shared" ca="1" si="0"/>
        <v>#NAME?</v>
      </c>
      <c r="G19" s="3" t="s">
        <v>13</v>
      </c>
      <c r="H19" s="3" t="e">
        <f t="shared" ca="1" si="1"/>
        <v>#NAME?</v>
      </c>
    </row>
    <row r="20" spans="1:11" ht="14.4" x14ac:dyDescent="0.3">
      <c r="A20" s="3" t="s">
        <v>15</v>
      </c>
      <c r="B20" s="4" t="e">
        <f t="shared" ca="1" si="0"/>
        <v>#NAME?</v>
      </c>
      <c r="G20" s="3" t="s">
        <v>16</v>
      </c>
      <c r="H20" s="3" t="e">
        <f t="shared" ca="1" si="1"/>
        <v>#NAME?</v>
      </c>
    </row>
    <row r="21" spans="1:11" ht="15.75" customHeight="1" x14ac:dyDescent="0.3">
      <c r="A21" s="3" t="s">
        <v>18</v>
      </c>
      <c r="B21" s="4" t="e">
        <f t="shared" ca="1" si="0"/>
        <v>#NAME?</v>
      </c>
      <c r="G21" s="3" t="s">
        <v>19</v>
      </c>
      <c r="H21" s="3" t="e">
        <f t="shared" ca="1" si="1"/>
        <v>#NAME?</v>
      </c>
    </row>
    <row r="22" spans="1:11" ht="15.75" customHeight="1" x14ac:dyDescent="0.3">
      <c r="A22" s="3" t="s">
        <v>21</v>
      </c>
      <c r="B22" s="4" t="e">
        <f t="shared" ca="1" si="0"/>
        <v>#NAME?</v>
      </c>
      <c r="G22" s="3" t="s">
        <v>22</v>
      </c>
      <c r="H22" s="3" t="e">
        <f t="shared" ca="1" si="1"/>
        <v>#NAME?</v>
      </c>
    </row>
    <row r="23" spans="1:11" ht="15.75" customHeight="1" x14ac:dyDescent="0.3">
      <c r="A23" s="3" t="s">
        <v>24</v>
      </c>
      <c r="B23" s="4" t="e">
        <f t="shared" ca="1" si="0"/>
        <v>#NAME?</v>
      </c>
      <c r="G23" s="3" t="s">
        <v>25</v>
      </c>
      <c r="H23" s="3" t="e">
        <f t="shared" ca="1" si="1"/>
        <v>#NAME?</v>
      </c>
    </row>
    <row r="24" spans="1:11" ht="15.75" customHeight="1" x14ac:dyDescent="0.3">
      <c r="A24" s="3" t="s">
        <v>27</v>
      </c>
      <c r="B24" s="4" t="e">
        <f t="shared" ca="1" si="0"/>
        <v>#NAME?</v>
      </c>
      <c r="G24" s="3" t="s">
        <v>28</v>
      </c>
      <c r="H24" s="3" t="e">
        <f t="shared" ca="1" si="1"/>
        <v>#NAME?</v>
      </c>
    </row>
    <row r="25" spans="1:11" ht="15.75" customHeight="1" x14ac:dyDescent="0.3">
      <c r="A25" s="3" t="s">
        <v>30</v>
      </c>
      <c r="B25" s="4" t="e">
        <f t="shared" ca="1" si="0"/>
        <v>#NAME?</v>
      </c>
      <c r="G25" s="3" t="s">
        <v>31</v>
      </c>
      <c r="H25" s="3" t="e">
        <f t="shared" ca="1" si="1"/>
        <v>#NAME?</v>
      </c>
    </row>
    <row r="26" spans="1:11" ht="15.75" customHeight="1" x14ac:dyDescent="0.3">
      <c r="A26" s="3" t="s">
        <v>33</v>
      </c>
      <c r="B26" s="4" t="e">
        <f t="shared" ca="1" si="0"/>
        <v>#NAME?</v>
      </c>
      <c r="G26" s="3" t="s">
        <v>34</v>
      </c>
      <c r="H26" s="3" t="e">
        <f t="shared" ca="1" si="1"/>
        <v>#NAME?</v>
      </c>
    </row>
    <row r="27" spans="1:11" ht="15.75" customHeight="1" x14ac:dyDescent="0.3"/>
    <row r="28" spans="1:11" ht="15.75" customHeight="1" x14ac:dyDescent="0.3"/>
    <row r="29" spans="1:11" ht="15.75" customHeight="1" x14ac:dyDescent="0.3"/>
    <row r="30" spans="1:11" ht="15.75" customHeight="1" x14ac:dyDescent="0.3">
      <c r="A30" s="1" t="s">
        <v>38</v>
      </c>
    </row>
    <row r="31" spans="1:11" ht="15.75" customHeight="1" x14ac:dyDescent="0.3">
      <c r="A31" s="2" t="s">
        <v>1</v>
      </c>
      <c r="B31" s="6" t="s">
        <v>6</v>
      </c>
      <c r="C31" s="6" t="s">
        <v>9</v>
      </c>
      <c r="D31" s="6" t="s">
        <v>12</v>
      </c>
      <c r="E31" s="6" t="s">
        <v>15</v>
      </c>
      <c r="F31" s="6" t="s">
        <v>18</v>
      </c>
      <c r="G31" s="6" t="s">
        <v>21</v>
      </c>
      <c r="H31" s="6" t="s">
        <v>24</v>
      </c>
      <c r="I31" s="6" t="s">
        <v>27</v>
      </c>
      <c r="J31" s="6" t="s">
        <v>30</v>
      </c>
      <c r="K31" s="6" t="s">
        <v>33</v>
      </c>
    </row>
    <row r="32" spans="1:11" ht="15.75" customHeight="1" x14ac:dyDescent="0.3">
      <c r="A32" s="2" t="s">
        <v>2</v>
      </c>
      <c r="B32" s="6" t="s">
        <v>7</v>
      </c>
      <c r="C32" s="6" t="s">
        <v>10</v>
      </c>
      <c r="D32" s="6" t="s">
        <v>13</v>
      </c>
      <c r="E32" s="6" t="s">
        <v>16</v>
      </c>
      <c r="F32" s="6" t="s">
        <v>19</v>
      </c>
      <c r="G32" s="6" t="s">
        <v>22</v>
      </c>
      <c r="H32" s="6" t="s">
        <v>25</v>
      </c>
      <c r="I32" s="6" t="s">
        <v>28</v>
      </c>
      <c r="J32" s="6" t="s">
        <v>31</v>
      </c>
      <c r="K32" s="6" t="s">
        <v>34</v>
      </c>
    </row>
    <row r="33" spans="1:11" ht="15.75" customHeight="1" x14ac:dyDescent="0.3">
      <c r="A33" s="2" t="s">
        <v>3</v>
      </c>
      <c r="B33" s="6" t="s">
        <v>8</v>
      </c>
      <c r="C33" s="6" t="s">
        <v>11</v>
      </c>
      <c r="D33" s="6" t="s">
        <v>14</v>
      </c>
      <c r="E33" s="6" t="s">
        <v>17</v>
      </c>
      <c r="F33" s="6" t="s">
        <v>20</v>
      </c>
      <c r="G33" s="6" t="s">
        <v>23</v>
      </c>
      <c r="H33" s="6" t="s">
        <v>26</v>
      </c>
      <c r="I33" s="6" t="s">
        <v>29</v>
      </c>
      <c r="J33" s="6" t="s">
        <v>32</v>
      </c>
      <c r="K33" s="6" t="s">
        <v>35</v>
      </c>
    </row>
    <row r="34" spans="1:11" ht="15.75" customHeight="1" x14ac:dyDescent="0.3">
      <c r="A34" s="2" t="s">
        <v>4</v>
      </c>
      <c r="B34" s="7">
        <v>120000</v>
      </c>
      <c r="C34" s="7">
        <v>100000</v>
      </c>
      <c r="D34" s="7">
        <v>90000</v>
      </c>
      <c r="E34" s="7">
        <v>80000</v>
      </c>
      <c r="F34" s="7">
        <v>70000</v>
      </c>
      <c r="G34" s="7">
        <v>76000</v>
      </c>
      <c r="H34" s="7">
        <v>84000</v>
      </c>
      <c r="I34" s="7">
        <v>96000</v>
      </c>
      <c r="J34" s="7">
        <v>92000</v>
      </c>
      <c r="K34" s="7">
        <v>110000</v>
      </c>
    </row>
    <row r="35" spans="1:11" ht="15.75" customHeight="1" x14ac:dyDescent="0.3">
      <c r="A35" s="2" t="s">
        <v>5</v>
      </c>
      <c r="B35" s="8">
        <v>15</v>
      </c>
      <c r="C35" s="8">
        <v>2</v>
      </c>
      <c r="D35" s="8">
        <v>4</v>
      </c>
      <c r="E35" s="8">
        <v>3</v>
      </c>
      <c r="F35" s="8">
        <v>0</v>
      </c>
      <c r="G35" s="8">
        <v>2</v>
      </c>
      <c r="H35" s="8">
        <v>6</v>
      </c>
      <c r="I35" s="8">
        <v>6</v>
      </c>
      <c r="J35" s="8">
        <v>8</v>
      </c>
      <c r="K35" s="8">
        <v>9</v>
      </c>
    </row>
    <row r="36" spans="1:11" ht="15.75" customHeight="1" x14ac:dyDescent="0.3"/>
    <row r="37" spans="1:11" ht="15.75" customHeight="1" x14ac:dyDescent="0.3"/>
    <row r="38" spans="1:11" ht="15.75" customHeight="1" x14ac:dyDescent="0.3">
      <c r="A38" s="2" t="s">
        <v>1</v>
      </c>
      <c r="B38" s="6" t="s">
        <v>6</v>
      </c>
      <c r="C38" s="6" t="s">
        <v>9</v>
      </c>
      <c r="D38" s="6" t="s">
        <v>12</v>
      </c>
      <c r="E38" s="6" t="s">
        <v>15</v>
      </c>
      <c r="F38" s="6" t="s">
        <v>18</v>
      </c>
      <c r="G38" s="6" t="s">
        <v>21</v>
      </c>
      <c r="H38" s="6" t="s">
        <v>24</v>
      </c>
      <c r="I38" s="6" t="s">
        <v>27</v>
      </c>
      <c r="J38" s="6" t="s">
        <v>30</v>
      </c>
      <c r="K38" s="6" t="s">
        <v>33</v>
      </c>
    </row>
    <row r="39" spans="1:11" ht="15.75" customHeight="1" x14ac:dyDescent="0.3">
      <c r="A39" s="2" t="s">
        <v>4</v>
      </c>
      <c r="B39" s="9" t="e">
        <f t="shared" ref="B39:K39" ca="1" si="2">XLOOKUP(B38,$B$31:$K$31,$B$34:$K$34)</f>
        <v>#NAME?</v>
      </c>
      <c r="C39" s="9" t="e">
        <f t="shared" ca="1" si="2"/>
        <v>#NAME?</v>
      </c>
      <c r="D39" s="9" t="e">
        <f t="shared" ca="1" si="2"/>
        <v>#NAME?</v>
      </c>
      <c r="E39" s="9" t="e">
        <f t="shared" ca="1" si="2"/>
        <v>#NAME?</v>
      </c>
      <c r="F39" s="9" t="e">
        <f t="shared" ca="1" si="2"/>
        <v>#NAME?</v>
      </c>
      <c r="G39" s="9" t="e">
        <f t="shared" ca="1" si="2"/>
        <v>#NAME?</v>
      </c>
      <c r="H39" s="9" t="e">
        <f t="shared" ca="1" si="2"/>
        <v>#NAME?</v>
      </c>
      <c r="I39" s="9" t="e">
        <f t="shared" ca="1" si="2"/>
        <v>#NAME?</v>
      </c>
      <c r="J39" s="9" t="e">
        <f t="shared" ca="1" si="2"/>
        <v>#NAME?</v>
      </c>
      <c r="K39" s="9" t="e">
        <f t="shared" ca="1" si="2"/>
        <v>#NAME?</v>
      </c>
    </row>
    <row r="40" spans="1:11" ht="15.75" customHeight="1" x14ac:dyDescent="0.3"/>
    <row r="41" spans="1:11" ht="15.75" customHeight="1" x14ac:dyDescent="0.3"/>
    <row r="42" spans="1:11" ht="15.75" customHeight="1" x14ac:dyDescent="0.3">
      <c r="A42" s="1" t="s">
        <v>39</v>
      </c>
    </row>
    <row r="43" spans="1:11" ht="15.75" customHeight="1" x14ac:dyDescent="0.3">
      <c r="A43" s="2" t="s">
        <v>1</v>
      </c>
      <c r="B43" s="2" t="s">
        <v>2</v>
      </c>
      <c r="C43" s="2" t="s">
        <v>3</v>
      </c>
      <c r="D43" s="2" t="s">
        <v>4</v>
      </c>
      <c r="E43" s="2" t="s">
        <v>5</v>
      </c>
      <c r="F43" s="10" t="s">
        <v>40</v>
      </c>
      <c r="I43" s="1" t="s">
        <v>41</v>
      </c>
    </row>
    <row r="44" spans="1:11" ht="15.75" customHeight="1" x14ac:dyDescent="0.3">
      <c r="A44" s="3" t="s">
        <v>6</v>
      </c>
      <c r="B44" s="3" t="s">
        <v>7</v>
      </c>
      <c r="C44" s="3" t="s">
        <v>8</v>
      </c>
      <c r="D44" s="4">
        <v>120000</v>
      </c>
      <c r="E44" s="5">
        <v>15</v>
      </c>
      <c r="F44" s="49">
        <f>VLOOKUP(A44,'vlookup Table 2'!$A$3:$B$12,2)</f>
        <v>0.05</v>
      </c>
      <c r="I44" s="2" t="s">
        <v>5</v>
      </c>
      <c r="J44" s="2" t="s">
        <v>40</v>
      </c>
    </row>
    <row r="45" spans="1:11" ht="15.75" customHeight="1" x14ac:dyDescent="0.3">
      <c r="A45" s="3" t="s">
        <v>9</v>
      </c>
      <c r="B45" s="3" t="s">
        <v>10</v>
      </c>
      <c r="C45" s="3" t="s">
        <v>11</v>
      </c>
      <c r="D45" s="4">
        <v>100000</v>
      </c>
      <c r="E45" s="5">
        <v>2</v>
      </c>
      <c r="F45" s="49">
        <f>VLOOKUP(A45,'vlookup Table 2'!$A$3:$B$12,2)</f>
        <v>0.03</v>
      </c>
      <c r="I45" s="3">
        <v>0</v>
      </c>
      <c r="J45" s="3">
        <v>2</v>
      </c>
    </row>
    <row r="46" spans="1:11" ht="15.75" customHeight="1" x14ac:dyDescent="0.3">
      <c r="A46" s="3" t="s">
        <v>12</v>
      </c>
      <c r="B46" s="3" t="s">
        <v>13</v>
      </c>
      <c r="C46" s="3" t="s">
        <v>14</v>
      </c>
      <c r="D46" s="4">
        <v>90000</v>
      </c>
      <c r="E46" s="5">
        <v>4</v>
      </c>
      <c r="F46" s="49">
        <f>VLOOKUP(A46,'vlookup Table 2'!$A$3:$B$12,2)</f>
        <v>0.04</v>
      </c>
      <c r="I46" s="3">
        <v>2</v>
      </c>
      <c r="J46" s="3">
        <v>4</v>
      </c>
    </row>
    <row r="47" spans="1:11" ht="15.75" customHeight="1" x14ac:dyDescent="0.3">
      <c r="A47" s="3" t="s">
        <v>15</v>
      </c>
      <c r="B47" s="3" t="s">
        <v>16</v>
      </c>
      <c r="C47" s="3" t="s">
        <v>17</v>
      </c>
      <c r="D47" s="4">
        <v>80000</v>
      </c>
      <c r="E47" s="5">
        <v>3</v>
      </c>
      <c r="F47" s="49">
        <f>VLOOKUP(A47,'vlookup Table 2'!$A$3:$B$12,2)</f>
        <v>3.5000000000000003E-2</v>
      </c>
      <c r="I47" s="3">
        <v>5</v>
      </c>
      <c r="J47" s="3">
        <v>12</v>
      </c>
    </row>
    <row r="48" spans="1:11" ht="15.75" customHeight="1" x14ac:dyDescent="0.3">
      <c r="A48" s="3" t="s">
        <v>18</v>
      </c>
      <c r="B48" s="3" t="s">
        <v>19</v>
      </c>
      <c r="C48" s="3" t="s">
        <v>20</v>
      </c>
      <c r="D48" s="4">
        <v>70000</v>
      </c>
      <c r="E48" s="5">
        <v>0</v>
      </c>
      <c r="F48" s="49">
        <f>VLOOKUP(A48,'vlookup Table 2'!$A$3:$B$12,2)</f>
        <v>0.04</v>
      </c>
      <c r="I48" s="3">
        <v>10</v>
      </c>
      <c r="J48" s="3">
        <v>15</v>
      </c>
    </row>
    <row r="49" spans="1:10" ht="15.75" customHeight="1" x14ac:dyDescent="0.3">
      <c r="A49" s="3" t="s">
        <v>21</v>
      </c>
      <c r="B49" s="3" t="s">
        <v>22</v>
      </c>
      <c r="C49" s="3" t="s">
        <v>23</v>
      </c>
      <c r="D49" s="4">
        <v>76000</v>
      </c>
      <c r="E49" s="5">
        <v>2</v>
      </c>
      <c r="F49" s="49">
        <f>VLOOKUP(A49,'vlookup Table 2'!$A$3:$B$12,2)</f>
        <v>3.5000000000000003E-2</v>
      </c>
      <c r="I49" s="3">
        <v>20</v>
      </c>
      <c r="J49" s="3">
        <v>16</v>
      </c>
    </row>
    <row r="50" spans="1:10" ht="15.75" customHeight="1" x14ac:dyDescent="0.3">
      <c r="A50" s="3" t="s">
        <v>24</v>
      </c>
      <c r="B50" s="3" t="s">
        <v>25</v>
      </c>
      <c r="C50" s="3" t="s">
        <v>26</v>
      </c>
      <c r="D50" s="4">
        <v>84000</v>
      </c>
      <c r="E50" s="5">
        <v>6</v>
      </c>
      <c r="F50" s="49">
        <f>VLOOKUP(A50,'vlookup Table 2'!$A$3:$B$12,2)</f>
        <v>4.4999999999999998E-2</v>
      </c>
    </row>
    <row r="51" spans="1:10" ht="15.75" customHeight="1" x14ac:dyDescent="0.3">
      <c r="A51" s="3" t="s">
        <v>27</v>
      </c>
      <c r="B51" s="3" t="s">
        <v>28</v>
      </c>
      <c r="C51" s="3" t="s">
        <v>29</v>
      </c>
      <c r="D51" s="4">
        <v>96000</v>
      </c>
      <c r="E51" s="5">
        <v>6</v>
      </c>
      <c r="F51" s="49">
        <f>VLOOKUP(A51,'vlookup Table 2'!$A$3:$B$12,2)</f>
        <v>0.03</v>
      </c>
    </row>
    <row r="52" spans="1:10" ht="15.75" customHeight="1" x14ac:dyDescent="0.3">
      <c r="A52" s="3" t="s">
        <v>30</v>
      </c>
      <c r="B52" s="3" t="s">
        <v>31</v>
      </c>
      <c r="C52" s="3" t="s">
        <v>32</v>
      </c>
      <c r="D52" s="4">
        <v>92000</v>
      </c>
      <c r="E52" s="5">
        <v>8</v>
      </c>
      <c r="F52" s="49">
        <f>VLOOKUP(A52,'vlookup Table 2'!$A$3:$B$12,2)</f>
        <v>0.04</v>
      </c>
    </row>
    <row r="53" spans="1:10" ht="15.75" customHeight="1" x14ac:dyDescent="0.3">
      <c r="A53" s="3" t="s">
        <v>33</v>
      </c>
      <c r="B53" s="3" t="s">
        <v>34</v>
      </c>
      <c r="C53" s="3" t="s">
        <v>35</v>
      </c>
      <c r="D53" s="4">
        <v>110000</v>
      </c>
      <c r="E53" s="5">
        <v>9</v>
      </c>
      <c r="F53" s="49">
        <f>VLOOKUP(A53,'vlookup Table 2'!$A$3:$B$12,2)</f>
        <v>0.05</v>
      </c>
    </row>
    <row r="54" spans="1:10" ht="15.75" customHeight="1" x14ac:dyDescent="0.3"/>
    <row r="55" spans="1:10" ht="15.75" customHeight="1" x14ac:dyDescent="0.3"/>
    <row r="56" spans="1:10" ht="15.75" customHeight="1" x14ac:dyDescent="0.3"/>
    <row r="57" spans="1:10" ht="15.75" customHeight="1" x14ac:dyDescent="0.3"/>
    <row r="58" spans="1:10" ht="15.75" customHeight="1" x14ac:dyDescent="0.3"/>
    <row r="59" spans="1:10" ht="15.75" customHeight="1" x14ac:dyDescent="0.3"/>
    <row r="60" spans="1:10" ht="15.75" customHeight="1" x14ac:dyDescent="0.3"/>
    <row r="61" spans="1:10" ht="15.75" customHeight="1" x14ac:dyDescent="0.3"/>
    <row r="62" spans="1:10" ht="15.75" customHeight="1" x14ac:dyDescent="0.3"/>
    <row r="63" spans="1:10" ht="15.75" customHeight="1" x14ac:dyDescent="0.3"/>
    <row r="64" spans="1:10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L17"/>
  <sheetViews>
    <sheetView workbookViewId="0">
      <selection activeCell="K17" sqref="K17"/>
    </sheetView>
  </sheetViews>
  <sheetFormatPr defaultColWidth="14.44140625" defaultRowHeight="15" customHeight="1" x14ac:dyDescent="0.3"/>
  <sheetData>
    <row r="1" spans="1:12" x14ac:dyDescent="0.3">
      <c r="A1" s="12"/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</row>
    <row r="2" spans="1:12" x14ac:dyDescent="0.3">
      <c r="A2" s="13" t="s">
        <v>0</v>
      </c>
      <c r="B2" s="12"/>
      <c r="C2" s="12"/>
      <c r="D2" s="12"/>
      <c r="E2" s="12"/>
      <c r="F2" s="12"/>
      <c r="G2" s="12"/>
      <c r="H2" s="12"/>
      <c r="I2" s="12"/>
      <c r="J2" s="12"/>
      <c r="K2" s="12"/>
      <c r="L2" s="12"/>
    </row>
    <row r="3" spans="1:12" x14ac:dyDescent="0.3">
      <c r="A3" s="14" t="s">
        <v>1</v>
      </c>
      <c r="B3" s="15" t="s">
        <v>6</v>
      </c>
      <c r="C3" s="15" t="s">
        <v>9</v>
      </c>
      <c r="D3" s="15" t="s">
        <v>12</v>
      </c>
      <c r="E3" s="15" t="s">
        <v>15</v>
      </c>
      <c r="F3" s="15" t="s">
        <v>18</v>
      </c>
      <c r="G3" s="15" t="s">
        <v>21</v>
      </c>
      <c r="H3" s="15" t="s">
        <v>24</v>
      </c>
      <c r="I3" s="15" t="s">
        <v>27</v>
      </c>
      <c r="J3" s="15" t="s">
        <v>30</v>
      </c>
      <c r="K3" s="15" t="s">
        <v>33</v>
      </c>
      <c r="L3" s="12"/>
    </row>
    <row r="4" spans="1:12" x14ac:dyDescent="0.3">
      <c r="A4" s="16" t="s">
        <v>2</v>
      </c>
      <c r="B4" s="17" t="s">
        <v>7</v>
      </c>
      <c r="C4" s="17" t="s">
        <v>10</v>
      </c>
      <c r="D4" s="17" t="s">
        <v>13</v>
      </c>
      <c r="E4" s="17" t="s">
        <v>16</v>
      </c>
      <c r="F4" s="17" t="s">
        <v>19</v>
      </c>
      <c r="G4" s="17" t="s">
        <v>22</v>
      </c>
      <c r="H4" s="17" t="s">
        <v>25</v>
      </c>
      <c r="I4" s="17" t="s">
        <v>28</v>
      </c>
      <c r="J4" s="17" t="s">
        <v>31</v>
      </c>
      <c r="K4" s="17" t="s">
        <v>34</v>
      </c>
      <c r="L4" s="12"/>
    </row>
    <row r="5" spans="1:12" x14ac:dyDescent="0.3">
      <c r="A5" s="16" t="s">
        <v>3</v>
      </c>
      <c r="B5" s="17" t="s">
        <v>8</v>
      </c>
      <c r="C5" s="17" t="s">
        <v>11</v>
      </c>
      <c r="D5" s="17" t="s">
        <v>14</v>
      </c>
      <c r="E5" s="17" t="s">
        <v>17</v>
      </c>
      <c r="F5" s="17" t="s">
        <v>20</v>
      </c>
      <c r="G5" s="17" t="s">
        <v>23</v>
      </c>
      <c r="H5" s="17" t="s">
        <v>26</v>
      </c>
      <c r="I5" s="17" t="s">
        <v>29</v>
      </c>
      <c r="J5" s="17" t="s">
        <v>32</v>
      </c>
      <c r="K5" s="17" t="s">
        <v>35</v>
      </c>
      <c r="L5" s="12"/>
    </row>
    <row r="6" spans="1:12" x14ac:dyDescent="0.3">
      <c r="A6" s="16" t="s">
        <v>4</v>
      </c>
      <c r="B6" s="17" t="s">
        <v>42</v>
      </c>
      <c r="C6" s="17" t="s">
        <v>43</v>
      </c>
      <c r="D6" s="18">
        <v>90000</v>
      </c>
      <c r="E6" s="18">
        <v>80000</v>
      </c>
      <c r="F6" s="18">
        <v>70000</v>
      </c>
      <c r="G6" s="18">
        <v>76000</v>
      </c>
      <c r="H6" s="18">
        <v>84000</v>
      </c>
      <c r="I6" s="18">
        <v>96000</v>
      </c>
      <c r="J6" s="18">
        <v>92000</v>
      </c>
      <c r="K6" s="17" t="s">
        <v>44</v>
      </c>
      <c r="L6" s="12"/>
    </row>
    <row r="7" spans="1:12" x14ac:dyDescent="0.3">
      <c r="A7" s="16" t="s">
        <v>5</v>
      </c>
      <c r="B7" s="17">
        <v>15</v>
      </c>
      <c r="C7" s="17">
        <v>2</v>
      </c>
      <c r="D7" s="17">
        <v>4</v>
      </c>
      <c r="E7" s="17">
        <v>3</v>
      </c>
      <c r="F7" s="17">
        <v>0</v>
      </c>
      <c r="G7" s="17">
        <v>2</v>
      </c>
      <c r="H7" s="17">
        <v>6</v>
      </c>
      <c r="I7" s="17">
        <v>6</v>
      </c>
      <c r="J7" s="17">
        <v>8</v>
      </c>
      <c r="K7" s="17">
        <v>9</v>
      </c>
      <c r="L7" s="12"/>
    </row>
    <row r="8" spans="1:12" x14ac:dyDescent="0.3">
      <c r="A8" s="12"/>
      <c r="B8" s="12"/>
      <c r="C8" s="12"/>
      <c r="D8" s="12"/>
      <c r="E8" s="12"/>
      <c r="F8" s="12"/>
      <c r="G8" s="12"/>
      <c r="H8" s="12"/>
      <c r="I8" s="12"/>
      <c r="J8" s="12"/>
      <c r="K8" s="12"/>
      <c r="L8" s="12"/>
    </row>
    <row r="9" spans="1:12" x14ac:dyDescent="0.3">
      <c r="A9" s="12"/>
      <c r="B9" s="12"/>
      <c r="C9" s="12"/>
      <c r="D9" s="12"/>
      <c r="E9" s="12"/>
      <c r="F9" s="12"/>
      <c r="G9" s="12"/>
      <c r="H9" s="12"/>
      <c r="I9" s="12"/>
      <c r="J9" s="12"/>
      <c r="K9" s="12"/>
      <c r="L9" s="12"/>
    </row>
    <row r="10" spans="1:12" x14ac:dyDescent="0.3">
      <c r="A10" s="12" t="s">
        <v>36</v>
      </c>
      <c r="B10" s="12"/>
      <c r="C10" s="12"/>
      <c r="D10" s="12"/>
      <c r="E10" s="12"/>
      <c r="F10" s="12"/>
      <c r="G10" s="12"/>
      <c r="H10" s="12"/>
      <c r="I10" s="12"/>
      <c r="J10" s="12"/>
      <c r="K10" s="12"/>
      <c r="L10" s="12"/>
    </row>
    <row r="11" spans="1:12" x14ac:dyDescent="0.3">
      <c r="A11" s="19" t="s">
        <v>1</v>
      </c>
      <c r="B11" s="20" t="s">
        <v>6</v>
      </c>
      <c r="C11" s="20" t="s">
        <v>9</v>
      </c>
      <c r="D11" s="20" t="s">
        <v>12</v>
      </c>
      <c r="E11" s="20" t="s">
        <v>15</v>
      </c>
      <c r="F11" s="20" t="s">
        <v>18</v>
      </c>
      <c r="G11" s="20" t="s">
        <v>21</v>
      </c>
      <c r="H11" s="20" t="s">
        <v>24</v>
      </c>
      <c r="I11" s="20" t="s">
        <v>27</v>
      </c>
      <c r="J11" s="20" t="s">
        <v>30</v>
      </c>
      <c r="K11" s="20" t="s">
        <v>33</v>
      </c>
      <c r="L11" s="12"/>
    </row>
    <row r="12" spans="1:12" x14ac:dyDescent="0.3">
      <c r="A12" s="21" t="s">
        <v>4</v>
      </c>
      <c r="B12" s="22" t="s">
        <v>45</v>
      </c>
      <c r="C12" s="22" t="s">
        <v>46</v>
      </c>
      <c r="D12" s="23">
        <v>90000</v>
      </c>
      <c r="E12" s="23">
        <v>80000</v>
      </c>
      <c r="F12" s="23">
        <v>70000</v>
      </c>
      <c r="G12" s="23">
        <v>76000</v>
      </c>
      <c r="H12" s="23">
        <v>84000</v>
      </c>
      <c r="I12" s="23">
        <v>96000</v>
      </c>
      <c r="J12" s="23">
        <v>92000</v>
      </c>
      <c r="K12" s="22" t="s">
        <v>47</v>
      </c>
      <c r="L12" s="12"/>
    </row>
    <row r="13" spans="1:12" x14ac:dyDescent="0.3">
      <c r="A13" s="16" t="s">
        <v>3</v>
      </c>
      <c r="B13" s="24" t="str">
        <f>HLOOKUP(B11,$B$3:$K$7,3)</f>
        <v>Manager</v>
      </c>
      <c r="C13" s="24" t="str">
        <f t="shared" ref="C13:K13" si="0">HLOOKUP(C11,$B$3:$K$7,3)</f>
        <v>Assistant Manager</v>
      </c>
      <c r="D13" s="24" t="str">
        <f t="shared" si="0"/>
        <v>Engineer</v>
      </c>
      <c r="E13" s="24" t="str">
        <f t="shared" si="0"/>
        <v>Analyst</v>
      </c>
      <c r="F13" s="24" t="str">
        <f t="shared" si="0"/>
        <v>Technician</v>
      </c>
      <c r="G13" s="24" t="str">
        <f t="shared" si="0"/>
        <v>Sales Representative</v>
      </c>
      <c r="H13" s="24" t="str">
        <f t="shared" si="0"/>
        <v>Designer</v>
      </c>
      <c r="I13" s="24" t="str">
        <f t="shared" si="0"/>
        <v>HR Specialist</v>
      </c>
      <c r="J13" s="24" t="str">
        <f t="shared" si="0"/>
        <v>Accountant</v>
      </c>
      <c r="K13" s="24" t="str">
        <f t="shared" si="0"/>
        <v>Software Developer</v>
      </c>
      <c r="L13" s="12"/>
    </row>
    <row r="14" spans="1:12" x14ac:dyDescent="0.3">
      <c r="A14" s="12"/>
      <c r="B14" s="12"/>
      <c r="C14" s="12"/>
      <c r="D14" s="12"/>
      <c r="E14" s="12"/>
      <c r="F14" s="12"/>
      <c r="G14" s="12"/>
      <c r="H14" s="12"/>
      <c r="I14" s="12"/>
      <c r="J14" s="12"/>
      <c r="K14" s="12"/>
      <c r="L14" s="12"/>
    </row>
    <row r="15" spans="1:12" x14ac:dyDescent="0.3">
      <c r="A15" s="12"/>
      <c r="B15" s="12"/>
      <c r="C15" s="12"/>
      <c r="D15" s="12"/>
      <c r="E15" s="12"/>
      <c r="F15" s="12"/>
      <c r="G15" s="12"/>
      <c r="H15" s="12"/>
      <c r="I15" s="12"/>
      <c r="J15" s="12"/>
      <c r="K15" s="12"/>
      <c r="L15" s="12"/>
    </row>
    <row r="16" spans="1:12" x14ac:dyDescent="0.3">
      <c r="A16" s="12"/>
      <c r="B16" s="12"/>
      <c r="C16" s="12"/>
      <c r="D16" s="12"/>
      <c r="E16" s="12"/>
      <c r="F16" s="12"/>
      <c r="G16" s="12"/>
      <c r="H16" s="12"/>
      <c r="I16" s="12"/>
      <c r="J16" s="12"/>
      <c r="K16" s="12"/>
      <c r="L16" s="12"/>
    </row>
    <row r="17" spans="1:12" x14ac:dyDescent="0.3">
      <c r="A17" s="12"/>
      <c r="B17" s="12"/>
      <c r="C17" s="12"/>
      <c r="D17" s="12"/>
      <c r="E17" s="12"/>
      <c r="F17" s="12"/>
      <c r="G17" s="12"/>
      <c r="H17" s="12"/>
      <c r="I17" s="12"/>
      <c r="J17" s="12"/>
      <c r="K17" s="12"/>
      <c r="L17" s="12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1000"/>
  <sheetViews>
    <sheetView workbookViewId="0"/>
  </sheetViews>
  <sheetFormatPr defaultColWidth="14.44140625" defaultRowHeight="15" customHeight="1" x14ac:dyDescent="0.3"/>
  <cols>
    <col min="1" max="2" width="14.88671875" customWidth="1"/>
    <col min="3" max="26" width="8.6640625" customWidth="1"/>
  </cols>
  <sheetData>
    <row r="1" spans="1:2" ht="14.4" x14ac:dyDescent="0.3">
      <c r="A1" s="1" t="s">
        <v>38</v>
      </c>
    </row>
    <row r="2" spans="1:2" ht="14.4" x14ac:dyDescent="0.3">
      <c r="A2" s="2" t="s">
        <v>1</v>
      </c>
      <c r="B2" s="2" t="s">
        <v>48</v>
      </c>
    </row>
    <row r="3" spans="1:2" ht="14.4" x14ac:dyDescent="0.3">
      <c r="A3" s="3" t="s">
        <v>6</v>
      </c>
      <c r="B3" s="25">
        <v>0.05</v>
      </c>
    </row>
    <row r="4" spans="1:2" ht="14.4" x14ac:dyDescent="0.3">
      <c r="A4" s="3" t="s">
        <v>9</v>
      </c>
      <c r="B4" s="25">
        <v>0.03</v>
      </c>
    </row>
    <row r="5" spans="1:2" ht="14.4" x14ac:dyDescent="0.3">
      <c r="A5" s="3" t="s">
        <v>12</v>
      </c>
      <c r="B5" s="25">
        <v>0.04</v>
      </c>
    </row>
    <row r="6" spans="1:2" ht="14.4" x14ac:dyDescent="0.3">
      <c r="A6" s="3" t="s">
        <v>15</v>
      </c>
      <c r="B6" s="26">
        <v>3.5000000000000003E-2</v>
      </c>
    </row>
    <row r="7" spans="1:2" ht="14.4" x14ac:dyDescent="0.3">
      <c r="A7" s="3" t="s">
        <v>18</v>
      </c>
      <c r="B7" s="25">
        <v>0.04</v>
      </c>
    </row>
    <row r="8" spans="1:2" ht="14.4" x14ac:dyDescent="0.3">
      <c r="A8" s="3" t="s">
        <v>21</v>
      </c>
      <c r="B8" s="26">
        <v>3.5000000000000003E-2</v>
      </c>
    </row>
    <row r="9" spans="1:2" ht="14.4" x14ac:dyDescent="0.3">
      <c r="A9" s="3" t="s">
        <v>24</v>
      </c>
      <c r="B9" s="26">
        <v>4.4999999999999998E-2</v>
      </c>
    </row>
    <row r="10" spans="1:2" ht="14.4" x14ac:dyDescent="0.3">
      <c r="A10" s="3" t="s">
        <v>27</v>
      </c>
      <c r="B10" s="25">
        <v>0.03</v>
      </c>
    </row>
    <row r="11" spans="1:2" ht="14.4" x14ac:dyDescent="0.3">
      <c r="A11" s="3" t="s">
        <v>30</v>
      </c>
      <c r="B11" s="25">
        <v>0.04</v>
      </c>
    </row>
    <row r="12" spans="1:2" ht="14.4" x14ac:dyDescent="0.3">
      <c r="A12" s="3" t="s">
        <v>33</v>
      </c>
      <c r="B12" s="25">
        <v>0.05</v>
      </c>
    </row>
    <row r="21" ht="15.75" customHeight="1" x14ac:dyDescent="0.3"/>
    <row r="22" ht="15.75" customHeight="1" x14ac:dyDescent="0.3"/>
    <row r="23" ht="15.75" customHeight="1" x14ac:dyDescent="0.3"/>
    <row r="24" ht="15.75" customHeight="1" x14ac:dyDescent="0.3"/>
    <row r="25" ht="15.75" customHeight="1" x14ac:dyDescent="0.3"/>
    <row r="26" ht="15.75" customHeight="1" x14ac:dyDescent="0.3"/>
    <row r="27" ht="15.75" customHeight="1" x14ac:dyDescent="0.3"/>
    <row r="28" ht="15.75" customHeight="1" x14ac:dyDescent="0.3"/>
    <row r="29" ht="15.75" customHeight="1" x14ac:dyDescent="0.3"/>
    <row r="30" ht="15.75" customHeight="1" x14ac:dyDescent="0.3"/>
    <row r="31" ht="15.75" customHeight="1" x14ac:dyDescent="0.3"/>
    <row r="32" ht="15.75" customHeight="1" x14ac:dyDescent="0.3"/>
    <row r="33" ht="15.75" customHeight="1" x14ac:dyDescent="0.3"/>
    <row r="34" ht="15.75" customHeight="1" x14ac:dyDescent="0.3"/>
    <row r="35" ht="15.75" customHeight="1" x14ac:dyDescent="0.3"/>
    <row r="36" ht="15.75" customHeight="1" x14ac:dyDescent="0.3"/>
    <row r="37" ht="15.75" customHeight="1" x14ac:dyDescent="0.3"/>
    <row r="38" ht="15.75" customHeight="1" x14ac:dyDescent="0.3"/>
    <row r="39" ht="15.75" customHeight="1" x14ac:dyDescent="0.3"/>
    <row r="40" ht="15.75" customHeight="1" x14ac:dyDescent="0.3"/>
    <row r="41" ht="15.75" customHeight="1" x14ac:dyDescent="0.3"/>
    <row r="42" ht="15.75" customHeight="1" x14ac:dyDescent="0.3"/>
    <row r="43" ht="15.75" customHeight="1" x14ac:dyDescent="0.3"/>
    <row r="44" ht="15.75" customHeight="1" x14ac:dyDescent="0.3"/>
    <row r="45" ht="15.75" customHeight="1" x14ac:dyDescent="0.3"/>
    <row r="46" ht="15.75" customHeight="1" x14ac:dyDescent="0.3"/>
    <row r="47" ht="15.75" customHeight="1" x14ac:dyDescent="0.3"/>
    <row r="48" ht="15.75" customHeight="1" x14ac:dyDescent="0.3"/>
    <row r="49" ht="15.75" customHeight="1" x14ac:dyDescent="0.3"/>
    <row r="50" ht="15.75" customHeight="1" x14ac:dyDescent="0.3"/>
    <row r="51" ht="15.75" customHeight="1" x14ac:dyDescent="0.3"/>
    <row r="52" ht="15.75" customHeight="1" x14ac:dyDescent="0.3"/>
    <row r="53" ht="15.75" customHeight="1" x14ac:dyDescent="0.3"/>
    <row r="54" ht="15.75" customHeight="1" x14ac:dyDescent="0.3"/>
    <row r="55" ht="15.75" customHeight="1" x14ac:dyDescent="0.3"/>
    <row r="56" ht="15.75" customHeight="1" x14ac:dyDescent="0.3"/>
    <row r="57" ht="15.75" customHeight="1" x14ac:dyDescent="0.3"/>
    <row r="58" ht="15.75" customHeight="1" x14ac:dyDescent="0.3"/>
    <row r="59" ht="15.75" customHeight="1" x14ac:dyDescent="0.3"/>
    <row r="60" ht="15.75" customHeight="1" x14ac:dyDescent="0.3"/>
    <row r="61" ht="15.75" customHeight="1" x14ac:dyDescent="0.3"/>
    <row r="62" ht="15.75" customHeight="1" x14ac:dyDescent="0.3"/>
    <row r="63" ht="15.75" customHeight="1" x14ac:dyDescent="0.3"/>
    <row r="64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pageMargins left="0.7" right="0.7" top="0.75" bottom="0.75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L1000"/>
  <sheetViews>
    <sheetView topLeftCell="A30" workbookViewId="0">
      <selection activeCell="G30" sqref="G30"/>
    </sheetView>
  </sheetViews>
  <sheetFormatPr defaultColWidth="14.44140625" defaultRowHeight="15" customHeight="1" x14ac:dyDescent="0.3"/>
  <cols>
    <col min="1" max="1" width="16.88671875" customWidth="1"/>
    <col min="2" max="2" width="26" customWidth="1"/>
    <col min="3" max="3" width="25.109375" customWidth="1"/>
    <col min="4" max="4" width="22.6640625" customWidth="1"/>
    <col min="5" max="5" width="13.44140625" customWidth="1"/>
    <col min="6" max="6" width="15" customWidth="1"/>
    <col min="7" max="7" width="12.6640625" customWidth="1"/>
    <col min="8" max="8" width="18.109375" customWidth="1"/>
    <col min="9" max="9" width="11.5546875" customWidth="1"/>
    <col min="10" max="10" width="8.6640625" customWidth="1"/>
    <col min="11" max="11" width="12.5546875" customWidth="1"/>
    <col min="12" max="26" width="8.6640625" customWidth="1"/>
  </cols>
  <sheetData>
    <row r="1" spans="1:12" ht="14.4" x14ac:dyDescent="0.3">
      <c r="A1" s="1" t="s">
        <v>0</v>
      </c>
      <c r="H1" s="1" t="s">
        <v>38</v>
      </c>
      <c r="K1" s="1" t="s">
        <v>39</v>
      </c>
    </row>
    <row r="2" spans="1:12" ht="14.4" x14ac:dyDescent="0.3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H2" s="2" t="s">
        <v>1</v>
      </c>
      <c r="I2" s="2" t="s">
        <v>48</v>
      </c>
      <c r="K2" s="2" t="s">
        <v>5</v>
      </c>
      <c r="L2" s="2" t="s">
        <v>40</v>
      </c>
    </row>
    <row r="3" spans="1:12" ht="14.4" x14ac:dyDescent="0.3">
      <c r="A3" s="3" t="s">
        <v>6</v>
      </c>
      <c r="B3" s="3" t="s">
        <v>7</v>
      </c>
      <c r="C3" s="3" t="s">
        <v>8</v>
      </c>
      <c r="D3" s="4">
        <v>120000</v>
      </c>
      <c r="E3" s="27">
        <v>15</v>
      </c>
      <c r="H3" s="3" t="s">
        <v>6</v>
      </c>
      <c r="I3" s="25">
        <v>0.05</v>
      </c>
      <c r="K3" s="3">
        <v>0</v>
      </c>
      <c r="L3" s="3">
        <v>2</v>
      </c>
    </row>
    <row r="4" spans="1:12" ht="14.4" x14ac:dyDescent="0.3">
      <c r="A4" s="3" t="s">
        <v>9</v>
      </c>
      <c r="B4" s="3" t="s">
        <v>10</v>
      </c>
      <c r="C4" s="3" t="s">
        <v>11</v>
      </c>
      <c r="D4" s="4">
        <v>100000</v>
      </c>
      <c r="E4" s="27">
        <v>2</v>
      </c>
      <c r="H4" s="3" t="s">
        <v>9</v>
      </c>
      <c r="I4" s="25">
        <v>0.03</v>
      </c>
      <c r="K4" s="3">
        <v>2</v>
      </c>
      <c r="L4" s="3">
        <v>4</v>
      </c>
    </row>
    <row r="5" spans="1:12" ht="14.4" x14ac:dyDescent="0.3">
      <c r="A5" s="3" t="s">
        <v>12</v>
      </c>
      <c r="B5" s="3" t="s">
        <v>13</v>
      </c>
      <c r="C5" s="3" t="s">
        <v>14</v>
      </c>
      <c r="D5" s="4">
        <v>90000</v>
      </c>
      <c r="E5" s="27">
        <v>4</v>
      </c>
      <c r="H5" s="3" t="s">
        <v>12</v>
      </c>
      <c r="I5" s="25">
        <v>0.04</v>
      </c>
      <c r="K5" s="3">
        <v>5</v>
      </c>
      <c r="L5" s="3">
        <v>12</v>
      </c>
    </row>
    <row r="6" spans="1:12" ht="14.4" x14ac:dyDescent="0.3">
      <c r="A6" s="3" t="s">
        <v>15</v>
      </c>
      <c r="B6" s="3" t="s">
        <v>16</v>
      </c>
      <c r="C6" s="3" t="s">
        <v>17</v>
      </c>
      <c r="D6" s="4">
        <v>80000</v>
      </c>
      <c r="E6" s="27">
        <v>3</v>
      </c>
      <c r="H6" s="3" t="s">
        <v>15</v>
      </c>
      <c r="I6" s="26">
        <v>3.5000000000000003E-2</v>
      </c>
      <c r="K6" s="3">
        <v>10</v>
      </c>
      <c r="L6" s="3">
        <v>15</v>
      </c>
    </row>
    <row r="7" spans="1:12" ht="14.4" x14ac:dyDescent="0.3">
      <c r="A7" s="3" t="s">
        <v>18</v>
      </c>
      <c r="B7" s="3" t="s">
        <v>19</v>
      </c>
      <c r="C7" s="3" t="s">
        <v>20</v>
      </c>
      <c r="D7" s="4">
        <v>70000</v>
      </c>
      <c r="E7" s="27">
        <v>0</v>
      </c>
      <c r="F7" s="28"/>
      <c r="H7" s="3" t="s">
        <v>18</v>
      </c>
      <c r="I7" s="25">
        <v>0.04</v>
      </c>
      <c r="K7" s="3">
        <v>20</v>
      </c>
      <c r="L7" s="3">
        <v>16</v>
      </c>
    </row>
    <row r="8" spans="1:12" ht="14.4" x14ac:dyDescent="0.3">
      <c r="A8" s="3" t="s">
        <v>21</v>
      </c>
      <c r="B8" s="3" t="s">
        <v>22</v>
      </c>
      <c r="C8" s="3" t="s">
        <v>23</v>
      </c>
      <c r="D8" s="4">
        <v>76000</v>
      </c>
      <c r="E8" s="27">
        <v>2</v>
      </c>
      <c r="F8" s="28"/>
      <c r="H8" s="3" t="s">
        <v>21</v>
      </c>
      <c r="I8" s="26">
        <v>3.5000000000000003E-2</v>
      </c>
    </row>
    <row r="9" spans="1:12" ht="14.4" x14ac:dyDescent="0.3">
      <c r="A9" s="3" t="s">
        <v>24</v>
      </c>
      <c r="B9" s="3" t="s">
        <v>25</v>
      </c>
      <c r="C9" s="3" t="s">
        <v>26</v>
      </c>
      <c r="D9" s="4">
        <v>84000</v>
      </c>
      <c r="E9" s="27">
        <v>6</v>
      </c>
      <c r="F9" s="28"/>
      <c r="H9" s="3" t="s">
        <v>24</v>
      </c>
      <c r="I9" s="26">
        <v>4.4999999999999998E-2</v>
      </c>
    </row>
    <row r="10" spans="1:12" ht="14.4" x14ac:dyDescent="0.3">
      <c r="A10" s="3" t="s">
        <v>27</v>
      </c>
      <c r="B10" s="3" t="s">
        <v>28</v>
      </c>
      <c r="C10" s="3" t="s">
        <v>29</v>
      </c>
      <c r="D10" s="4">
        <v>96000</v>
      </c>
      <c r="E10" s="27">
        <v>6</v>
      </c>
      <c r="F10" s="28"/>
      <c r="H10" s="3" t="s">
        <v>27</v>
      </c>
      <c r="I10" s="25">
        <v>0.03</v>
      </c>
    </row>
    <row r="11" spans="1:12" ht="14.4" x14ac:dyDescent="0.3">
      <c r="A11" s="3" t="s">
        <v>30</v>
      </c>
      <c r="B11" s="3" t="s">
        <v>31</v>
      </c>
      <c r="C11" s="3" t="s">
        <v>32</v>
      </c>
      <c r="D11" s="4">
        <v>92000</v>
      </c>
      <c r="E11" s="27">
        <v>8</v>
      </c>
      <c r="F11" s="28"/>
      <c r="H11" s="3" t="s">
        <v>30</v>
      </c>
      <c r="I11" s="25">
        <v>0.04</v>
      </c>
    </row>
    <row r="12" spans="1:12" ht="14.4" x14ac:dyDescent="0.3">
      <c r="A12" s="3" t="s">
        <v>33</v>
      </c>
      <c r="B12" s="3" t="s">
        <v>34</v>
      </c>
      <c r="C12" s="3" t="s">
        <v>35</v>
      </c>
      <c r="D12" s="4">
        <v>110000</v>
      </c>
      <c r="E12" s="27">
        <v>9</v>
      </c>
      <c r="F12" s="28"/>
      <c r="H12" s="3" t="s">
        <v>33</v>
      </c>
      <c r="I12" s="25">
        <v>0.05</v>
      </c>
    </row>
    <row r="15" spans="1:12" ht="14.4" x14ac:dyDescent="0.3">
      <c r="A15" s="1" t="s">
        <v>36</v>
      </c>
      <c r="D15" s="1" t="s">
        <v>37</v>
      </c>
    </row>
    <row r="16" spans="1:12" ht="14.4" x14ac:dyDescent="0.3">
      <c r="A16" s="2" t="s">
        <v>1</v>
      </c>
      <c r="B16" s="2" t="s">
        <v>49</v>
      </c>
      <c r="D16" s="2" t="s">
        <v>2</v>
      </c>
      <c r="E16" s="2" t="s">
        <v>50</v>
      </c>
    </row>
    <row r="17" spans="1:9" ht="14.4" x14ac:dyDescent="0.3">
      <c r="A17" s="3" t="s">
        <v>6</v>
      </c>
      <c r="B17" s="29">
        <f>VLOOKUP(A17,$A$3:$D$12,4)</f>
        <v>120000</v>
      </c>
      <c r="D17" s="3" t="s">
        <v>7</v>
      </c>
      <c r="E17" s="5">
        <f>VLOOKUP(D17,$B$3:$D$12,3)</f>
        <v>120000</v>
      </c>
    </row>
    <row r="18" spans="1:9" ht="14.4" x14ac:dyDescent="0.3">
      <c r="A18" s="3" t="s">
        <v>9</v>
      </c>
      <c r="B18" s="29">
        <f t="shared" ref="B18:B26" si="0">VLOOKUP(A18,$A$3:$D$12,4)</f>
        <v>100000</v>
      </c>
      <c r="D18" s="3" t="s">
        <v>10</v>
      </c>
      <c r="E18" s="5">
        <f t="shared" ref="E18:E26" si="1">VLOOKUP(D18,$B$3:$D$12,3)</f>
        <v>100000</v>
      </c>
    </row>
    <row r="19" spans="1:9" ht="14.4" x14ac:dyDescent="0.3">
      <c r="A19" s="3" t="s">
        <v>12</v>
      </c>
      <c r="B19" s="29">
        <f t="shared" si="0"/>
        <v>90000</v>
      </c>
      <c r="D19" s="3" t="s">
        <v>13</v>
      </c>
      <c r="E19" s="5">
        <f t="shared" si="1"/>
        <v>90000</v>
      </c>
    </row>
    <row r="20" spans="1:9" ht="14.4" x14ac:dyDescent="0.3">
      <c r="A20" s="3" t="s">
        <v>15</v>
      </c>
      <c r="B20" s="29">
        <f t="shared" si="0"/>
        <v>80000</v>
      </c>
      <c r="D20" s="3" t="s">
        <v>16</v>
      </c>
      <c r="E20" s="5" t="e">
        <f t="shared" si="1"/>
        <v>#N/A</v>
      </c>
    </row>
    <row r="21" spans="1:9" ht="15.75" customHeight="1" x14ac:dyDescent="0.3">
      <c r="A21" s="3" t="s">
        <v>18</v>
      </c>
      <c r="B21" s="29">
        <f t="shared" si="0"/>
        <v>70000</v>
      </c>
      <c r="D21" s="3" t="s">
        <v>19</v>
      </c>
      <c r="E21" s="5">
        <f t="shared" si="1"/>
        <v>70000</v>
      </c>
    </row>
    <row r="22" spans="1:9" ht="15.75" customHeight="1" x14ac:dyDescent="0.3">
      <c r="A22" s="3" t="s">
        <v>21</v>
      </c>
      <c r="B22" s="29">
        <f t="shared" si="0"/>
        <v>76000</v>
      </c>
      <c r="D22" s="3" t="s">
        <v>22</v>
      </c>
      <c r="E22" s="5">
        <f t="shared" si="1"/>
        <v>120000</v>
      </c>
    </row>
    <row r="23" spans="1:9" ht="15.75" customHeight="1" x14ac:dyDescent="0.3">
      <c r="A23" s="3" t="s">
        <v>24</v>
      </c>
      <c r="B23" s="29">
        <f t="shared" si="0"/>
        <v>84000</v>
      </c>
      <c r="D23" s="3" t="s">
        <v>25</v>
      </c>
      <c r="E23" s="5">
        <f t="shared" si="1"/>
        <v>110000</v>
      </c>
    </row>
    <row r="24" spans="1:9" ht="15.75" customHeight="1" x14ac:dyDescent="0.3">
      <c r="A24" s="3" t="s">
        <v>27</v>
      </c>
      <c r="B24" s="29">
        <f t="shared" si="0"/>
        <v>96000</v>
      </c>
      <c r="D24" s="3" t="s">
        <v>28</v>
      </c>
      <c r="E24" s="5">
        <f t="shared" si="1"/>
        <v>120000</v>
      </c>
    </row>
    <row r="25" spans="1:9" ht="15.75" customHeight="1" x14ac:dyDescent="0.3">
      <c r="A25" s="3" t="s">
        <v>30</v>
      </c>
      <c r="B25" s="29">
        <f t="shared" si="0"/>
        <v>92000</v>
      </c>
      <c r="D25" s="3" t="s">
        <v>31</v>
      </c>
      <c r="E25" s="5">
        <f t="shared" si="1"/>
        <v>100000</v>
      </c>
    </row>
    <row r="26" spans="1:9" ht="15.75" customHeight="1" x14ac:dyDescent="0.3">
      <c r="A26" s="3" t="s">
        <v>33</v>
      </c>
      <c r="B26" s="29">
        <f t="shared" si="0"/>
        <v>110000</v>
      </c>
      <c r="D26" s="3" t="s">
        <v>34</v>
      </c>
      <c r="E26" s="5" t="e">
        <f t="shared" si="1"/>
        <v>#N/A</v>
      </c>
    </row>
    <row r="27" spans="1:9" ht="15.75" customHeight="1" x14ac:dyDescent="0.3"/>
    <row r="28" spans="1:9" ht="15.75" customHeight="1" x14ac:dyDescent="0.3">
      <c r="A28" s="1" t="s">
        <v>51</v>
      </c>
    </row>
    <row r="29" spans="1:9" ht="15.75" customHeight="1" x14ac:dyDescent="0.3">
      <c r="A29" s="2" t="s">
        <v>1</v>
      </c>
      <c r="B29" s="2" t="s">
        <v>2</v>
      </c>
      <c r="C29" s="2" t="s">
        <v>3</v>
      </c>
      <c r="D29" s="2" t="s">
        <v>4</v>
      </c>
      <c r="E29" s="2" t="s">
        <v>5</v>
      </c>
      <c r="F29" s="2" t="s">
        <v>48</v>
      </c>
      <c r="G29" s="2" t="s">
        <v>48</v>
      </c>
      <c r="H29" s="2" t="s">
        <v>48</v>
      </c>
      <c r="I29" s="2" t="s">
        <v>48</v>
      </c>
    </row>
    <row r="30" spans="1:9" ht="15.75" customHeight="1" x14ac:dyDescent="0.3">
      <c r="A30" s="3" t="s">
        <v>18</v>
      </c>
      <c r="B30" s="3" t="str">
        <f t="shared" ref="B30:B39" si="2">VLOOKUP(A30,$A$3:$E$12,2,2)</f>
        <v>Suresh Kumar</v>
      </c>
      <c r="C30" s="3" t="str">
        <f>VLOOKUP(A30,$A$3:$C$12,3)</f>
        <v>Technician</v>
      </c>
      <c r="D30" s="3">
        <f>VLOOKUP(A30,$A$3:$D$12,4)</f>
        <v>70000</v>
      </c>
      <c r="E30" s="27">
        <f t="shared" ref="E30:E39" si="3">VLOOKUP(A30,$A$3:$E$12,5,1)</f>
        <v>0</v>
      </c>
      <c r="F30" s="26">
        <f>VLOOKUP(A30,$H$3:$I$12,2)</f>
        <v>0.04</v>
      </c>
      <c r="G30" s="3"/>
      <c r="H30" s="26"/>
      <c r="I30" s="26"/>
    </row>
    <row r="31" spans="1:9" ht="15.75" customHeight="1" x14ac:dyDescent="0.3">
      <c r="A31" s="3" t="s">
        <v>21</v>
      </c>
      <c r="B31" s="3" t="str">
        <f t="shared" si="2"/>
        <v>Deepa Nair</v>
      </c>
      <c r="C31" s="3" t="str">
        <f t="shared" ref="C31:C39" si="4">VLOOKUP(A31,$A$3:$C$12,3)</f>
        <v>Sales Representative</v>
      </c>
      <c r="D31" s="3">
        <f t="shared" ref="D31:D39" si="5">VLOOKUP(A31,$A$3:$D$12,4)</f>
        <v>76000</v>
      </c>
      <c r="E31" s="27">
        <f t="shared" si="3"/>
        <v>2</v>
      </c>
      <c r="F31" s="26">
        <f t="shared" ref="F31:F39" si="6">VLOOKUP(A31,$H$3:$I$12,2)</f>
        <v>3.5000000000000003E-2</v>
      </c>
      <c r="G31" s="3"/>
      <c r="H31" s="26"/>
      <c r="I31" s="26"/>
    </row>
    <row r="32" spans="1:9" ht="15.75" customHeight="1" x14ac:dyDescent="0.3">
      <c r="A32" s="3" t="s">
        <v>15</v>
      </c>
      <c r="B32" s="3" t="str">
        <f t="shared" si="2"/>
        <v>Aisha Verma</v>
      </c>
      <c r="C32" s="3" t="str">
        <f t="shared" si="4"/>
        <v>Analyst</v>
      </c>
      <c r="D32" s="3">
        <f t="shared" si="5"/>
        <v>80000</v>
      </c>
      <c r="E32" s="27">
        <f t="shared" si="3"/>
        <v>3</v>
      </c>
      <c r="F32" s="26">
        <f t="shared" si="6"/>
        <v>3.5000000000000003E-2</v>
      </c>
      <c r="G32" s="3"/>
      <c r="H32" s="26"/>
      <c r="I32" s="26"/>
    </row>
    <row r="33" spans="1:9" ht="15.75" customHeight="1" x14ac:dyDescent="0.3">
      <c r="A33" s="3" t="s">
        <v>24</v>
      </c>
      <c r="B33" s="3" t="str">
        <f t="shared" si="2"/>
        <v>Vikram Singh</v>
      </c>
      <c r="C33" s="3" t="str">
        <f t="shared" si="4"/>
        <v>Designer</v>
      </c>
      <c r="D33" s="3">
        <f t="shared" si="5"/>
        <v>84000</v>
      </c>
      <c r="E33" s="27">
        <f t="shared" si="3"/>
        <v>6</v>
      </c>
      <c r="F33" s="26">
        <f t="shared" si="6"/>
        <v>4.4999999999999998E-2</v>
      </c>
      <c r="G33" s="3"/>
      <c r="H33" s="26"/>
      <c r="I33" s="26"/>
    </row>
    <row r="34" spans="1:9" ht="15.75" customHeight="1" x14ac:dyDescent="0.3">
      <c r="A34" s="3" t="s">
        <v>12</v>
      </c>
      <c r="B34" s="3" t="str">
        <f t="shared" si="2"/>
        <v>Rohit Patel</v>
      </c>
      <c r="C34" s="3" t="str">
        <f t="shared" si="4"/>
        <v>Engineer</v>
      </c>
      <c r="D34" s="3">
        <f t="shared" si="5"/>
        <v>90000</v>
      </c>
      <c r="E34" s="27">
        <f t="shared" si="3"/>
        <v>4</v>
      </c>
      <c r="F34" s="26">
        <f t="shared" si="6"/>
        <v>0.04</v>
      </c>
      <c r="G34" s="3"/>
      <c r="H34" s="26"/>
      <c r="I34" s="26"/>
    </row>
    <row r="35" spans="1:9" ht="15.75" customHeight="1" x14ac:dyDescent="0.3">
      <c r="A35" s="3" t="s">
        <v>30</v>
      </c>
      <c r="B35" s="3" t="str">
        <f t="shared" si="2"/>
        <v>Ramesh Joshi</v>
      </c>
      <c r="C35" s="3" t="str">
        <f t="shared" si="4"/>
        <v>Accountant</v>
      </c>
      <c r="D35" s="3">
        <f t="shared" si="5"/>
        <v>92000</v>
      </c>
      <c r="E35" s="27">
        <f t="shared" si="3"/>
        <v>8</v>
      </c>
      <c r="F35" s="26">
        <f t="shared" si="6"/>
        <v>0.04</v>
      </c>
      <c r="G35" s="3"/>
      <c r="H35" s="26"/>
      <c r="I35" s="26"/>
    </row>
    <row r="36" spans="1:9" ht="15.75" customHeight="1" x14ac:dyDescent="0.3">
      <c r="A36" s="3" t="s">
        <v>27</v>
      </c>
      <c r="B36" s="3" t="str">
        <f t="shared" si="2"/>
        <v>Lakshmi Raghavan</v>
      </c>
      <c r="C36" s="3" t="str">
        <f t="shared" si="4"/>
        <v>HR Specialist</v>
      </c>
      <c r="D36" s="3">
        <f t="shared" si="5"/>
        <v>96000</v>
      </c>
      <c r="E36" s="27">
        <f t="shared" si="3"/>
        <v>6</v>
      </c>
      <c r="F36" s="26">
        <f t="shared" si="6"/>
        <v>0.03</v>
      </c>
      <c r="G36" s="3"/>
      <c r="H36" s="26"/>
      <c r="I36" s="26"/>
    </row>
    <row r="37" spans="1:9" ht="15.75" customHeight="1" x14ac:dyDescent="0.3">
      <c r="A37" s="3" t="s">
        <v>9</v>
      </c>
      <c r="B37" s="3" t="str">
        <f t="shared" si="2"/>
        <v>Priya Mukherjee</v>
      </c>
      <c r="C37" s="3" t="str">
        <f t="shared" si="4"/>
        <v>Assistant Manager</v>
      </c>
      <c r="D37" s="3">
        <f t="shared" si="5"/>
        <v>100000</v>
      </c>
      <c r="E37" s="27">
        <f t="shared" si="3"/>
        <v>2</v>
      </c>
      <c r="F37" s="26">
        <f t="shared" si="6"/>
        <v>0.03</v>
      </c>
      <c r="G37" s="3"/>
      <c r="H37" s="26"/>
      <c r="I37" s="26"/>
    </row>
    <row r="38" spans="1:9" ht="15.75" customHeight="1" x14ac:dyDescent="0.3">
      <c r="A38" s="3" t="s">
        <v>33</v>
      </c>
      <c r="B38" s="3" t="str">
        <f t="shared" si="2"/>
        <v>Anjali Deshpande</v>
      </c>
      <c r="C38" s="3" t="str">
        <f t="shared" si="4"/>
        <v>Software Developer</v>
      </c>
      <c r="D38" s="3">
        <f t="shared" si="5"/>
        <v>110000</v>
      </c>
      <c r="E38" s="27">
        <f t="shared" si="3"/>
        <v>9</v>
      </c>
      <c r="F38" s="26">
        <f t="shared" si="6"/>
        <v>0.05</v>
      </c>
      <c r="G38" s="3"/>
      <c r="H38" s="26"/>
      <c r="I38" s="26"/>
    </row>
    <row r="39" spans="1:9" ht="15.75" customHeight="1" x14ac:dyDescent="0.3">
      <c r="A39" s="3" t="s">
        <v>6</v>
      </c>
      <c r="B39" s="3" t="str">
        <f t="shared" si="2"/>
        <v>Arjun Sharma</v>
      </c>
      <c r="C39" s="3" t="str">
        <f t="shared" si="4"/>
        <v>Manager</v>
      </c>
      <c r="D39" s="3">
        <f t="shared" si="5"/>
        <v>120000</v>
      </c>
      <c r="E39" s="27">
        <f t="shared" si="3"/>
        <v>15</v>
      </c>
      <c r="F39" s="26">
        <f t="shared" si="6"/>
        <v>0.05</v>
      </c>
      <c r="G39" s="3"/>
      <c r="H39" s="26"/>
      <c r="I39" s="26"/>
    </row>
    <row r="40" spans="1:9" ht="15.75" customHeight="1" x14ac:dyDescent="0.3"/>
    <row r="41" spans="1:9" ht="15.75" customHeight="1" x14ac:dyDescent="0.3"/>
    <row r="42" spans="1:9" ht="15.75" customHeight="1" x14ac:dyDescent="0.3"/>
    <row r="43" spans="1:9" ht="15.75" customHeight="1" x14ac:dyDescent="0.3"/>
    <row r="44" spans="1:9" ht="15.75" customHeight="1" x14ac:dyDescent="0.3"/>
    <row r="45" spans="1:9" ht="15.75" customHeight="1" x14ac:dyDescent="0.3"/>
    <row r="46" spans="1:9" ht="15.75" customHeight="1" x14ac:dyDescent="0.3"/>
    <row r="47" spans="1:9" ht="15.75" customHeight="1" x14ac:dyDescent="0.3"/>
    <row r="48" spans="1:9" ht="15.75" customHeight="1" x14ac:dyDescent="0.3"/>
    <row r="49" ht="15.75" customHeight="1" x14ac:dyDescent="0.3"/>
    <row r="50" ht="15.75" customHeight="1" x14ac:dyDescent="0.3"/>
    <row r="51" ht="15.75" customHeight="1" x14ac:dyDescent="0.3"/>
    <row r="52" ht="15.75" customHeight="1" x14ac:dyDescent="0.3"/>
    <row r="53" ht="15.75" customHeight="1" x14ac:dyDescent="0.3"/>
    <row r="54" ht="15.75" customHeight="1" x14ac:dyDescent="0.3"/>
    <row r="55" ht="15.75" customHeight="1" x14ac:dyDescent="0.3"/>
    <row r="56" ht="15.75" customHeight="1" x14ac:dyDescent="0.3"/>
    <row r="57" ht="15.75" customHeight="1" x14ac:dyDescent="0.3"/>
    <row r="58" ht="15.75" customHeight="1" x14ac:dyDescent="0.3"/>
    <row r="59" ht="15.75" customHeight="1" x14ac:dyDescent="0.3"/>
    <row r="60" ht="15.75" customHeight="1" x14ac:dyDescent="0.3"/>
    <row r="61" ht="15.75" customHeight="1" x14ac:dyDescent="0.3"/>
    <row r="62" ht="15.75" customHeight="1" x14ac:dyDescent="0.3"/>
    <row r="63" ht="15.75" customHeight="1" x14ac:dyDescent="0.3"/>
    <row r="64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pageMargins left="0.7" right="0.7" top="0.75" bottom="0.75" header="0" footer="0"/>
  <pageSetup orientation="landscape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M1000"/>
  <sheetViews>
    <sheetView tabSelected="1" workbookViewId="0">
      <selection activeCell="K3" sqref="K3"/>
    </sheetView>
  </sheetViews>
  <sheetFormatPr defaultColWidth="14.44140625" defaultRowHeight="15" customHeight="1" x14ac:dyDescent="0.3"/>
  <cols>
    <col min="1" max="1" width="13.6640625" customWidth="1"/>
    <col min="2" max="3" width="14.88671875" customWidth="1"/>
    <col min="4" max="12" width="15.5546875" customWidth="1"/>
    <col min="13" max="26" width="8.6640625" customWidth="1"/>
  </cols>
  <sheetData>
    <row r="1" spans="1:13" ht="28.8" x14ac:dyDescent="0.3">
      <c r="A1" s="30" t="s">
        <v>52</v>
      </c>
      <c r="B1" s="30" t="s">
        <v>53</v>
      </c>
      <c r="C1" s="30" t="s">
        <v>54</v>
      </c>
      <c r="D1" s="30" t="s">
        <v>55</v>
      </c>
      <c r="E1" s="30" t="s">
        <v>56</v>
      </c>
      <c r="F1" s="31" t="s">
        <v>57</v>
      </c>
      <c r="G1" s="31" t="s">
        <v>58</v>
      </c>
      <c r="H1" s="31" t="s">
        <v>59</v>
      </c>
      <c r="I1" s="30" t="s">
        <v>60</v>
      </c>
      <c r="J1" s="32" t="s">
        <v>61</v>
      </c>
      <c r="K1" s="32" t="s">
        <v>62</v>
      </c>
      <c r="L1" s="32" t="s">
        <v>63</v>
      </c>
      <c r="M1" s="32" t="s">
        <v>177</v>
      </c>
    </row>
    <row r="2" spans="1:13" ht="15.6" x14ac:dyDescent="0.3">
      <c r="A2" s="33" t="s">
        <v>117</v>
      </c>
      <c r="B2" s="33" t="s">
        <v>118</v>
      </c>
      <c r="C2" s="33" t="str">
        <f>_xlfn.CONCAT(A2," ",B2)</f>
        <v>Vijay Mahajan</v>
      </c>
      <c r="D2" s="33" t="s">
        <v>66</v>
      </c>
      <c r="E2" s="33" t="s">
        <v>67</v>
      </c>
      <c r="F2" s="34">
        <v>40</v>
      </c>
      <c r="G2" s="34">
        <v>6</v>
      </c>
      <c r="H2" s="34" t="s">
        <v>68</v>
      </c>
      <c r="I2" s="35">
        <v>231545</v>
      </c>
      <c r="J2" s="36">
        <v>38033</v>
      </c>
      <c r="K2" s="37">
        <v>26976</v>
      </c>
      <c r="L2" s="38">
        <f ca="1">TODAY()</f>
        <v>45980</v>
      </c>
      <c r="M2" s="50">
        <f ca="1">YEARFRAC(K2,L2)</f>
        <v>52.030555555555559</v>
      </c>
    </row>
    <row r="3" spans="1:13" ht="15.6" x14ac:dyDescent="0.3">
      <c r="A3" s="33" t="s">
        <v>147</v>
      </c>
      <c r="B3" s="33" t="s">
        <v>148</v>
      </c>
      <c r="C3" s="33" t="str">
        <f>_xlfn.CONCAT(A3," ",B3)</f>
        <v>Suresh Desai</v>
      </c>
      <c r="D3" s="33" t="s">
        <v>66</v>
      </c>
      <c r="E3" s="33" t="s">
        <v>67</v>
      </c>
      <c r="F3" s="34">
        <v>50</v>
      </c>
      <c r="G3" s="34">
        <v>14</v>
      </c>
      <c r="H3" s="34" t="s">
        <v>68</v>
      </c>
      <c r="I3" s="35">
        <v>175000</v>
      </c>
      <c r="J3" s="36">
        <v>39122</v>
      </c>
      <c r="K3" s="37">
        <v>28006</v>
      </c>
      <c r="L3" s="38">
        <f ca="1">TODAY()</f>
        <v>45980</v>
      </c>
      <c r="M3" s="50">
        <f ca="1">YEARFRAC(K3,L3)</f>
        <v>49.211111111111109</v>
      </c>
    </row>
    <row r="4" spans="1:13" ht="15.6" x14ac:dyDescent="0.3">
      <c r="A4" s="33" t="s">
        <v>102</v>
      </c>
      <c r="B4" s="33" t="s">
        <v>103</v>
      </c>
      <c r="C4" s="33" t="str">
        <f>_xlfn.CONCAT(A4," ",B4)</f>
        <v>Priya Patel</v>
      </c>
      <c r="D4" s="33" t="s">
        <v>66</v>
      </c>
      <c r="E4" s="33" t="s">
        <v>67</v>
      </c>
      <c r="F4" s="34">
        <v>34</v>
      </c>
      <c r="G4" s="34">
        <v>2</v>
      </c>
      <c r="H4" s="34" t="s">
        <v>68</v>
      </c>
      <c r="I4" s="35">
        <v>173200</v>
      </c>
      <c r="J4" s="36">
        <v>37527</v>
      </c>
      <c r="K4" s="37">
        <v>26113</v>
      </c>
      <c r="L4" s="38">
        <f ca="1">TODAY()</f>
        <v>45980</v>
      </c>
      <c r="M4" s="50">
        <f ca="1">YEARFRAC(K4,L4)</f>
        <v>54.388888888888886</v>
      </c>
    </row>
    <row r="5" spans="1:13" ht="15.6" x14ac:dyDescent="0.3">
      <c r="A5" s="33" t="s">
        <v>69</v>
      </c>
      <c r="B5" s="33" t="s">
        <v>70</v>
      </c>
      <c r="C5" s="33" t="str">
        <f>_xlfn.CONCAT(A5," ",B5)</f>
        <v>Nisha Dey</v>
      </c>
      <c r="D5" s="33" t="s">
        <v>66</v>
      </c>
      <c r="E5" s="33" t="s">
        <v>67</v>
      </c>
      <c r="F5" s="34">
        <v>24</v>
      </c>
      <c r="G5" s="34">
        <v>0</v>
      </c>
      <c r="H5" s="34" t="s">
        <v>68</v>
      </c>
      <c r="I5" s="35">
        <v>155750</v>
      </c>
      <c r="J5" s="36">
        <v>43038</v>
      </c>
      <c r="K5" s="37">
        <v>27765</v>
      </c>
      <c r="L5" s="38">
        <f ca="1">TODAY()</f>
        <v>45980</v>
      </c>
      <c r="M5" s="50">
        <f ca="1">YEARFRAC(K5,L5)</f>
        <v>49.869444444444447</v>
      </c>
    </row>
    <row r="6" spans="1:13" ht="15.6" x14ac:dyDescent="0.3">
      <c r="A6" s="33" t="s">
        <v>107</v>
      </c>
      <c r="B6" s="33" t="s">
        <v>108</v>
      </c>
      <c r="C6" s="33" t="str">
        <f>_xlfn.CONCAT(A6," ",B6)</f>
        <v>Arun Parekh</v>
      </c>
      <c r="D6" s="33" t="s">
        <v>66</v>
      </c>
      <c r="E6" s="33" t="s">
        <v>67</v>
      </c>
      <c r="F6" s="34">
        <v>34</v>
      </c>
      <c r="G6" s="34">
        <v>0</v>
      </c>
      <c r="H6" s="34" t="s">
        <v>86</v>
      </c>
      <c r="I6" s="35">
        <v>151768</v>
      </c>
      <c r="J6" s="36">
        <v>39714</v>
      </c>
      <c r="K6" s="37">
        <v>28356</v>
      </c>
      <c r="L6" s="38">
        <f ca="1">TODAY()</f>
        <v>45980</v>
      </c>
      <c r="M6" s="50">
        <f ca="1">YEARFRAC(K6,L6)</f>
        <v>48.25</v>
      </c>
    </row>
    <row r="7" spans="1:13" ht="15.6" x14ac:dyDescent="0.3">
      <c r="A7" s="33" t="s">
        <v>80</v>
      </c>
      <c r="B7" s="33" t="s">
        <v>81</v>
      </c>
      <c r="C7" s="33" t="str">
        <f>_xlfn.CONCAT(A7," ",B7)</f>
        <v>Kavita Joshi</v>
      </c>
      <c r="D7" s="33" t="s">
        <v>66</v>
      </c>
      <c r="E7" s="33" t="s">
        <v>67</v>
      </c>
      <c r="F7" s="34">
        <v>27</v>
      </c>
      <c r="G7" s="34">
        <v>0</v>
      </c>
      <c r="H7" s="34" t="s">
        <v>68</v>
      </c>
      <c r="I7" s="35">
        <v>147765</v>
      </c>
      <c r="J7" s="36">
        <v>39571</v>
      </c>
      <c r="K7" s="37">
        <v>28170</v>
      </c>
      <c r="L7" s="38">
        <f ca="1">TODAY()</f>
        <v>45980</v>
      </c>
      <c r="M7" s="50">
        <f ca="1">YEARFRAC(K7,L7)</f>
        <v>48.763888888888886</v>
      </c>
    </row>
    <row r="8" spans="1:13" ht="28.8" x14ac:dyDescent="0.3">
      <c r="A8" s="33" t="s">
        <v>71</v>
      </c>
      <c r="B8" s="33" t="s">
        <v>72</v>
      </c>
      <c r="C8" s="33" t="str">
        <f>_xlfn.CONCAT(A8," ",B8)</f>
        <v>Rupali Mukherjee</v>
      </c>
      <c r="D8" s="33" t="s">
        <v>66</v>
      </c>
      <c r="E8" s="33" t="s">
        <v>67</v>
      </c>
      <c r="F8" s="34">
        <v>24</v>
      </c>
      <c r="G8" s="34">
        <v>0</v>
      </c>
      <c r="H8" s="34" t="s">
        <v>68</v>
      </c>
      <c r="I8" s="35">
        <v>146500</v>
      </c>
      <c r="J8" s="36">
        <v>44278</v>
      </c>
      <c r="K8" s="37">
        <v>25919</v>
      </c>
      <c r="L8" s="38">
        <f ca="1">TODAY()</f>
        <v>45980</v>
      </c>
      <c r="M8" s="50">
        <f ca="1">YEARFRAC(K8,L8)</f>
        <v>54.922222222222224</v>
      </c>
    </row>
    <row r="9" spans="1:13" ht="15.6" x14ac:dyDescent="0.3">
      <c r="A9" s="33" t="s">
        <v>153</v>
      </c>
      <c r="B9" s="33" t="s">
        <v>154</v>
      </c>
      <c r="C9" s="33" t="str">
        <f>_xlfn.CONCAT(A9," ",B9)</f>
        <v>Rajesh Gupta</v>
      </c>
      <c r="D9" s="33" t="s">
        <v>66</v>
      </c>
      <c r="E9" s="33" t="s">
        <v>67</v>
      </c>
      <c r="F9" s="34">
        <v>53</v>
      </c>
      <c r="G9" s="34">
        <v>14</v>
      </c>
      <c r="H9" s="34" t="s">
        <v>68</v>
      </c>
      <c r="I9" s="35">
        <v>141500</v>
      </c>
      <c r="J9" s="36">
        <v>38464</v>
      </c>
      <c r="K9" s="37">
        <v>27354</v>
      </c>
      <c r="L9" s="38">
        <f ca="1">TODAY()</f>
        <v>45980</v>
      </c>
      <c r="M9" s="50">
        <f ca="1">YEARFRAC(K9,L9)</f>
        <v>50.994444444444447</v>
      </c>
    </row>
    <row r="10" spans="1:13" ht="15.6" x14ac:dyDescent="0.3">
      <c r="A10" s="33" t="s">
        <v>145</v>
      </c>
      <c r="B10" s="33" t="s">
        <v>146</v>
      </c>
      <c r="C10" s="33" t="str">
        <f>_xlfn.CONCAT(A10," ",B10)</f>
        <v>Sheetal Dhawan</v>
      </c>
      <c r="D10" s="33" t="s">
        <v>66</v>
      </c>
      <c r="E10" s="33" t="s">
        <v>67</v>
      </c>
      <c r="F10" s="34">
        <v>49</v>
      </c>
      <c r="G10" s="34">
        <v>12</v>
      </c>
      <c r="H10" s="34" t="s">
        <v>86</v>
      </c>
      <c r="I10" s="35">
        <v>140096</v>
      </c>
      <c r="J10" s="36">
        <v>39932</v>
      </c>
      <c r="K10" s="37">
        <v>28497</v>
      </c>
      <c r="L10" s="38">
        <f ca="1">TODAY()</f>
        <v>45980</v>
      </c>
      <c r="M10" s="50">
        <f ca="1">YEARFRAC(K10,L10)</f>
        <v>47.866666666666667</v>
      </c>
    </row>
    <row r="11" spans="1:13" ht="15.6" x14ac:dyDescent="0.3">
      <c r="A11" s="33" t="s">
        <v>64</v>
      </c>
      <c r="B11" s="33" t="s">
        <v>65</v>
      </c>
      <c r="C11" s="33" t="str">
        <f>_xlfn.CONCAT(A11," ",B11)</f>
        <v>Aarav Sharma</v>
      </c>
      <c r="D11" s="33" t="s">
        <v>66</v>
      </c>
      <c r="E11" s="33" t="s">
        <v>67</v>
      </c>
      <c r="F11" s="34">
        <v>24</v>
      </c>
      <c r="G11" s="34">
        <v>0</v>
      </c>
      <c r="H11" s="34" t="s">
        <v>68</v>
      </c>
      <c r="I11" s="35">
        <v>139750</v>
      </c>
      <c r="J11" s="36">
        <v>37057</v>
      </c>
      <c r="K11" s="37">
        <v>25639</v>
      </c>
      <c r="L11" s="38">
        <f ca="1">TODAY()</f>
        <v>45980</v>
      </c>
      <c r="M11" s="50">
        <f ca="1">YEARFRAC(K11,L11)</f>
        <v>55.68611111111111</v>
      </c>
    </row>
    <row r="12" spans="1:13" ht="15.6" x14ac:dyDescent="0.3">
      <c r="A12" s="33" t="s">
        <v>84</v>
      </c>
      <c r="B12" s="33" t="s">
        <v>85</v>
      </c>
      <c r="C12" s="33" t="str">
        <f>_xlfn.CONCAT(A12," ",B12)</f>
        <v>Rekha Kapoor</v>
      </c>
      <c r="D12" s="33" t="s">
        <v>66</v>
      </c>
      <c r="E12" s="33" t="s">
        <v>79</v>
      </c>
      <c r="F12" s="34">
        <v>31</v>
      </c>
      <c r="G12" s="34">
        <v>0</v>
      </c>
      <c r="H12" s="34" t="s">
        <v>86</v>
      </c>
      <c r="I12" s="35">
        <v>137000</v>
      </c>
      <c r="J12" s="36">
        <v>44136</v>
      </c>
      <c r="K12" s="37">
        <v>28879</v>
      </c>
      <c r="L12" s="38">
        <f ca="1">TODAY()</f>
        <v>45980</v>
      </c>
      <c r="M12" s="50">
        <f ca="1">YEARFRAC(K12,L12)</f>
        <v>46.819444444444443</v>
      </c>
    </row>
    <row r="13" spans="1:13" ht="16.2" thickBot="1" x14ac:dyDescent="0.35">
      <c r="A13" s="33" t="s">
        <v>139</v>
      </c>
      <c r="B13" s="33" t="s">
        <v>140</v>
      </c>
      <c r="C13" s="33" t="str">
        <f>_xlfn.CONCAT(A13," ",B13)</f>
        <v>Suman Bansal</v>
      </c>
      <c r="D13" s="33" t="s">
        <v>66</v>
      </c>
      <c r="E13" s="33" t="s">
        <v>79</v>
      </c>
      <c r="F13" s="34">
        <v>45</v>
      </c>
      <c r="G13" s="34">
        <v>15</v>
      </c>
      <c r="H13" s="34" t="s">
        <v>68</v>
      </c>
      <c r="I13" s="35">
        <v>134885</v>
      </c>
      <c r="J13" s="36">
        <v>39177</v>
      </c>
      <c r="K13" s="37">
        <v>28118</v>
      </c>
      <c r="L13" s="38">
        <f ca="1">TODAY()</f>
        <v>45980</v>
      </c>
      <c r="M13" s="50">
        <f ca="1">YEARFRAC(K13,L13)</f>
        <v>48.902777777777779</v>
      </c>
    </row>
    <row r="14" spans="1:13" ht="16.2" thickBot="1" x14ac:dyDescent="0.35">
      <c r="A14" s="33" t="s">
        <v>82</v>
      </c>
      <c r="B14" s="33" t="s">
        <v>83</v>
      </c>
      <c r="C14" s="33" t="str">
        <f>_xlfn.CONCAT(A14," ",B14)</f>
        <v>Radha Goyal</v>
      </c>
      <c r="D14" s="33" t="s">
        <v>66</v>
      </c>
      <c r="E14" s="33" t="s">
        <v>67</v>
      </c>
      <c r="F14" s="34">
        <v>29</v>
      </c>
      <c r="G14" s="34">
        <v>0</v>
      </c>
      <c r="H14" s="34" t="s">
        <v>68</v>
      </c>
      <c r="I14" s="35">
        <v>132261</v>
      </c>
      <c r="J14" s="36">
        <v>40582</v>
      </c>
      <c r="K14" s="37">
        <v>25802</v>
      </c>
      <c r="L14" s="38">
        <f ca="1">TODAY()</f>
        <v>45980</v>
      </c>
      <c r="M14" s="50">
        <f ca="1">YEARFRAC(K14,L14)</f>
        <v>55.241666666666667</v>
      </c>
    </row>
    <row r="15" spans="1:13" ht="16.2" thickBot="1" x14ac:dyDescent="0.35">
      <c r="A15" s="33" t="s">
        <v>119</v>
      </c>
      <c r="B15" s="33" t="s">
        <v>120</v>
      </c>
      <c r="C15" s="33" t="str">
        <f>_xlfn.CONCAT(A15," ",B15)</f>
        <v>Meena Menon</v>
      </c>
      <c r="D15" s="33" t="s">
        <v>66</v>
      </c>
      <c r="E15" s="33" t="s">
        <v>67</v>
      </c>
      <c r="F15" s="34">
        <v>41</v>
      </c>
      <c r="G15" s="34">
        <v>5</v>
      </c>
      <c r="H15" s="34" t="s">
        <v>86</v>
      </c>
      <c r="I15" s="35">
        <v>129000</v>
      </c>
      <c r="J15" s="36">
        <v>40536</v>
      </c>
      <c r="K15" s="37">
        <v>29058</v>
      </c>
      <c r="L15" s="38">
        <f ca="1">TODAY()</f>
        <v>45980</v>
      </c>
      <c r="M15" s="50">
        <f ca="1">YEARFRAC(K15,L15)</f>
        <v>46.325000000000003</v>
      </c>
    </row>
    <row r="16" spans="1:13" ht="16.2" thickBot="1" x14ac:dyDescent="0.35">
      <c r="A16" s="33" t="s">
        <v>73</v>
      </c>
      <c r="B16" s="33" t="s">
        <v>74</v>
      </c>
      <c r="C16" s="33" t="str">
        <f>_xlfn.CONCAT(A16," ",B16)</f>
        <v>Geeta Chauhan</v>
      </c>
      <c r="D16" s="33" t="s">
        <v>66</v>
      </c>
      <c r="E16" s="33" t="s">
        <v>67</v>
      </c>
      <c r="F16" s="34">
        <v>25</v>
      </c>
      <c r="G16" s="34">
        <v>0</v>
      </c>
      <c r="H16" s="34" t="s">
        <v>68</v>
      </c>
      <c r="I16" s="35">
        <v>125196</v>
      </c>
      <c r="J16" s="36">
        <v>43568</v>
      </c>
      <c r="K16" s="37">
        <v>28745</v>
      </c>
      <c r="L16" s="38">
        <f ca="1">TODAY()</f>
        <v>45980</v>
      </c>
      <c r="M16" s="50">
        <f ca="1">YEARFRAC(K16,L16)</f>
        <v>47.18611111111111</v>
      </c>
    </row>
    <row r="17" spans="1:13" ht="16.2" thickBot="1" x14ac:dyDescent="0.35">
      <c r="A17" s="33" t="s">
        <v>133</v>
      </c>
      <c r="B17" s="33" t="s">
        <v>134</v>
      </c>
      <c r="C17" s="33" t="str">
        <f>_xlfn.CONCAT(A17," ",B17)</f>
        <v>Sandeep Kulkarni</v>
      </c>
      <c r="D17" s="33" t="s">
        <v>66</v>
      </c>
      <c r="E17" s="33" t="s">
        <v>79</v>
      </c>
      <c r="F17" s="34">
        <v>44</v>
      </c>
      <c r="G17" s="34">
        <v>8</v>
      </c>
      <c r="H17" s="34" t="s">
        <v>68</v>
      </c>
      <c r="I17" s="35">
        <v>124750</v>
      </c>
      <c r="J17" s="36">
        <v>43707</v>
      </c>
      <c r="K17" s="37">
        <v>28555</v>
      </c>
      <c r="L17" s="38">
        <f ca="1">TODAY()</f>
        <v>45980</v>
      </c>
      <c r="M17" s="50">
        <f ca="1">YEARFRAC(K17,L17)</f>
        <v>47.702777777777776</v>
      </c>
    </row>
    <row r="18" spans="1:13" ht="16.2" thickBot="1" x14ac:dyDescent="0.35">
      <c r="A18" s="33" t="s">
        <v>129</v>
      </c>
      <c r="B18" s="33" t="s">
        <v>130</v>
      </c>
      <c r="C18" s="33" t="str">
        <f>_xlfn.CONCAT(A18," ",B18)</f>
        <v>Vinod Nair</v>
      </c>
      <c r="D18" s="33" t="s">
        <v>106</v>
      </c>
      <c r="E18" s="33" t="s">
        <v>67</v>
      </c>
      <c r="F18" s="34">
        <v>43</v>
      </c>
      <c r="G18" s="34">
        <v>11</v>
      </c>
      <c r="H18" s="34" t="s">
        <v>68</v>
      </c>
      <c r="I18" s="35">
        <v>119800</v>
      </c>
      <c r="J18" s="36">
        <v>40572</v>
      </c>
      <c r="K18" s="37">
        <v>25852</v>
      </c>
      <c r="L18" s="38">
        <f ca="1">TODAY()</f>
        <v>45980</v>
      </c>
      <c r="M18" s="50">
        <f ca="1">YEARFRAC(K18,L18)</f>
        <v>55.105555555555554</v>
      </c>
    </row>
    <row r="19" spans="1:13" ht="16.2" thickBot="1" x14ac:dyDescent="0.35">
      <c r="A19" s="33" t="s">
        <v>127</v>
      </c>
      <c r="B19" s="33" t="s">
        <v>128</v>
      </c>
      <c r="C19" s="33" t="str">
        <f>_xlfn.CONCAT(A19," ",B19)</f>
        <v>Anil Yadav</v>
      </c>
      <c r="D19" s="33" t="s">
        <v>66</v>
      </c>
      <c r="E19" s="33" t="s">
        <v>67</v>
      </c>
      <c r="F19" s="34">
        <v>42</v>
      </c>
      <c r="G19" s="34">
        <v>4</v>
      </c>
      <c r="H19" s="34" t="s">
        <v>68</v>
      </c>
      <c r="I19" s="35">
        <v>119250</v>
      </c>
      <c r="J19" s="36">
        <v>40044</v>
      </c>
      <c r="K19" s="37">
        <v>28830</v>
      </c>
      <c r="L19" s="38">
        <f ca="1">TODAY()</f>
        <v>45980</v>
      </c>
      <c r="M19" s="50">
        <f ca="1">YEARFRAC(K19,L19)</f>
        <v>46.952777777777776</v>
      </c>
    </row>
    <row r="20" spans="1:13" ht="29.4" thickBot="1" x14ac:dyDescent="0.35">
      <c r="A20" s="33" t="s">
        <v>157</v>
      </c>
      <c r="B20" s="33" t="s">
        <v>158</v>
      </c>
      <c r="C20" s="33" t="str">
        <f>_xlfn.CONCAT(A20," ",B20)</f>
        <v>Dinesh Bhatnagar</v>
      </c>
      <c r="D20" s="33" t="s">
        <v>66</v>
      </c>
      <c r="E20" s="33" t="s">
        <v>67</v>
      </c>
      <c r="F20" s="34">
        <v>53</v>
      </c>
      <c r="G20" s="34">
        <v>21</v>
      </c>
      <c r="H20" s="34" t="s">
        <v>68</v>
      </c>
      <c r="I20" s="35">
        <v>118223</v>
      </c>
      <c r="J20" s="36">
        <v>40264</v>
      </c>
      <c r="K20" s="37">
        <v>29142</v>
      </c>
      <c r="L20" s="38">
        <f ca="1">TODAY()</f>
        <v>45980</v>
      </c>
      <c r="M20" s="50">
        <f ca="1">YEARFRAC(K20,L20)</f>
        <v>46.097222222222221</v>
      </c>
    </row>
    <row r="21" spans="1:13" ht="15.75" customHeight="1" thickBot="1" x14ac:dyDescent="0.35">
      <c r="A21" s="33" t="s">
        <v>159</v>
      </c>
      <c r="B21" s="33" t="s">
        <v>160</v>
      </c>
      <c r="C21" s="33" t="str">
        <f>_xlfn.CONCAT(A21," ",B21)</f>
        <v>Ritu Bajaj</v>
      </c>
      <c r="D21" s="33" t="s">
        <v>66</v>
      </c>
      <c r="E21" s="33" t="s">
        <v>67</v>
      </c>
      <c r="F21" s="34">
        <v>53</v>
      </c>
      <c r="G21" s="34">
        <v>20</v>
      </c>
      <c r="H21" s="34" t="s">
        <v>68</v>
      </c>
      <c r="I21" s="35">
        <v>117256</v>
      </c>
      <c r="J21" s="36">
        <v>41592</v>
      </c>
      <c r="K21" s="37">
        <v>26629</v>
      </c>
      <c r="L21" s="38">
        <f ca="1">TODAY()</f>
        <v>45980</v>
      </c>
      <c r="M21" s="50">
        <f ca="1">YEARFRAC(K21,L21)</f>
        <v>52.980555555555554</v>
      </c>
    </row>
    <row r="22" spans="1:13" ht="15.75" customHeight="1" thickBot="1" x14ac:dyDescent="0.35">
      <c r="A22" s="33" t="s">
        <v>165</v>
      </c>
      <c r="B22" s="33" t="s">
        <v>166</v>
      </c>
      <c r="C22" s="33" t="str">
        <f>_xlfn.CONCAT(A22," ",B22)</f>
        <v>Anita Malhotra</v>
      </c>
      <c r="D22" s="33" t="s">
        <v>66</v>
      </c>
      <c r="E22" s="33" t="s">
        <v>67</v>
      </c>
      <c r="F22" s="34">
        <v>51</v>
      </c>
      <c r="G22" s="34">
        <v>14</v>
      </c>
      <c r="H22" s="34" t="s">
        <v>68</v>
      </c>
      <c r="I22" s="35">
        <v>117150</v>
      </c>
      <c r="J22" s="36">
        <v>42404</v>
      </c>
      <c r="K22" s="37">
        <v>27616</v>
      </c>
      <c r="L22" s="38">
        <f ca="1">TODAY()</f>
        <v>45980</v>
      </c>
      <c r="M22" s="50">
        <f ca="1">YEARFRAC(K22,L22)</f>
        <v>50.274999999999999</v>
      </c>
    </row>
    <row r="23" spans="1:13" ht="15.75" customHeight="1" thickBot="1" x14ac:dyDescent="0.35">
      <c r="A23" s="33" t="s">
        <v>90</v>
      </c>
      <c r="B23" s="33" t="s">
        <v>91</v>
      </c>
      <c r="C23" s="33" t="str">
        <f>_xlfn.CONCAT(A23," ",B23)</f>
        <v>Ananya Singh</v>
      </c>
      <c r="D23" s="33" t="s">
        <v>66</v>
      </c>
      <c r="E23" s="33" t="s">
        <v>67</v>
      </c>
      <c r="F23" s="34">
        <v>32</v>
      </c>
      <c r="G23" s="34">
        <v>0</v>
      </c>
      <c r="H23" s="34" t="s">
        <v>68</v>
      </c>
      <c r="I23" s="35">
        <v>115000</v>
      </c>
      <c r="J23" s="36">
        <v>37999</v>
      </c>
      <c r="K23" s="37">
        <v>26788</v>
      </c>
      <c r="L23" s="38">
        <f ca="1">TODAY()</f>
        <v>45980</v>
      </c>
      <c r="M23" s="50">
        <f ca="1">YEARFRAC(K23,L23)</f>
        <v>52.541666666666664</v>
      </c>
    </row>
    <row r="24" spans="1:13" ht="15.75" customHeight="1" thickBot="1" x14ac:dyDescent="0.35">
      <c r="A24" s="33" t="s">
        <v>92</v>
      </c>
      <c r="B24" s="33" t="s">
        <v>93</v>
      </c>
      <c r="C24" s="33" t="str">
        <f>_xlfn.CONCAT(A24," ",B24)</f>
        <v>Nitin Jain</v>
      </c>
      <c r="D24" s="33" t="s">
        <v>66</v>
      </c>
      <c r="E24" s="33" t="s">
        <v>67</v>
      </c>
      <c r="F24" s="34">
        <v>32</v>
      </c>
      <c r="G24" s="34">
        <v>0</v>
      </c>
      <c r="H24" s="34" t="s">
        <v>68</v>
      </c>
      <c r="I24" s="35">
        <v>114778</v>
      </c>
      <c r="J24" s="36">
        <v>38719</v>
      </c>
      <c r="K24" s="37">
        <v>27681</v>
      </c>
      <c r="L24" s="38">
        <f ca="1">TODAY()</f>
        <v>45980</v>
      </c>
      <c r="M24" s="50">
        <f ca="1">YEARFRAC(K24,L24)</f>
        <v>50.097222222222221</v>
      </c>
    </row>
    <row r="25" spans="1:13" ht="15.75" customHeight="1" thickBot="1" x14ac:dyDescent="0.35">
      <c r="A25" s="33" t="s">
        <v>151</v>
      </c>
      <c r="B25" s="33" t="s">
        <v>152</v>
      </c>
      <c r="C25" s="33" t="str">
        <f>_xlfn.CONCAT(A25," ",B25)</f>
        <v>Jyoti Khanna</v>
      </c>
      <c r="D25" s="33" t="s">
        <v>66</v>
      </c>
      <c r="E25" s="33" t="s">
        <v>79</v>
      </c>
      <c r="F25" s="34">
        <v>54</v>
      </c>
      <c r="G25" s="34">
        <v>18</v>
      </c>
      <c r="H25" s="34" t="s">
        <v>68</v>
      </c>
      <c r="I25" s="35">
        <v>113068</v>
      </c>
      <c r="J25" s="36">
        <v>38330</v>
      </c>
      <c r="K25" s="37">
        <v>26907</v>
      </c>
      <c r="L25" s="38">
        <f ca="1">TODAY()</f>
        <v>45980</v>
      </c>
      <c r="M25" s="50">
        <f ca="1">YEARFRAC(K25,L25)</f>
        <v>52.219444444444441</v>
      </c>
    </row>
    <row r="26" spans="1:13" ht="15.75" customHeight="1" thickBot="1" x14ac:dyDescent="0.35">
      <c r="A26" s="33" t="s">
        <v>167</v>
      </c>
      <c r="B26" s="33" t="s">
        <v>168</v>
      </c>
      <c r="C26" s="33" t="str">
        <f>_xlfn.CONCAT(A26," ",B26)</f>
        <v>Namrata Iyer</v>
      </c>
      <c r="D26" s="33" t="s">
        <v>66</v>
      </c>
      <c r="E26" s="33" t="s">
        <v>79</v>
      </c>
      <c r="F26" s="34">
        <v>51</v>
      </c>
      <c r="G26" s="34">
        <v>18</v>
      </c>
      <c r="H26" s="34" t="s">
        <v>68</v>
      </c>
      <c r="I26" s="35">
        <v>106294</v>
      </c>
      <c r="J26" s="36">
        <v>39047</v>
      </c>
      <c r="K26" s="37">
        <v>27460</v>
      </c>
      <c r="L26" s="38">
        <f ca="1">TODAY()</f>
        <v>45980</v>
      </c>
      <c r="M26" s="50">
        <f ca="1">YEARFRAC(K26,L26)</f>
        <v>50.7</v>
      </c>
    </row>
    <row r="27" spans="1:13" ht="15.75" customHeight="1" thickBot="1" x14ac:dyDescent="0.35">
      <c r="A27" s="33" t="s">
        <v>161</v>
      </c>
      <c r="B27" s="33" t="s">
        <v>162</v>
      </c>
      <c r="C27" s="33" t="str">
        <f>_xlfn.CONCAT(A27," ",B27)</f>
        <v>Prakash Sengupta</v>
      </c>
      <c r="D27" s="33" t="s">
        <v>66</v>
      </c>
      <c r="E27" s="33" t="s">
        <v>67</v>
      </c>
      <c r="F27" s="34">
        <v>52</v>
      </c>
      <c r="G27" s="34">
        <v>17</v>
      </c>
      <c r="H27" s="34" t="s">
        <v>68</v>
      </c>
      <c r="I27" s="35">
        <v>104800</v>
      </c>
      <c r="J27" s="36">
        <v>42178</v>
      </c>
      <c r="K27" s="37">
        <v>27083</v>
      </c>
      <c r="L27" s="38">
        <f ca="1">TODAY()</f>
        <v>45980</v>
      </c>
      <c r="M27" s="50">
        <f ca="1">YEARFRAC(K27,L27)</f>
        <v>51.738888888888887</v>
      </c>
    </row>
    <row r="28" spans="1:13" ht="15.75" customHeight="1" thickBot="1" x14ac:dyDescent="0.35">
      <c r="A28" s="33" t="s">
        <v>113</v>
      </c>
      <c r="B28" s="33" t="s">
        <v>114</v>
      </c>
      <c r="C28" s="33" t="str">
        <f>_xlfn.CONCAT(A28," ",B28)</f>
        <v>Neetu Ghosh</v>
      </c>
      <c r="D28" s="33" t="s">
        <v>66</v>
      </c>
      <c r="E28" s="33" t="s">
        <v>79</v>
      </c>
      <c r="F28" s="34">
        <v>38</v>
      </c>
      <c r="G28" s="34">
        <v>4</v>
      </c>
      <c r="H28" s="34" t="s">
        <v>68</v>
      </c>
      <c r="I28" s="35">
        <v>103450</v>
      </c>
      <c r="J28" s="36">
        <v>43219</v>
      </c>
      <c r="K28" s="37">
        <v>28476</v>
      </c>
      <c r="L28" s="38">
        <f ca="1">TODAY()</f>
        <v>45980</v>
      </c>
      <c r="M28" s="50">
        <f ca="1">YEARFRAC(K28,L28)</f>
        <v>47.922222222222224</v>
      </c>
    </row>
    <row r="29" spans="1:13" ht="15.75" customHeight="1" thickBot="1" x14ac:dyDescent="0.35">
      <c r="A29" s="33" t="s">
        <v>121</v>
      </c>
      <c r="B29" s="33" t="s">
        <v>122</v>
      </c>
      <c r="C29" s="33" t="str">
        <f>_xlfn.CONCAT(A29," ",B29)</f>
        <v>Archana Mehta</v>
      </c>
      <c r="D29" s="33" t="s">
        <v>66</v>
      </c>
      <c r="E29" s="33" t="s">
        <v>79</v>
      </c>
      <c r="F29" s="39">
        <v>41</v>
      </c>
      <c r="G29" s="39">
        <v>11</v>
      </c>
      <c r="H29" s="39" t="s">
        <v>68</v>
      </c>
      <c r="I29" s="40">
        <v>102580</v>
      </c>
      <c r="J29" s="41">
        <v>37337</v>
      </c>
      <c r="K29" s="37">
        <v>26241</v>
      </c>
      <c r="L29" s="38">
        <f ca="1">TODAY()</f>
        <v>45980</v>
      </c>
      <c r="M29" s="50">
        <f ca="1">YEARFRAC(K29,L29)</f>
        <v>54.041666666666664</v>
      </c>
    </row>
    <row r="30" spans="1:13" ht="15.75" customHeight="1" thickBot="1" x14ac:dyDescent="0.35">
      <c r="A30" s="33" t="s">
        <v>123</v>
      </c>
      <c r="B30" s="33" t="s">
        <v>124</v>
      </c>
      <c r="C30" s="33" t="str">
        <f>_xlfn.CONCAT(A30," ",B30)</f>
        <v>Deepika Thakur</v>
      </c>
      <c r="D30" s="33" t="s">
        <v>66</v>
      </c>
      <c r="E30" s="42" t="s">
        <v>67</v>
      </c>
      <c r="F30" s="53">
        <v>41</v>
      </c>
      <c r="G30" s="53">
        <v>7</v>
      </c>
      <c r="H30" s="53" t="s">
        <v>68</v>
      </c>
      <c r="I30" s="54">
        <v>101299</v>
      </c>
      <c r="J30" s="55">
        <v>37772</v>
      </c>
      <c r="K30" s="37">
        <v>26379</v>
      </c>
      <c r="L30" s="38">
        <f ca="1">TODAY()</f>
        <v>45980</v>
      </c>
      <c r="M30" s="50">
        <f ca="1">YEARFRAC(K30,L30)</f>
        <v>53.661111111111111</v>
      </c>
    </row>
    <row r="31" spans="1:13" ht="15.75" customHeight="1" thickBot="1" x14ac:dyDescent="0.35">
      <c r="A31" s="33" t="s">
        <v>143</v>
      </c>
      <c r="B31" s="33" t="s">
        <v>144</v>
      </c>
      <c r="C31" s="33" t="str">
        <f>_xlfn.CONCAT(A31," ",B31)</f>
        <v>Ramesh Pillai</v>
      </c>
      <c r="D31" s="33" t="s">
        <v>66</v>
      </c>
      <c r="E31" s="42" t="s">
        <v>67</v>
      </c>
      <c r="F31" s="43">
        <v>49</v>
      </c>
      <c r="G31" s="43">
        <v>11</v>
      </c>
      <c r="H31" s="43" t="s">
        <v>68</v>
      </c>
      <c r="I31" s="44">
        <v>101000</v>
      </c>
      <c r="J31" s="45">
        <v>42866</v>
      </c>
      <c r="K31" s="37">
        <v>27910</v>
      </c>
      <c r="L31" s="38">
        <f ca="1">TODAY()</f>
        <v>45980</v>
      </c>
      <c r="M31" s="50">
        <f ca="1">YEARFRAC(K31,L31)</f>
        <v>49.469444444444441</v>
      </c>
    </row>
    <row r="32" spans="1:13" ht="15.75" customHeight="1" thickBot="1" x14ac:dyDescent="0.35">
      <c r="A32" s="33" t="s">
        <v>104</v>
      </c>
      <c r="B32" s="33" t="s">
        <v>105</v>
      </c>
      <c r="C32" s="33" t="str">
        <f>_xlfn.CONCAT(A32," ",B32)</f>
        <v>Vipul Dasgupta</v>
      </c>
      <c r="D32" s="33" t="s">
        <v>106</v>
      </c>
      <c r="E32" s="42" t="s">
        <v>67</v>
      </c>
      <c r="F32" s="53">
        <v>34</v>
      </c>
      <c r="G32" s="53">
        <v>0</v>
      </c>
      <c r="H32" s="53" t="s">
        <v>68</v>
      </c>
      <c r="I32" s="54">
        <v>100938</v>
      </c>
      <c r="J32" s="55">
        <v>43880</v>
      </c>
      <c r="K32" s="37">
        <v>28974</v>
      </c>
      <c r="L32" s="38">
        <f ca="1">TODAY()</f>
        <v>45980</v>
      </c>
      <c r="M32" s="50">
        <f ca="1">YEARFRAC(K32,L32)</f>
        <v>46.555555555555557</v>
      </c>
    </row>
    <row r="33" spans="1:13" ht="15.75" customHeight="1" thickBot="1" x14ac:dyDescent="0.35">
      <c r="A33" s="33" t="s">
        <v>115</v>
      </c>
      <c r="B33" s="33" t="s">
        <v>116</v>
      </c>
      <c r="C33" s="33" t="str">
        <f>_xlfn.CONCAT(A33," ",B33)</f>
        <v>Sonali Vohra</v>
      </c>
      <c r="D33" s="33" t="s">
        <v>66</v>
      </c>
      <c r="E33" s="42" t="s">
        <v>67</v>
      </c>
      <c r="F33" s="53">
        <v>39</v>
      </c>
      <c r="G33" s="53">
        <v>2</v>
      </c>
      <c r="H33" s="53" t="s">
        <v>68</v>
      </c>
      <c r="I33" s="54">
        <v>98193</v>
      </c>
      <c r="J33" s="55">
        <v>39430</v>
      </c>
      <c r="K33" s="37">
        <v>27791</v>
      </c>
      <c r="L33" s="38">
        <f ca="1">TODAY()</f>
        <v>45980</v>
      </c>
      <c r="M33" s="50">
        <f ca="1">YEARFRAC(K33,L33)</f>
        <v>49.8</v>
      </c>
    </row>
    <row r="34" spans="1:13" ht="15.75" customHeight="1" thickBot="1" x14ac:dyDescent="0.35">
      <c r="A34" s="33" t="s">
        <v>125</v>
      </c>
      <c r="B34" s="33" t="s">
        <v>126</v>
      </c>
      <c r="C34" s="33" t="str">
        <f>_xlfn.CONCAT(A34," ",B34)</f>
        <v>Pooja Kumar</v>
      </c>
      <c r="D34" s="33" t="s">
        <v>106</v>
      </c>
      <c r="E34" s="42" t="s">
        <v>67</v>
      </c>
      <c r="F34" s="53">
        <v>42</v>
      </c>
      <c r="G34" s="53">
        <v>12</v>
      </c>
      <c r="H34" s="53" t="s">
        <v>68</v>
      </c>
      <c r="I34" s="54">
        <v>97000</v>
      </c>
      <c r="J34" s="55">
        <v>38914</v>
      </c>
      <c r="K34" s="37">
        <v>27503</v>
      </c>
      <c r="L34" s="38">
        <f ca="1">TODAY()</f>
        <v>45980</v>
      </c>
      <c r="M34" s="50">
        <f ca="1">YEARFRAC(K34,L34)</f>
        <v>50.583333333333336</v>
      </c>
    </row>
    <row r="35" spans="1:13" ht="15.75" customHeight="1" thickBot="1" x14ac:dyDescent="0.35">
      <c r="A35" s="33" t="s">
        <v>75</v>
      </c>
      <c r="B35" s="33" t="s">
        <v>76</v>
      </c>
      <c r="C35" s="33" t="str">
        <f>_xlfn.CONCAT(A35," ",B35)</f>
        <v>Usha Roy</v>
      </c>
      <c r="D35" s="33" t="s">
        <v>66</v>
      </c>
      <c r="E35" s="42" t="s">
        <v>67</v>
      </c>
      <c r="F35" s="53">
        <v>25</v>
      </c>
      <c r="G35" s="53">
        <v>0</v>
      </c>
      <c r="H35" s="53" t="s">
        <v>68</v>
      </c>
      <c r="I35" s="54">
        <v>94384</v>
      </c>
      <c r="J35" s="55">
        <v>38635</v>
      </c>
      <c r="K35" s="37">
        <v>27176</v>
      </c>
      <c r="L35" s="38">
        <f ca="1">TODAY()</f>
        <v>45980</v>
      </c>
      <c r="M35" s="50">
        <f ca="1">YEARFRAC(K35,L35)</f>
        <v>51.477777777777774</v>
      </c>
    </row>
    <row r="36" spans="1:13" ht="15.75" customHeight="1" thickBot="1" x14ac:dyDescent="0.35">
      <c r="A36" s="33" t="s">
        <v>77</v>
      </c>
      <c r="B36" s="33" t="s">
        <v>78</v>
      </c>
      <c r="C36" s="33" t="str">
        <f>_xlfn.CONCAT(A36," ",B36)</f>
        <v>Vivek Rai</v>
      </c>
      <c r="D36" s="33" t="s">
        <v>66</v>
      </c>
      <c r="E36" s="42" t="s">
        <v>79</v>
      </c>
      <c r="F36" s="53">
        <v>26</v>
      </c>
      <c r="G36" s="53">
        <v>0</v>
      </c>
      <c r="H36" s="53" t="s">
        <v>68</v>
      </c>
      <c r="I36" s="54">
        <v>93904</v>
      </c>
      <c r="J36" s="55">
        <v>37914</v>
      </c>
      <c r="K36" s="37">
        <v>26463</v>
      </c>
      <c r="L36" s="38">
        <f ca="1">TODAY()</f>
        <v>45980</v>
      </c>
      <c r="M36" s="50">
        <f ca="1">YEARFRAC(K36,L36)</f>
        <v>53.43333333333333</v>
      </c>
    </row>
    <row r="37" spans="1:13" ht="15.75" customHeight="1" thickBot="1" x14ac:dyDescent="0.35">
      <c r="A37" s="33" t="s">
        <v>109</v>
      </c>
      <c r="B37" s="33" t="s">
        <v>110</v>
      </c>
      <c r="C37" s="33" t="str">
        <f>_xlfn.CONCAT(A37," ",B37)</f>
        <v>Amit Saran</v>
      </c>
      <c r="D37" s="33" t="s">
        <v>106</v>
      </c>
      <c r="E37" s="42" t="s">
        <v>67</v>
      </c>
      <c r="F37" s="53">
        <v>36</v>
      </c>
      <c r="G37" s="53">
        <v>0</v>
      </c>
      <c r="H37" s="53" t="s">
        <v>68</v>
      </c>
      <c r="I37" s="54">
        <v>93418</v>
      </c>
      <c r="J37" s="55">
        <v>37461</v>
      </c>
      <c r="K37" s="37">
        <v>26118</v>
      </c>
      <c r="L37" s="38">
        <f ca="1">TODAY()</f>
        <v>45980</v>
      </c>
      <c r="M37" s="50">
        <f ca="1">YEARFRAC(K37,L37)</f>
        <v>54.375</v>
      </c>
    </row>
    <row r="38" spans="1:13" ht="15.75" customHeight="1" thickBot="1" x14ac:dyDescent="0.35">
      <c r="A38" s="33" t="s">
        <v>137</v>
      </c>
      <c r="B38" s="33" t="s">
        <v>138</v>
      </c>
      <c r="C38" s="33" t="str">
        <f>_xlfn.CONCAT(A38," ",B38)</f>
        <v>Manoj Rathi</v>
      </c>
      <c r="D38" s="33" t="s">
        <v>66</v>
      </c>
      <c r="E38" s="42" t="s">
        <v>79</v>
      </c>
      <c r="F38" s="43">
        <v>45</v>
      </c>
      <c r="G38" s="43">
        <v>14</v>
      </c>
      <c r="H38" s="43" t="s">
        <v>68</v>
      </c>
      <c r="I38" s="44">
        <v>89565</v>
      </c>
      <c r="J38" s="45">
        <v>44394</v>
      </c>
      <c r="K38" s="37">
        <v>25767</v>
      </c>
      <c r="L38" s="38">
        <f ca="1">TODAY()</f>
        <v>45980</v>
      </c>
      <c r="M38" s="50">
        <f ca="1">YEARFRAC(K38,L38)</f>
        <v>55.336111111111109</v>
      </c>
    </row>
    <row r="39" spans="1:13" ht="15.75" customHeight="1" thickBot="1" x14ac:dyDescent="0.35">
      <c r="A39" s="33" t="s">
        <v>169</v>
      </c>
      <c r="B39" s="33" t="s">
        <v>170</v>
      </c>
      <c r="C39" s="33" t="str">
        <f>_xlfn.CONCAT(A39," ",B39)</f>
        <v>Manish Agarwal</v>
      </c>
      <c r="D39" s="33" t="s">
        <v>89</v>
      </c>
      <c r="E39" s="42" t="s">
        <v>67</v>
      </c>
      <c r="F39" s="53">
        <v>51</v>
      </c>
      <c r="G39" s="53">
        <v>13</v>
      </c>
      <c r="H39" s="53" t="s">
        <v>68</v>
      </c>
      <c r="I39" s="54">
        <v>86373</v>
      </c>
      <c r="J39" s="55">
        <v>43104</v>
      </c>
      <c r="K39" s="37">
        <v>28300</v>
      </c>
      <c r="L39" s="38">
        <f ca="1">TODAY()</f>
        <v>45980</v>
      </c>
      <c r="M39" s="50">
        <f ca="1">YEARFRAC(K39,L39)</f>
        <v>48.402777777777779</v>
      </c>
    </row>
    <row r="40" spans="1:13" ht="15.75" customHeight="1" thickBot="1" x14ac:dyDescent="0.35">
      <c r="A40" s="33" t="s">
        <v>155</v>
      </c>
      <c r="B40" s="33" t="s">
        <v>156</v>
      </c>
      <c r="C40" s="33" t="str">
        <f>_xlfn.CONCAT(A40," ",B40)</f>
        <v>Varun Oberoi</v>
      </c>
      <c r="D40" s="33" t="s">
        <v>89</v>
      </c>
      <c r="E40" s="42" t="s">
        <v>67</v>
      </c>
      <c r="F40" s="53">
        <v>53</v>
      </c>
      <c r="G40" s="53">
        <v>13</v>
      </c>
      <c r="H40" s="53" t="s">
        <v>68</v>
      </c>
      <c r="I40" s="54">
        <v>82379</v>
      </c>
      <c r="J40" s="55">
        <v>39639</v>
      </c>
      <c r="K40" s="37">
        <v>28317</v>
      </c>
      <c r="L40" s="38">
        <f ca="1">TODAY()</f>
        <v>45980</v>
      </c>
      <c r="M40" s="50">
        <f ca="1">YEARFRAC(K40,L40)</f>
        <v>48.355555555555554</v>
      </c>
    </row>
    <row r="41" spans="1:13" ht="15.75" customHeight="1" thickBot="1" x14ac:dyDescent="0.35">
      <c r="A41" s="33" t="s">
        <v>96</v>
      </c>
      <c r="B41" s="33" t="s">
        <v>97</v>
      </c>
      <c r="C41" s="33" t="str">
        <f>_xlfn.CONCAT(A41," ",B41)</f>
        <v>Ajay Mathur</v>
      </c>
      <c r="D41" s="33" t="s">
        <v>89</v>
      </c>
      <c r="E41" s="33" t="s">
        <v>67</v>
      </c>
      <c r="F41" s="46">
        <v>33</v>
      </c>
      <c r="G41" s="46">
        <v>2</v>
      </c>
      <c r="H41" s="46" t="s">
        <v>68</v>
      </c>
      <c r="I41" s="47">
        <v>80225</v>
      </c>
      <c r="J41" s="48">
        <v>41858</v>
      </c>
      <c r="K41" s="37">
        <v>26708</v>
      </c>
      <c r="L41" s="38">
        <f ca="1">TODAY()</f>
        <v>45980</v>
      </c>
      <c r="M41" s="50">
        <f ca="1">YEARFRAC(K41,L41)</f>
        <v>52.766666666666666</v>
      </c>
    </row>
    <row r="42" spans="1:13" ht="15.75" customHeight="1" thickBot="1" x14ac:dyDescent="0.35">
      <c r="A42" s="33" t="s">
        <v>98</v>
      </c>
      <c r="B42" s="33" t="s">
        <v>99</v>
      </c>
      <c r="C42" s="33" t="str">
        <f>_xlfn.CONCAT(A42," ",B42)</f>
        <v>Seema Rastogi</v>
      </c>
      <c r="D42" s="33" t="s">
        <v>89</v>
      </c>
      <c r="E42" s="33" t="s">
        <v>67</v>
      </c>
      <c r="F42" s="34">
        <v>33</v>
      </c>
      <c r="G42" s="34">
        <v>2</v>
      </c>
      <c r="H42" s="34" t="s">
        <v>86</v>
      </c>
      <c r="I42" s="35">
        <v>80225</v>
      </c>
      <c r="J42" s="36">
        <v>42353</v>
      </c>
      <c r="K42" s="37">
        <v>27211</v>
      </c>
      <c r="L42" s="38">
        <f ca="1">TODAY()</f>
        <v>45980</v>
      </c>
      <c r="M42" s="50">
        <f ca="1">YEARFRAC(K42,L42)</f>
        <v>51.383333333333333</v>
      </c>
    </row>
    <row r="43" spans="1:13" ht="15.75" customHeight="1" thickBot="1" x14ac:dyDescent="0.35">
      <c r="A43" s="33" t="s">
        <v>135</v>
      </c>
      <c r="B43" s="33" t="s">
        <v>136</v>
      </c>
      <c r="C43" s="33" t="str">
        <f>_xlfn.CONCAT(A43," ",B43)</f>
        <v>Sanjay Chopra</v>
      </c>
      <c r="D43" s="33" t="s">
        <v>89</v>
      </c>
      <c r="E43" s="33" t="s">
        <v>67</v>
      </c>
      <c r="F43" s="34">
        <v>44</v>
      </c>
      <c r="G43" s="34">
        <v>8</v>
      </c>
      <c r="H43" s="34" t="s">
        <v>68</v>
      </c>
      <c r="I43" s="35">
        <v>79916</v>
      </c>
      <c r="J43" s="36">
        <v>41072</v>
      </c>
      <c r="K43" s="37">
        <v>26062</v>
      </c>
      <c r="L43" s="38">
        <f ca="1">TODAY()</f>
        <v>45980</v>
      </c>
      <c r="M43" s="50">
        <f ca="1">YEARFRAC(K43,L43)</f>
        <v>54.527777777777779</v>
      </c>
    </row>
    <row r="44" spans="1:13" ht="15.75" customHeight="1" thickBot="1" x14ac:dyDescent="0.35">
      <c r="A44" s="33" t="s">
        <v>94</v>
      </c>
      <c r="B44" s="33" t="s">
        <v>95</v>
      </c>
      <c r="C44" s="33" t="str">
        <f>_xlfn.CONCAT(A44," ",B44)</f>
        <v>Rani Reddy</v>
      </c>
      <c r="D44" s="33" t="s">
        <v>89</v>
      </c>
      <c r="E44" s="33" t="s">
        <v>67</v>
      </c>
      <c r="F44" s="34">
        <v>33</v>
      </c>
      <c r="G44" s="34">
        <v>0</v>
      </c>
      <c r="H44" s="34" t="s">
        <v>68</v>
      </c>
      <c r="I44" s="35">
        <v>79800</v>
      </c>
      <c r="J44" s="36">
        <v>41195</v>
      </c>
      <c r="K44" s="37">
        <v>26183</v>
      </c>
      <c r="L44" s="38">
        <f ca="1">TODAY()</f>
        <v>45980</v>
      </c>
      <c r="M44" s="50">
        <f ca="1">YEARFRAC(K44,L44)</f>
        <v>54.2</v>
      </c>
    </row>
    <row r="45" spans="1:13" ht="15.75" customHeight="1" thickBot="1" x14ac:dyDescent="0.35">
      <c r="A45" s="33" t="s">
        <v>111</v>
      </c>
      <c r="B45" s="33" t="s">
        <v>112</v>
      </c>
      <c r="C45" s="33" t="str">
        <f>_xlfn.CONCAT(A45," ",B45)</f>
        <v>Deepak Verma</v>
      </c>
      <c r="D45" s="33" t="s">
        <v>89</v>
      </c>
      <c r="E45" s="33" t="s">
        <v>67</v>
      </c>
      <c r="F45" s="34">
        <v>38</v>
      </c>
      <c r="G45" s="34">
        <v>2</v>
      </c>
      <c r="H45" s="34" t="s">
        <v>68</v>
      </c>
      <c r="I45" s="35">
        <v>79750</v>
      </c>
      <c r="J45" s="36">
        <v>37932</v>
      </c>
      <c r="K45" s="37">
        <v>26528</v>
      </c>
      <c r="L45" s="38">
        <f ca="1">TODAY()</f>
        <v>45980</v>
      </c>
      <c r="M45" s="50">
        <f ca="1">YEARFRAC(K45,L45)</f>
        <v>53.255555555555553</v>
      </c>
    </row>
    <row r="46" spans="1:13" ht="15.75" customHeight="1" thickBot="1" x14ac:dyDescent="0.35">
      <c r="A46" s="33" t="s">
        <v>149</v>
      </c>
      <c r="B46" s="33" t="s">
        <v>150</v>
      </c>
      <c r="C46" s="33" t="str">
        <f>_xlfn.CONCAT(A46," ",B46)</f>
        <v>Sunita Ranganathan</v>
      </c>
      <c r="D46" s="33" t="s">
        <v>89</v>
      </c>
      <c r="E46" s="33" t="s">
        <v>67</v>
      </c>
      <c r="F46" s="34">
        <v>54</v>
      </c>
      <c r="G46" s="34">
        <v>20</v>
      </c>
      <c r="H46" s="34" t="s">
        <v>68</v>
      </c>
      <c r="I46" s="35">
        <v>78000</v>
      </c>
      <c r="J46" s="36">
        <v>41715</v>
      </c>
      <c r="K46" s="37">
        <v>26679</v>
      </c>
      <c r="L46" s="38">
        <f ca="1">TODAY()</f>
        <v>45980</v>
      </c>
      <c r="M46" s="50">
        <f ca="1">YEARFRAC(K46,L46)</f>
        <v>52.844444444444441</v>
      </c>
    </row>
    <row r="47" spans="1:13" ht="15.75" customHeight="1" thickBot="1" x14ac:dyDescent="0.35">
      <c r="A47" s="33" t="s">
        <v>131</v>
      </c>
      <c r="B47" s="33" t="s">
        <v>132</v>
      </c>
      <c r="C47" s="33" t="str">
        <f>_xlfn.CONCAT(A47," ",B47)</f>
        <v>Rohit Chatterjee</v>
      </c>
      <c r="D47" s="33" t="s">
        <v>89</v>
      </c>
      <c r="E47" s="33" t="s">
        <v>67</v>
      </c>
      <c r="F47" s="34">
        <v>44</v>
      </c>
      <c r="G47" s="34">
        <v>13</v>
      </c>
      <c r="H47" s="34" t="s">
        <v>68</v>
      </c>
      <c r="I47" s="35">
        <v>77700</v>
      </c>
      <c r="J47" s="36">
        <v>41519</v>
      </c>
      <c r="K47" s="37">
        <v>26417</v>
      </c>
      <c r="L47" s="38">
        <f ca="1">TODAY()</f>
        <v>45980</v>
      </c>
      <c r="M47" s="50">
        <f ca="1">YEARFRAC(K47,L47)</f>
        <v>53.55833333333333</v>
      </c>
    </row>
    <row r="48" spans="1:13" ht="15.75" customHeight="1" thickBot="1" x14ac:dyDescent="0.35">
      <c r="A48" s="33" t="s">
        <v>87</v>
      </c>
      <c r="B48" s="33" t="s">
        <v>88</v>
      </c>
      <c r="C48" s="33" t="str">
        <f>_xlfn.CONCAT(A48," ",B48)</f>
        <v>Anand Mittal</v>
      </c>
      <c r="D48" s="33" t="s">
        <v>89</v>
      </c>
      <c r="E48" s="33" t="s">
        <v>67</v>
      </c>
      <c r="F48" s="34">
        <v>31</v>
      </c>
      <c r="G48" s="34">
        <v>0</v>
      </c>
      <c r="H48" s="34" t="s">
        <v>86</v>
      </c>
      <c r="I48" s="35">
        <v>77000</v>
      </c>
      <c r="J48" s="36">
        <v>42634</v>
      </c>
      <c r="K48" s="37">
        <v>27746</v>
      </c>
      <c r="L48" s="38">
        <f ca="1">TODAY()</f>
        <v>45980</v>
      </c>
      <c r="M48" s="50">
        <f ca="1">YEARFRAC(K48,L48)</f>
        <v>49.919444444444444</v>
      </c>
    </row>
    <row r="49" spans="1:13" ht="15.75" customHeight="1" thickBot="1" x14ac:dyDescent="0.35">
      <c r="A49" s="33" t="s">
        <v>141</v>
      </c>
      <c r="B49" s="33" t="s">
        <v>142</v>
      </c>
      <c r="C49" s="33" t="str">
        <f>_xlfn.CONCAT(A49," ",B49)</f>
        <v>Shalini Shah</v>
      </c>
      <c r="D49" s="33" t="s">
        <v>89</v>
      </c>
      <c r="E49" s="33" t="s">
        <v>67</v>
      </c>
      <c r="F49" s="34">
        <v>45</v>
      </c>
      <c r="G49" s="34">
        <v>8</v>
      </c>
      <c r="H49" s="34" t="s">
        <v>68</v>
      </c>
      <c r="I49" s="35">
        <v>77000</v>
      </c>
      <c r="J49" s="36">
        <v>39951</v>
      </c>
      <c r="K49" s="37">
        <v>28607</v>
      </c>
      <c r="L49" s="38">
        <f ca="1">TODAY()</f>
        <v>45980</v>
      </c>
      <c r="M49" s="50">
        <f ca="1">YEARFRAC(K49,L49)</f>
        <v>47.56111111111111</v>
      </c>
    </row>
    <row r="50" spans="1:13" ht="15.75" customHeight="1" thickBot="1" x14ac:dyDescent="0.35">
      <c r="A50" s="33" t="s">
        <v>163</v>
      </c>
      <c r="B50" s="33" t="s">
        <v>164</v>
      </c>
      <c r="C50" s="33" t="str">
        <f>_xlfn.CONCAT(A50," ",B50)</f>
        <v>Siddharth Krishnamurthy</v>
      </c>
      <c r="D50" s="33" t="s">
        <v>106</v>
      </c>
      <c r="E50" s="33" t="s">
        <v>79</v>
      </c>
      <c r="F50" s="34">
        <v>52</v>
      </c>
      <c r="G50" s="34">
        <v>13</v>
      </c>
      <c r="H50" s="34" t="s">
        <v>86</v>
      </c>
      <c r="I50" s="35">
        <v>74830</v>
      </c>
      <c r="J50" s="36">
        <v>38610</v>
      </c>
      <c r="K50" s="37">
        <v>27291</v>
      </c>
      <c r="L50" s="38">
        <f ca="1">TODAY()</f>
        <v>45980</v>
      </c>
      <c r="M50" s="50">
        <f ca="1">YEARFRAC(K50,L50)</f>
        <v>51.166666666666664</v>
      </c>
    </row>
    <row r="51" spans="1:13" ht="15.75" customHeight="1" thickBot="1" x14ac:dyDescent="0.35">
      <c r="A51" s="33" t="s">
        <v>100</v>
      </c>
      <c r="B51" s="33" t="s">
        <v>101</v>
      </c>
      <c r="C51" s="33" t="str">
        <f>_xlfn.CONCAT(A51," ",B51)</f>
        <v>Rajendra Sood</v>
      </c>
      <c r="D51" s="33" t="s">
        <v>89</v>
      </c>
      <c r="E51" s="33" t="s">
        <v>67</v>
      </c>
      <c r="F51" s="34">
        <v>33</v>
      </c>
      <c r="G51" s="34">
        <v>0</v>
      </c>
      <c r="H51" s="34" t="s">
        <v>68</v>
      </c>
      <c r="I51" s="35">
        <v>70768</v>
      </c>
      <c r="J51" s="36">
        <v>40494</v>
      </c>
      <c r="K51" s="37">
        <v>28939</v>
      </c>
      <c r="L51" s="38">
        <f ca="1">TODAY()</f>
        <v>45980</v>
      </c>
      <c r="M51" s="50">
        <f ca="1">YEARFRAC(K51,L51)</f>
        <v>46.65</v>
      </c>
    </row>
    <row r="52" spans="1:13" ht="15.75" customHeight="1" thickBot="1" x14ac:dyDescent="0.35">
      <c r="C52" s="33" t="str">
        <f>_xlfn.CONCAT(A52," ",B52)</f>
        <v xml:space="preserve"> </v>
      </c>
      <c r="K52" s="52"/>
      <c r="L52" s="51"/>
      <c r="M52" s="50"/>
    </row>
    <row r="53" spans="1:13" ht="15.75" customHeight="1" x14ac:dyDescent="0.3"/>
    <row r="54" spans="1:13" ht="15.75" customHeight="1" thickBot="1" x14ac:dyDescent="0.35"/>
    <row r="55" spans="1:13" ht="15.75" customHeight="1" thickBot="1" x14ac:dyDescent="0.35">
      <c r="B55" s="34"/>
    </row>
    <row r="56" spans="1:13" ht="15.75" customHeight="1" thickBot="1" x14ac:dyDescent="0.35">
      <c r="B56" s="34"/>
    </row>
    <row r="57" spans="1:13" ht="15.75" customHeight="1" thickBot="1" x14ac:dyDescent="0.35">
      <c r="B57" s="34"/>
    </row>
    <row r="58" spans="1:13" ht="15.75" customHeight="1" thickBot="1" x14ac:dyDescent="0.35">
      <c r="B58" s="34"/>
    </row>
    <row r="59" spans="1:13" ht="15.75" customHeight="1" thickBot="1" x14ac:dyDescent="0.35">
      <c r="B59" s="34"/>
    </row>
    <row r="60" spans="1:13" ht="15.75" customHeight="1" thickBot="1" x14ac:dyDescent="0.35">
      <c r="B60" s="34"/>
    </row>
    <row r="61" spans="1:13" ht="15.75" customHeight="1" thickBot="1" x14ac:dyDescent="0.35">
      <c r="B61" s="34"/>
    </row>
    <row r="62" spans="1:13" ht="15.75" customHeight="1" x14ac:dyDescent="0.3"/>
    <row r="63" spans="1:13" ht="15.75" customHeight="1" x14ac:dyDescent="0.3"/>
    <row r="64" spans="1:13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autoFilter ref="A1:M1" xr:uid="{00000000-0001-0000-0400-000000000000}">
    <sortState xmlns:xlrd2="http://schemas.microsoft.com/office/spreadsheetml/2017/richdata2" ref="A2:M52">
      <sortCondition descending="1" ref="I1"/>
    </sortState>
  </autoFilter>
  <pageMargins left="0.7" right="0.7" top="0.75" bottom="0.75" header="0" footer="0"/>
  <pageSetup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1000"/>
  <sheetViews>
    <sheetView workbookViewId="0"/>
  </sheetViews>
  <sheetFormatPr defaultColWidth="14.44140625" defaultRowHeight="15" customHeight="1" x14ac:dyDescent="0.3"/>
  <cols>
    <col min="1" max="26" width="8.6640625" customWidth="1"/>
  </cols>
  <sheetData>
    <row r="1" spans="1:1" ht="14.4" x14ac:dyDescent="0.3">
      <c r="A1" s="11" t="s">
        <v>171</v>
      </c>
    </row>
    <row r="2" spans="1:1" ht="14.4" x14ac:dyDescent="0.3">
      <c r="A2" s="11" t="s">
        <v>172</v>
      </c>
    </row>
    <row r="3" spans="1:1" ht="14.4" x14ac:dyDescent="0.3">
      <c r="A3" s="11" t="s">
        <v>173</v>
      </c>
    </row>
    <row r="4" spans="1:1" ht="14.4" x14ac:dyDescent="0.3">
      <c r="A4" s="11" t="s">
        <v>174</v>
      </c>
    </row>
    <row r="5" spans="1:1" ht="14.4" x14ac:dyDescent="0.3">
      <c r="A5" s="11" t="s">
        <v>175</v>
      </c>
    </row>
    <row r="6" spans="1:1" ht="14.4" x14ac:dyDescent="0.3">
      <c r="A6" s="11" t="s">
        <v>176</v>
      </c>
    </row>
    <row r="21" ht="15.75" customHeight="1" x14ac:dyDescent="0.3"/>
    <row r="22" ht="15.75" customHeight="1" x14ac:dyDescent="0.3"/>
    <row r="23" ht="15.75" customHeight="1" x14ac:dyDescent="0.3"/>
    <row r="24" ht="15.75" customHeight="1" x14ac:dyDescent="0.3"/>
    <row r="25" ht="15.75" customHeight="1" x14ac:dyDescent="0.3"/>
    <row r="26" ht="15.75" customHeight="1" x14ac:dyDescent="0.3"/>
    <row r="27" ht="15.75" customHeight="1" x14ac:dyDescent="0.3"/>
    <row r="28" ht="15.75" customHeight="1" x14ac:dyDescent="0.3"/>
    <row r="29" ht="15.75" customHeight="1" x14ac:dyDescent="0.3"/>
    <row r="30" ht="15.75" customHeight="1" x14ac:dyDescent="0.3"/>
    <row r="31" ht="15.75" customHeight="1" x14ac:dyDescent="0.3"/>
    <row r="32" ht="15.75" customHeight="1" x14ac:dyDescent="0.3"/>
    <row r="33" ht="15.75" customHeight="1" x14ac:dyDescent="0.3"/>
    <row r="34" ht="15.75" customHeight="1" x14ac:dyDescent="0.3"/>
    <row r="35" ht="15.75" customHeight="1" x14ac:dyDescent="0.3"/>
    <row r="36" ht="15.75" customHeight="1" x14ac:dyDescent="0.3"/>
    <row r="37" ht="15.75" customHeight="1" x14ac:dyDescent="0.3"/>
    <row r="38" ht="15.75" customHeight="1" x14ac:dyDescent="0.3"/>
    <row r="39" ht="15.75" customHeight="1" x14ac:dyDescent="0.3"/>
    <row r="40" ht="15.75" customHeight="1" x14ac:dyDescent="0.3"/>
    <row r="41" ht="15.75" customHeight="1" x14ac:dyDescent="0.3"/>
    <row r="42" ht="15.75" customHeight="1" x14ac:dyDescent="0.3"/>
    <row r="43" ht="15.75" customHeight="1" x14ac:dyDescent="0.3"/>
    <row r="44" ht="15.75" customHeight="1" x14ac:dyDescent="0.3"/>
    <row r="45" ht="15.75" customHeight="1" x14ac:dyDescent="0.3"/>
    <row r="46" ht="15.75" customHeight="1" x14ac:dyDescent="0.3"/>
    <row r="47" ht="15.75" customHeight="1" x14ac:dyDescent="0.3"/>
    <row r="48" ht="15.75" customHeight="1" x14ac:dyDescent="0.3"/>
    <row r="49" ht="15.75" customHeight="1" x14ac:dyDescent="0.3"/>
    <row r="50" ht="15.75" customHeight="1" x14ac:dyDescent="0.3"/>
    <row r="51" ht="15.75" customHeight="1" x14ac:dyDescent="0.3"/>
    <row r="52" ht="15.75" customHeight="1" x14ac:dyDescent="0.3"/>
    <row r="53" ht="15.75" customHeight="1" x14ac:dyDescent="0.3"/>
    <row r="54" ht="15.75" customHeight="1" x14ac:dyDescent="0.3"/>
    <row r="55" ht="15.75" customHeight="1" x14ac:dyDescent="0.3"/>
    <row r="56" ht="15.75" customHeight="1" x14ac:dyDescent="0.3"/>
    <row r="57" ht="15.75" customHeight="1" x14ac:dyDescent="0.3"/>
    <row r="58" ht="15.75" customHeight="1" x14ac:dyDescent="0.3"/>
    <row r="59" ht="15.75" customHeight="1" x14ac:dyDescent="0.3"/>
    <row r="60" ht="15.75" customHeight="1" x14ac:dyDescent="0.3"/>
    <row r="61" ht="15.75" customHeight="1" x14ac:dyDescent="0.3"/>
    <row r="62" ht="15.75" customHeight="1" x14ac:dyDescent="0.3"/>
    <row r="63" ht="15.75" customHeight="1" x14ac:dyDescent="0.3"/>
    <row r="64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xlookup</vt:lpstr>
      <vt:lpstr>Hllokup</vt:lpstr>
      <vt:lpstr>vlookup Table 2</vt:lpstr>
      <vt:lpstr>vlookup dataset</vt:lpstr>
      <vt:lpstr>Age wise Analysis</vt:lpstr>
      <vt:lpstr>Assignments Questions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Kapil kalagi</dc:creator>
  <cp:lastModifiedBy>Priyanshu Suryawanshi</cp:lastModifiedBy>
  <dcterms:created xsi:type="dcterms:W3CDTF">2015-06-05T18:17:20Z</dcterms:created>
  <dcterms:modified xsi:type="dcterms:W3CDTF">2025-11-19T07:04:23Z</dcterms:modified>
</cp:coreProperties>
</file>
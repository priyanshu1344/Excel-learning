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4A62623C-8347-42DD-A70E-21879623CB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ick Insights 1" sheetId="1" r:id="rId1"/>
    <sheet name="Formating + Quick Insights 2" sheetId="2" r:id="rId2"/>
    <sheet name="Insights 3" sheetId="3" r:id="rId3"/>
    <sheet name="Data Formating" sheetId="4" r:id="rId4"/>
    <sheet name="Basic Formulas" sheetId="5" r:id="rId5"/>
    <sheet name="Sheet4" sheetId="6" r:id="rId6"/>
  </sheets>
  <calcPr calcId="191029"/>
  <extLst>
    <ext uri="GoogleSheetsCustomDataVersion2">
      <go:sheetsCustomData xmlns:go="http://customooxmlschemas.google.com/" r:id="rId10" roundtripDataChecksum="LSIrJExywLFTEZfrBlpLy9iWJxdZneHydfNYnnOR5yc="/>
    </ext>
  </extLst>
</workbook>
</file>

<file path=xl/calcChain.xml><?xml version="1.0" encoding="utf-8"?>
<calcChain xmlns="http://schemas.openxmlformats.org/spreadsheetml/2006/main">
  <c r="O56" i="6" l="1"/>
  <c r="O57" i="6"/>
  <c r="O58" i="6"/>
  <c r="O59" i="6"/>
  <c r="O51" i="6"/>
  <c r="O52" i="6"/>
  <c r="O53" i="6"/>
  <c r="O54" i="6"/>
  <c r="O46" i="6"/>
  <c r="O47" i="6"/>
  <c r="O48" i="6"/>
  <c r="O49" i="6"/>
  <c r="O55" i="6"/>
  <c r="O50" i="6"/>
  <c r="O45" i="6"/>
  <c r="H26" i="6"/>
  <c r="H27" i="6"/>
  <c r="H28" i="6"/>
  <c r="H29" i="6"/>
  <c r="H25" i="6"/>
  <c r="F14" i="6"/>
  <c r="F15" i="6"/>
  <c r="F16" i="6"/>
  <c r="F17" i="6"/>
  <c r="F18" i="6"/>
  <c r="F19" i="6"/>
  <c r="F13" i="6"/>
  <c r="E4" i="6"/>
  <c r="E5" i="6"/>
  <c r="E6" i="6"/>
  <c r="E7" i="6"/>
  <c r="E8" i="6"/>
  <c r="E9" i="6"/>
  <c r="E3" i="6"/>
  <c r="F4" i="6" l="1"/>
  <c r="F5" i="6"/>
  <c r="F6" i="6"/>
  <c r="F7" i="6"/>
  <c r="F8" i="6"/>
  <c r="F9" i="6"/>
  <c r="F3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N51" i="2"/>
  <c r="L51" i="2"/>
  <c r="M51" i="2" s="1"/>
  <c r="C51" i="2"/>
  <c r="N50" i="2"/>
  <c r="L50" i="2"/>
  <c r="M50" i="2" s="1"/>
  <c r="C50" i="2"/>
  <c r="N49" i="2"/>
  <c r="L49" i="2"/>
  <c r="M49" i="2" s="1"/>
  <c r="C49" i="2"/>
  <c r="N48" i="2"/>
  <c r="L48" i="2"/>
  <c r="M48" i="2" s="1"/>
  <c r="C48" i="2"/>
  <c r="N47" i="2"/>
  <c r="L47" i="2"/>
  <c r="M47" i="2" s="1"/>
  <c r="C47" i="2"/>
  <c r="N46" i="2"/>
  <c r="L46" i="2"/>
  <c r="M46" i="2" s="1"/>
  <c r="C46" i="2"/>
  <c r="N45" i="2"/>
  <c r="L45" i="2"/>
  <c r="M45" i="2" s="1"/>
  <c r="C45" i="2"/>
  <c r="N44" i="2"/>
  <c r="L44" i="2"/>
  <c r="M44" i="2" s="1"/>
  <c r="C44" i="2"/>
  <c r="N43" i="2"/>
  <c r="L43" i="2"/>
  <c r="M43" i="2" s="1"/>
  <c r="C43" i="2"/>
  <c r="N42" i="2"/>
  <c r="L42" i="2"/>
  <c r="M42" i="2" s="1"/>
  <c r="C42" i="2"/>
  <c r="N41" i="2"/>
  <c r="L41" i="2"/>
  <c r="M41" i="2" s="1"/>
  <c r="C41" i="2"/>
  <c r="N40" i="2"/>
  <c r="L40" i="2"/>
  <c r="M40" i="2" s="1"/>
  <c r="C40" i="2"/>
  <c r="N39" i="2"/>
  <c r="L39" i="2"/>
  <c r="M39" i="2" s="1"/>
  <c r="C39" i="2"/>
  <c r="N38" i="2"/>
  <c r="L38" i="2"/>
  <c r="M38" i="2" s="1"/>
  <c r="C38" i="2"/>
  <c r="N37" i="2"/>
  <c r="L37" i="2"/>
  <c r="M37" i="2" s="1"/>
  <c r="C37" i="2"/>
  <c r="N36" i="2"/>
  <c r="L36" i="2"/>
  <c r="M36" i="2" s="1"/>
  <c r="C36" i="2"/>
  <c r="N35" i="2"/>
  <c r="L35" i="2"/>
  <c r="M35" i="2" s="1"/>
  <c r="C35" i="2"/>
  <c r="N34" i="2"/>
  <c r="L34" i="2"/>
  <c r="M34" i="2" s="1"/>
  <c r="C34" i="2"/>
  <c r="N33" i="2"/>
  <c r="L33" i="2"/>
  <c r="M33" i="2" s="1"/>
  <c r="C33" i="2"/>
  <c r="N32" i="2"/>
  <c r="L32" i="2"/>
  <c r="M32" i="2" s="1"/>
  <c r="C32" i="2"/>
  <c r="N31" i="2"/>
  <c r="L31" i="2"/>
  <c r="M31" i="2" s="1"/>
  <c r="C31" i="2"/>
  <c r="N30" i="2"/>
  <c r="L30" i="2"/>
  <c r="M30" i="2" s="1"/>
  <c r="C30" i="2"/>
  <c r="N29" i="2"/>
  <c r="L29" i="2"/>
  <c r="M29" i="2" s="1"/>
  <c r="C29" i="2"/>
  <c r="N28" i="2"/>
  <c r="L28" i="2"/>
  <c r="M28" i="2" s="1"/>
  <c r="C28" i="2"/>
  <c r="N27" i="2"/>
  <c r="L27" i="2"/>
  <c r="M27" i="2" s="1"/>
  <c r="C27" i="2"/>
  <c r="N26" i="2"/>
  <c r="L26" i="2"/>
  <c r="M26" i="2" s="1"/>
  <c r="C26" i="2"/>
  <c r="N25" i="2"/>
  <c r="L25" i="2"/>
  <c r="M25" i="2" s="1"/>
  <c r="C25" i="2"/>
  <c r="N24" i="2"/>
  <c r="L24" i="2"/>
  <c r="M24" i="2" s="1"/>
  <c r="C24" i="2"/>
  <c r="N23" i="2"/>
  <c r="L23" i="2"/>
  <c r="M23" i="2" s="1"/>
  <c r="C23" i="2"/>
  <c r="N22" i="2"/>
  <c r="L22" i="2"/>
  <c r="M22" i="2" s="1"/>
  <c r="C22" i="2"/>
  <c r="N21" i="2"/>
  <c r="L21" i="2"/>
  <c r="M21" i="2" s="1"/>
  <c r="C21" i="2"/>
  <c r="N20" i="2"/>
  <c r="L20" i="2"/>
  <c r="M20" i="2" s="1"/>
  <c r="C20" i="2"/>
  <c r="N19" i="2"/>
  <c r="L19" i="2"/>
  <c r="M19" i="2" s="1"/>
  <c r="C19" i="2"/>
  <c r="N18" i="2"/>
  <c r="L18" i="2"/>
  <c r="M18" i="2" s="1"/>
  <c r="C18" i="2"/>
  <c r="N17" i="2"/>
  <c r="L17" i="2"/>
  <c r="M17" i="2" s="1"/>
  <c r="C17" i="2"/>
  <c r="N16" i="2"/>
  <c r="L16" i="2"/>
  <c r="M16" i="2" s="1"/>
  <c r="C16" i="2"/>
  <c r="N15" i="2"/>
  <c r="L15" i="2"/>
  <c r="M15" i="2" s="1"/>
  <c r="C15" i="2"/>
  <c r="N14" i="2"/>
  <c r="L14" i="2"/>
  <c r="M14" i="2" s="1"/>
  <c r="C14" i="2"/>
  <c r="N13" i="2"/>
  <c r="L13" i="2"/>
  <c r="M13" i="2" s="1"/>
  <c r="C13" i="2"/>
  <c r="N12" i="2"/>
  <c r="L12" i="2"/>
  <c r="M12" i="2" s="1"/>
  <c r="C12" i="2"/>
  <c r="N11" i="2"/>
  <c r="L11" i="2"/>
  <c r="M11" i="2" s="1"/>
  <c r="C11" i="2"/>
  <c r="N10" i="2"/>
  <c r="L10" i="2"/>
  <c r="M10" i="2" s="1"/>
  <c r="C10" i="2"/>
  <c r="N9" i="2"/>
  <c r="L9" i="2"/>
  <c r="M9" i="2" s="1"/>
  <c r="C9" i="2"/>
  <c r="N8" i="2"/>
  <c r="L8" i="2"/>
  <c r="M8" i="2" s="1"/>
  <c r="C8" i="2"/>
  <c r="N7" i="2"/>
  <c r="L7" i="2"/>
  <c r="M7" i="2" s="1"/>
  <c r="C7" i="2"/>
  <c r="N6" i="2"/>
  <c r="L6" i="2"/>
  <c r="M6" i="2" s="1"/>
  <c r="C6" i="2"/>
  <c r="N5" i="2"/>
  <c r="L5" i="2"/>
  <c r="M5" i="2" s="1"/>
  <c r="C5" i="2"/>
  <c r="N4" i="2"/>
  <c r="L4" i="2"/>
  <c r="M4" i="2" s="1"/>
  <c r="C4" i="2"/>
  <c r="N3" i="2"/>
  <c r="L3" i="2"/>
  <c r="M3" i="2" s="1"/>
  <c r="C3" i="2"/>
  <c r="N2" i="2"/>
  <c r="L2" i="2"/>
  <c r="M2" i="2" s="1"/>
  <c r="C2" i="2"/>
  <c r="L22" i="1"/>
</calcChain>
</file>

<file path=xl/sharedStrings.xml><?xml version="1.0" encoding="utf-8"?>
<sst xmlns="http://schemas.openxmlformats.org/spreadsheetml/2006/main" count="965" uniqueCount="306">
  <si>
    <t>Sample Super Store Dataset</t>
  </si>
  <si>
    <t>Order Date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</si>
  <si>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</si>
  <si>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</si>
  <si>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</si>
  <si>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</si>
  <si>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</si>
  <si>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</si>
  <si>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</si>
  <si>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</si>
  <si>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</si>
  <si>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</si>
  <si>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</si>
  <si>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</si>
  <si>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</si>
  <si>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United States</t>
  </si>
  <si>
    <t>Central US</t>
  </si>
  <si>
    <t>USCA</t>
  </si>
  <si>
    <t>TEC-PH-5816</t>
  </si>
  <si>
    <t>Technology1</t>
  </si>
  <si>
    <t>Phones</t>
  </si>
  <si>
    <t>Samsung Convoy 3</t>
  </si>
  <si>
    <t>High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</si>
  <si>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</si>
  <si>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</si>
  <si>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</si>
  <si>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</si>
  <si>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</si>
  <si>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</si>
  <si>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</si>
  <si>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</si>
  <si>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TEC-PH-5356</t>
  </si>
  <si>
    <t>Nokia Smart Phone, with Caller ID</t>
  </si>
  <si>
    <t>Medium</t>
  </si>
  <si>
    <t>Germany</t>
  </si>
  <si>
    <t>Western Europe</t>
  </si>
  <si>
    <t>Europe</t>
  </si>
  <si>
    <t>TEC-PH-5267</t>
  </si>
  <si>
    <t>Motorola Smart Phone, Cordless</t>
  </si>
  <si>
    <t>Senegal</t>
  </si>
  <si>
    <t>Western Africa</t>
  </si>
  <si>
    <t>Africa</t>
  </si>
  <si>
    <t>TEC-CO-6011</t>
  </si>
  <si>
    <t>Copiers</t>
  </si>
  <si>
    <t>Sharp Wireless Fax, High-Speed</t>
  </si>
  <si>
    <t>TEC-PH-5842</t>
  </si>
  <si>
    <t>Samsung Smart Phone, with Caller ID</t>
  </si>
  <si>
    <t>New Zealand</t>
  </si>
  <si>
    <t>FUR-CH-5378</t>
  </si>
  <si>
    <t>Novimex Executive Leather Armchair, Adjustable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</si>
  <si>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</si>
  <si>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</si>
  <si>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</si>
  <si>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</si>
  <si>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</si>
  <si>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</si>
  <si>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</si>
  <si>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</si>
  <si>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</si>
  <si>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</si>
  <si>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</si>
  <si>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</si>
  <si>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</si>
  <si>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Afghanistan</t>
  </si>
  <si>
    <t>Southern Asia</t>
  </si>
  <si>
    <t>FUR-TA-3420</t>
  </si>
  <si>
    <t>Bevis Conference Table, Fully Assembled</t>
  </si>
  <si>
    <t>Saudi Arabia</t>
  </si>
  <si>
    <t>Western Asia</t>
  </si>
  <si>
    <t>TEC-PH-3807</t>
  </si>
  <si>
    <t>Cisco Smart Phone, with Caller ID</t>
  </si>
  <si>
    <t>Brazil</t>
  </si>
  <si>
    <t>South America</t>
  </si>
  <si>
    <t>LATAM</t>
  </si>
  <si>
    <t>FUR-CH-4530</t>
  </si>
  <si>
    <t>Harbour Creations Executive Leather Armchair, Adjustable</t>
  </si>
  <si>
    <t>China</t>
  </si>
  <si>
    <t>Eastern Asia</t>
  </si>
  <si>
    <t>OFF-AP-4959</t>
  </si>
  <si>
    <t>Appliances</t>
  </si>
  <si>
    <t>KitchenAid Microwave, White</t>
  </si>
  <si>
    <t>France</t>
  </si>
  <si>
    <t>OFF-AP-3575</t>
  </si>
  <si>
    <t>Breville Refrigerator, Red</t>
  </si>
  <si>
    <t>OFF-ST-3078</t>
  </si>
  <si>
    <t>Storage</t>
  </si>
  <si>
    <t>Akro Stacking Bins</t>
  </si>
  <si>
    <t>Low</t>
  </si>
  <si>
    <t>Italy</t>
  </si>
  <si>
    <t>Southern Europe</t>
  </si>
  <si>
    <t>OFF-AP-4743</t>
  </si>
  <si>
    <t>Hoover Stove, Red</t>
  </si>
  <si>
    <t>TEC-CO-3597</t>
  </si>
  <si>
    <t>Brother Fax Machine, High-Speed</t>
  </si>
  <si>
    <t>First Name</t>
  </si>
  <si>
    <t>Last name</t>
  </si>
  <si>
    <t>initials</t>
  </si>
  <si>
    <t>Department</t>
  </si>
  <si>
    <t>Grade</t>
  </si>
  <si>
    <t>Total_Experience</t>
  </si>
  <si>
    <t>Experience_as_manager</t>
  </si>
  <si>
    <t>Gender</t>
  </si>
  <si>
    <t>CTC</t>
  </si>
  <si>
    <t>Date of Join</t>
  </si>
  <si>
    <t>DOB</t>
  </si>
  <si>
    <t>today</t>
  </si>
  <si>
    <t>Age</t>
  </si>
  <si>
    <t>Aarav</t>
  </si>
  <si>
    <t>Sharma</t>
  </si>
  <si>
    <t>Operations</t>
  </si>
  <si>
    <t>G2</t>
  </si>
  <si>
    <t>Male</t>
  </si>
  <si>
    <t>Nisha</t>
  </si>
  <si>
    <t>Dey</t>
  </si>
  <si>
    <t>Rupali</t>
  </si>
  <si>
    <t>Mukherjee</t>
  </si>
  <si>
    <t>Geeta</t>
  </si>
  <si>
    <t>Chauhan</t>
  </si>
  <si>
    <t>Usha</t>
  </si>
  <si>
    <t>Roy</t>
  </si>
  <si>
    <t>Vivek</t>
  </si>
  <si>
    <t>Rai</t>
  </si>
  <si>
    <t>G1</t>
  </si>
  <si>
    <t>Kavita</t>
  </si>
  <si>
    <t>Joshi</t>
  </si>
  <si>
    <t>Radha</t>
  </si>
  <si>
    <t>Goyal</t>
  </si>
  <si>
    <t>Rekha</t>
  </si>
  <si>
    <t>Kapoor</t>
  </si>
  <si>
    <t>Female</t>
  </si>
  <si>
    <t>Anand</t>
  </si>
  <si>
    <t>Mittal</t>
  </si>
  <si>
    <t>Marketing</t>
  </si>
  <si>
    <t>Ananya</t>
  </si>
  <si>
    <t>Singh</t>
  </si>
  <si>
    <t>Nitin</t>
  </si>
  <si>
    <t>Jain</t>
  </si>
  <si>
    <t>Rani</t>
  </si>
  <si>
    <t>Reddy</t>
  </si>
  <si>
    <t>Ajay</t>
  </si>
  <si>
    <t>Mathur</t>
  </si>
  <si>
    <t>Seema</t>
  </si>
  <si>
    <t>Rastogi</t>
  </si>
  <si>
    <t>Rajendra</t>
  </si>
  <si>
    <t>Sood</t>
  </si>
  <si>
    <t>Priya</t>
  </si>
  <si>
    <t>Patel</t>
  </si>
  <si>
    <t>Vipul</t>
  </si>
  <si>
    <t>Dasgupta</t>
  </si>
  <si>
    <t>Finance</t>
  </si>
  <si>
    <t>Arun</t>
  </si>
  <si>
    <t>Parekh</t>
  </si>
  <si>
    <t>Amit</t>
  </si>
  <si>
    <t>Saran</t>
  </si>
  <si>
    <t>Deepak</t>
  </si>
  <si>
    <t>Verma</t>
  </si>
  <si>
    <t>Neetu</t>
  </si>
  <si>
    <t>Ghosh</t>
  </si>
  <si>
    <t>Sonali</t>
  </si>
  <si>
    <t>Vohra</t>
  </si>
  <si>
    <t>Vijay</t>
  </si>
  <si>
    <t>Mahajan</t>
  </si>
  <si>
    <t>Meena</t>
  </si>
  <si>
    <t>Menon</t>
  </si>
  <si>
    <t>Archana</t>
  </si>
  <si>
    <t>Mehta</t>
  </si>
  <si>
    <t>Deepika</t>
  </si>
  <si>
    <t>Thakur</t>
  </si>
  <si>
    <t>Pooja</t>
  </si>
  <si>
    <t>Kumar</t>
  </si>
  <si>
    <t>Anil</t>
  </si>
  <si>
    <t>Yadav</t>
  </si>
  <si>
    <t>Vinod</t>
  </si>
  <si>
    <t>Nair</t>
  </si>
  <si>
    <t>Rohit</t>
  </si>
  <si>
    <t>Chatterjee</t>
  </si>
  <si>
    <t>Sandeep</t>
  </si>
  <si>
    <t>Kulkarni</t>
  </si>
  <si>
    <t>Sanjay</t>
  </si>
  <si>
    <t>Chopra</t>
  </si>
  <si>
    <t>Manoj</t>
  </si>
  <si>
    <t>Rathi</t>
  </si>
  <si>
    <t>Suman</t>
  </si>
  <si>
    <t>Bansal</t>
  </si>
  <si>
    <t>Shalini</t>
  </si>
  <si>
    <t>Shah</t>
  </si>
  <si>
    <t>Ramesh</t>
  </si>
  <si>
    <t>Pillai</t>
  </si>
  <si>
    <t>Sheetal</t>
  </si>
  <si>
    <t>Dhawan</t>
  </si>
  <si>
    <t>Suresh</t>
  </si>
  <si>
    <t>Desai</t>
  </si>
  <si>
    <t>Sunita</t>
  </si>
  <si>
    <t>Ranganathan</t>
  </si>
  <si>
    <t>Jyoti</t>
  </si>
  <si>
    <t>Khanna</t>
  </si>
  <si>
    <t>Rajesh</t>
  </si>
  <si>
    <t>Gupta</t>
  </si>
  <si>
    <t>Varun</t>
  </si>
  <si>
    <t>Oberoi</t>
  </si>
  <si>
    <t>Dinesh</t>
  </si>
  <si>
    <t>Bhatnagar</t>
  </si>
  <si>
    <t>Ritu</t>
  </si>
  <si>
    <t>Bajaj</t>
  </si>
  <si>
    <t>Prakash</t>
  </si>
  <si>
    <t>Sengupta</t>
  </si>
  <si>
    <t>Siddharth</t>
  </si>
  <si>
    <t>Krishnamurthy</t>
  </si>
  <si>
    <t>Anita</t>
  </si>
  <si>
    <t>Malhotra</t>
  </si>
  <si>
    <t>Namrata</t>
  </si>
  <si>
    <t>Iyer</t>
  </si>
  <si>
    <t>Manish</t>
  </si>
  <si>
    <t>Agarwal</t>
  </si>
  <si>
    <t>Year</t>
  </si>
  <si>
    <t xml:space="preserve">Month </t>
  </si>
  <si>
    <t>Purchase Vaolume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</si>
  <si>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</si>
  <si>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</si>
  <si>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</si>
  <si>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</si>
  <si>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</si>
  <si>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</si>
  <si>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</si>
  <si>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</si>
  <si>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</si>
  <si>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</si>
  <si>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</si>
  <si>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</si>
  <si>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Technology</t>
  </si>
  <si>
    <t>$221.98</t>
  </si>
  <si>
    <t>$62.15</t>
  </si>
  <si>
    <t>$3,709.40</t>
  </si>
  <si>
    <t>-$288.77</t>
  </si>
  <si>
    <t>$5,175.17</t>
  </si>
  <si>
    <t>$919.97</t>
  </si>
  <si>
    <t>$2,892.51</t>
  </si>
  <si>
    <t>-$96.54</t>
  </si>
  <si>
    <t>$2,832.96</t>
  </si>
  <si>
    <t>$311.52</t>
  </si>
  <si>
    <t>$2,862.68</t>
  </si>
  <si>
    <t>$763.28</t>
  </si>
  <si>
    <t>$1,822.08</t>
  </si>
  <si>
    <t>$564.84</t>
  </si>
  <si>
    <t>$5,244.84</t>
  </si>
  <si>
    <t>$996.48</t>
  </si>
  <si>
    <t>$341.96</t>
  </si>
  <si>
    <t>$54.71</t>
  </si>
  <si>
    <t>$48.71</t>
  </si>
  <si>
    <t>$5.48</t>
  </si>
  <si>
    <t>$17.94</t>
  </si>
  <si>
    <t>$4.66</t>
  </si>
  <si>
    <t>$4,626.15</t>
  </si>
  <si>
    <t>$647.55</t>
  </si>
  <si>
    <t>$2,616.96</t>
  </si>
  <si>
    <t>$1,151.40</t>
  </si>
  <si>
    <t>$2,221.80</t>
  </si>
  <si>
    <t>$622.02</t>
  </si>
  <si>
    <t>$3,701.52</t>
  </si>
  <si>
    <t>$1,036.08</t>
  </si>
  <si>
    <t>$1,869.59</t>
  </si>
  <si>
    <t>$186.95</t>
  </si>
  <si>
    <t>$12.62</t>
  </si>
  <si>
    <t>-$2.52</t>
  </si>
  <si>
    <t>$7,958.58</t>
  </si>
  <si>
    <t>$3,979.08</t>
  </si>
  <si>
    <t>$2,565.59</t>
  </si>
  <si>
    <t>$28.40</t>
  </si>
  <si>
    <t>Average Function</t>
  </si>
  <si>
    <t>Sales Person</t>
  </si>
  <si>
    <t>Jan</t>
  </si>
  <si>
    <t xml:space="preserve">Feb </t>
  </si>
  <si>
    <t>Total</t>
  </si>
  <si>
    <t>Average</t>
  </si>
  <si>
    <t>amit</t>
  </si>
  <si>
    <t>suman</t>
  </si>
  <si>
    <t>arti</t>
  </si>
  <si>
    <t>karan</t>
  </si>
  <si>
    <t xml:space="preserve">rohit </t>
  </si>
  <si>
    <t>raman</t>
  </si>
  <si>
    <t>rinki</t>
  </si>
  <si>
    <t>AverageA Function</t>
  </si>
  <si>
    <t>leave</t>
  </si>
  <si>
    <t>Leave</t>
  </si>
  <si>
    <t>Average IFS</t>
  </si>
  <si>
    <t>Sales Rep</t>
  </si>
  <si>
    <t>Units</t>
  </si>
  <si>
    <t>Data Consolidation</t>
  </si>
  <si>
    <t>Aniket</t>
  </si>
  <si>
    <t>Aman</t>
  </si>
  <si>
    <t>Avg.Sales</t>
  </si>
  <si>
    <t>Arti</t>
  </si>
  <si>
    <t>Amresh</t>
  </si>
  <si>
    <t>Mayur</t>
  </si>
  <si>
    <t>Date</t>
  </si>
  <si>
    <t>Product</t>
  </si>
  <si>
    <t>Store</t>
  </si>
  <si>
    <t>Juice</t>
  </si>
  <si>
    <t>Store 2</t>
  </si>
  <si>
    <t>Wine</t>
  </si>
  <si>
    <t>Store 1</t>
  </si>
  <si>
    <t>Store 3</t>
  </si>
  <si>
    <t>Avg Sale</t>
  </si>
  <si>
    <t>Soda</t>
  </si>
  <si>
    <t>Beer</t>
  </si>
  <si>
    <t>FVT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</si>
</sst>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#,##0.00_ ;\-#,##0.00\ "/>
    <numFmt numFmtId="165" formatCode="&quot;$&quot;#,##0.00"/>
    <numFmt numFmtId="166" formatCode="_-[$$-409]* #,##0.00_ ;_-[$$-409]* \-#,##0.00\ ;_-[$$-409]* &quot;-&quot;??_ ;_-@_ "/>
    <numFmt numFmtId="167" formatCode="[$-F800]dddd\,\ mmmm\ dd\,\ yyyy"/>
    <numFmt numFmtId="168" formatCode="&quot;₹&quot;\ #,##0.00"/>
  </numFmts>
  <fonts count="10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1">
    <xf numFmtId="0" fontId="0" fillId="0" borderId="0" xfId="0"/>
    <xf numFmtId="0" fontId="3" fillId="2" borderId="4" xfId="0" applyFont="1" applyFill="1" applyBorder="1" applyAlignment="1">
      <alignment horizontal="center" wrapText="1"/>
    </xf>
    <xf numFmtId="14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164" fontId="3" fillId="0" borderId="4" xfId="0" applyNumberFormat="1" applyFont="1" applyBorder="1" applyAlignment="1">
      <alignment horizontal="right" wrapText="1"/>
    </xf>
    <xf numFmtId="1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2" fontId="3" fillId="0" borderId="4" xfId="0" applyNumberFormat="1" applyFont="1" applyBorder="1" applyAlignment="1">
      <alignment horizontal="right" wrapText="1"/>
    </xf>
    <xf numFmtId="1" fontId="3" fillId="0" borderId="0" xfId="0" applyNumberFormat="1" applyFont="1"/>
    <xf numFmtId="165" fontId="3" fillId="0" borderId="0" xfId="0" applyNumberFormat="1" applyFont="1"/>
    <xf numFmtId="0" fontId="4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14" fontId="3" fillId="0" borderId="0" xfId="0" applyNumberFormat="1" applyFont="1"/>
    <xf numFmtId="0" fontId="3" fillId="0" borderId="8" xfId="0" applyFont="1" applyBorder="1" applyAlignment="1">
      <alignment wrapText="1"/>
    </xf>
    <xf numFmtId="0" fontId="5" fillId="0" borderId="0" xfId="0" applyFont="1"/>
    <xf numFmtId="3" fontId="3" fillId="0" borderId="0" xfId="0" applyNumberFormat="1" applyFont="1"/>
    <xf numFmtId="166" fontId="3" fillId="0" borderId="0" xfId="0" applyNumberFormat="1" applyFont="1"/>
    <xf numFmtId="0" fontId="6" fillId="0" borderId="0" xfId="0" applyFont="1"/>
    <xf numFmtId="0" fontId="7" fillId="3" borderId="10" xfId="0" applyFont="1" applyFill="1" applyBorder="1"/>
    <xf numFmtId="0" fontId="7" fillId="3" borderId="11" xfId="0" applyFont="1" applyFill="1" applyBorder="1"/>
    <xf numFmtId="0" fontId="3" fillId="0" borderId="12" xfId="0" applyFont="1" applyBorder="1"/>
    <xf numFmtId="49" fontId="3" fillId="0" borderId="4" xfId="0" applyNumberFormat="1" applyFont="1" applyBorder="1" applyAlignment="1">
      <alignment wrapText="1"/>
    </xf>
    <xf numFmtId="49" fontId="3" fillId="0" borderId="5" xfId="0" applyNumberFormat="1" applyFont="1" applyBorder="1" applyAlignment="1">
      <alignment wrapText="1"/>
    </xf>
    <xf numFmtId="1" fontId="3" fillId="0" borderId="5" xfId="0" applyNumberFormat="1" applyFont="1" applyBorder="1" applyAlignment="1">
      <alignment horizontal="center" wrapText="1"/>
    </xf>
    <xf numFmtId="1" fontId="3" fillId="0" borderId="7" xfId="0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1" fontId="3" fillId="0" borderId="9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9" xfId="0" applyNumberFormat="1" applyFont="1" applyBorder="1" applyAlignment="1">
      <alignment horizontal="center" wrapText="1"/>
    </xf>
    <xf numFmtId="44" fontId="3" fillId="0" borderId="5" xfId="1" applyFont="1" applyBorder="1" applyAlignment="1">
      <alignment horizontal="right" wrapText="1"/>
    </xf>
    <xf numFmtId="44" fontId="3" fillId="0" borderId="7" xfId="1" applyFont="1" applyBorder="1" applyAlignment="1">
      <alignment horizontal="right" wrapText="1"/>
    </xf>
    <xf numFmtId="44" fontId="3" fillId="0" borderId="0" xfId="1" applyFont="1" applyAlignment="1">
      <alignment horizontal="right" wrapText="1"/>
    </xf>
    <xf numFmtId="44" fontId="3" fillId="0" borderId="9" xfId="1" applyFont="1" applyBorder="1" applyAlignment="1">
      <alignment horizontal="right" wrapText="1"/>
    </xf>
    <xf numFmtId="167" fontId="3" fillId="0" borderId="5" xfId="0" applyNumberFormat="1" applyFont="1" applyBorder="1" applyAlignment="1">
      <alignment horizontal="center" wrapText="1"/>
    </xf>
    <xf numFmtId="1" fontId="5" fillId="0" borderId="0" xfId="0" applyNumberFormat="1" applyFont="1"/>
    <xf numFmtId="49" fontId="5" fillId="0" borderId="0" xfId="0" applyNumberFormat="1" applyFont="1"/>
    <xf numFmtId="168" fontId="5" fillId="0" borderId="0" xfId="1" applyNumberFormat="1" applyFont="1"/>
    <xf numFmtId="10" fontId="5" fillId="0" borderId="0" xfId="0" applyNumberFormat="1" applyFont="1"/>
    <xf numFmtId="168" fontId="5" fillId="0" borderId="0" xfId="0" applyNumberFormat="1" applyFont="1"/>
    <xf numFmtId="168" fontId="3" fillId="0" borderId="0" xfId="0" applyNumberFormat="1" applyFont="1" applyAlignment="1">
      <alignment horizontal="right" wrapText="1"/>
    </xf>
    <xf numFmtId="167" fontId="5" fillId="0" borderId="0" xfId="0" applyNumberFormat="1" applyFont="1"/>
    <xf numFmtId="49" fontId="0" fillId="0" borderId="0" xfId="0" applyNumberFormat="1"/>
    <xf numFmtId="168" fontId="3" fillId="0" borderId="0" xfId="0" applyNumberFormat="1" applyFont="1"/>
    <xf numFmtId="167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F1" workbookViewId="0">
      <selection activeCell="M3" sqref="M3:M21"/>
    </sheetView>
  </sheetViews>
  <sheetFormatPr defaultColWidth="14.44140625" defaultRowHeight="15" customHeight="1" x14ac:dyDescent="0.3"/>
  <cols>
    <col min="1" max="1" width="17.5546875" customWidth="1"/>
    <col min="2" max="2" width="15.33203125" customWidth="1"/>
    <col min="3" max="4" width="16" customWidth="1"/>
    <col min="5" max="5" width="18.5546875" customWidth="1"/>
    <col min="6" max="6" width="19.5546875" customWidth="1"/>
    <col min="7" max="7" width="26" customWidth="1"/>
    <col min="8" max="8" width="45.33203125" customWidth="1"/>
    <col min="9" max="9" width="14.109375" customWidth="1"/>
    <col min="10" max="11" width="8.6640625" customWidth="1"/>
    <col min="12" max="12" width="28.5546875" customWidth="1"/>
    <col min="13" max="13" width="13.109375" customWidth="1"/>
    <col min="14" max="14" width="13.33203125" customWidth="1"/>
    <col min="15" max="26" width="8.6640625" customWidth="1"/>
  </cols>
  <sheetData>
    <row r="1" spans="1:14" ht="18" x14ac:dyDescent="0.3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6.5" customHeight="1" x14ac:dyDescent="0.3">
      <c r="A3" s="2">
        <v>41954</v>
      </c>
      <c r="B3" s="2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4">
        <v>221.98</v>
      </c>
      <c r="J3" s="5">
        <v>2</v>
      </c>
      <c r="K3" s="6">
        <v>0</v>
      </c>
      <c r="L3" s="6">
        <v>62.15</v>
      </c>
      <c r="M3" s="6">
        <v>40.770000000000003</v>
      </c>
      <c r="N3" s="23" t="s">
        <v>22</v>
      </c>
    </row>
    <row r="4" spans="1:14" ht="13.5" customHeight="1" x14ac:dyDescent="0.3">
      <c r="A4" s="2">
        <v>41675</v>
      </c>
      <c r="B4" s="2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4">
        <v>3709.4</v>
      </c>
      <c r="J4" s="5">
        <v>9</v>
      </c>
      <c r="K4" s="6">
        <v>0.1</v>
      </c>
      <c r="L4" s="6">
        <v>288.77</v>
      </c>
      <c r="M4" s="6">
        <v>923.63</v>
      </c>
      <c r="N4" s="23" t="s">
        <v>30</v>
      </c>
    </row>
    <row r="5" spans="1:14" ht="16.5" customHeight="1" x14ac:dyDescent="0.3">
      <c r="A5" s="2">
        <v>41929</v>
      </c>
      <c r="B5" s="23" t="s">
        <v>23</v>
      </c>
      <c r="C5" s="3" t="s">
        <v>24</v>
      </c>
      <c r="D5" s="3" t="s">
        <v>25</v>
      </c>
      <c r="E5" s="3" t="s">
        <v>31</v>
      </c>
      <c r="F5" s="3" t="s">
        <v>19</v>
      </c>
      <c r="G5" s="3" t="s">
        <v>20</v>
      </c>
      <c r="H5" s="3" t="s">
        <v>32</v>
      </c>
      <c r="I5" s="4">
        <v>5175.17</v>
      </c>
      <c r="J5" s="5">
        <v>9</v>
      </c>
      <c r="K5" s="6">
        <v>0.1</v>
      </c>
      <c r="L5" s="7">
        <v>919.97</v>
      </c>
      <c r="M5" s="6">
        <v>915.49</v>
      </c>
      <c r="N5" s="23" t="s">
        <v>33</v>
      </c>
    </row>
    <row r="6" spans="1:14" ht="14.4" x14ac:dyDescent="0.3">
      <c r="A6" s="2">
        <v>41667</v>
      </c>
      <c r="B6" s="23" t="s">
        <v>34</v>
      </c>
      <c r="C6" s="3" t="s">
        <v>35</v>
      </c>
      <c r="D6" s="3" t="s">
        <v>36</v>
      </c>
      <c r="E6" s="3" t="s">
        <v>37</v>
      </c>
      <c r="F6" s="3" t="s">
        <v>19</v>
      </c>
      <c r="G6" s="3" t="s">
        <v>20</v>
      </c>
      <c r="H6" s="3" t="s">
        <v>38</v>
      </c>
      <c r="I6" s="4">
        <v>2892.51</v>
      </c>
      <c r="J6" s="5">
        <v>5</v>
      </c>
      <c r="K6" s="6">
        <v>0.1</v>
      </c>
      <c r="L6" s="7">
        <v>-96.54</v>
      </c>
      <c r="M6" s="6">
        <v>910.16</v>
      </c>
      <c r="N6" s="23" t="s">
        <v>33</v>
      </c>
    </row>
    <row r="7" spans="1:14" ht="14.4" x14ac:dyDescent="0.3">
      <c r="A7" s="2">
        <v>41948</v>
      </c>
      <c r="B7" s="23" t="s">
        <v>39</v>
      </c>
      <c r="C7" s="3" t="s">
        <v>40</v>
      </c>
      <c r="D7" s="3" t="s">
        <v>41</v>
      </c>
      <c r="E7" s="3" t="s">
        <v>42</v>
      </c>
      <c r="F7" s="3" t="s">
        <v>19</v>
      </c>
      <c r="G7" s="3" t="s">
        <v>43</v>
      </c>
      <c r="H7" s="3" t="s">
        <v>44</v>
      </c>
      <c r="I7" s="4">
        <v>2832.96</v>
      </c>
      <c r="J7" s="5">
        <v>8</v>
      </c>
      <c r="K7" s="6">
        <v>0</v>
      </c>
      <c r="L7" s="7">
        <v>311.52</v>
      </c>
      <c r="M7" s="6">
        <v>903.04</v>
      </c>
      <c r="N7" s="23" t="s">
        <v>30</v>
      </c>
    </row>
    <row r="8" spans="1:14" ht="14.4" x14ac:dyDescent="0.3">
      <c r="A8" s="2">
        <v>41818</v>
      </c>
      <c r="B8" s="23" t="s">
        <v>23</v>
      </c>
      <c r="C8" s="3" t="s">
        <v>24</v>
      </c>
      <c r="D8" s="3" t="s">
        <v>25</v>
      </c>
      <c r="E8" s="3" t="s">
        <v>45</v>
      </c>
      <c r="F8" s="3" t="s">
        <v>19</v>
      </c>
      <c r="G8" s="3" t="s">
        <v>20</v>
      </c>
      <c r="H8" s="3" t="s">
        <v>46</v>
      </c>
      <c r="I8" s="4">
        <v>2862.68</v>
      </c>
      <c r="J8" s="5">
        <v>5</v>
      </c>
      <c r="K8" s="6">
        <v>0.1</v>
      </c>
      <c r="L8" s="7">
        <v>763.28</v>
      </c>
      <c r="M8" s="6">
        <v>897.35</v>
      </c>
      <c r="N8" s="23" t="s">
        <v>30</v>
      </c>
    </row>
    <row r="9" spans="1:14" ht="14.4" x14ac:dyDescent="0.3">
      <c r="A9" s="2">
        <v>41219</v>
      </c>
      <c r="B9" s="23" t="s">
        <v>47</v>
      </c>
      <c r="C9" s="3" t="s">
        <v>24</v>
      </c>
      <c r="D9" s="3" t="s">
        <v>25</v>
      </c>
      <c r="E9" s="3" t="s">
        <v>48</v>
      </c>
      <c r="F9" s="3" t="s">
        <v>27</v>
      </c>
      <c r="G9" s="3" t="s">
        <v>28</v>
      </c>
      <c r="H9" s="3" t="s">
        <v>49</v>
      </c>
      <c r="I9" s="4">
        <v>1822.08</v>
      </c>
      <c r="J9" s="5">
        <v>4</v>
      </c>
      <c r="K9" s="6">
        <v>0</v>
      </c>
      <c r="L9" s="7">
        <v>564.84</v>
      </c>
      <c r="M9" s="6">
        <v>894.77</v>
      </c>
      <c r="N9" s="23" t="s">
        <v>30</v>
      </c>
    </row>
    <row r="10" spans="1:14" ht="14.4" x14ac:dyDescent="0.3">
      <c r="A10" s="2">
        <v>41378</v>
      </c>
      <c r="B10" s="23" t="s">
        <v>47</v>
      </c>
      <c r="C10" s="3" t="s">
        <v>24</v>
      </c>
      <c r="D10" s="3" t="s">
        <v>25</v>
      </c>
      <c r="E10" s="3" t="s">
        <v>50</v>
      </c>
      <c r="F10" s="3" t="s">
        <v>27</v>
      </c>
      <c r="G10" s="3" t="s">
        <v>51</v>
      </c>
      <c r="H10" s="3" t="s">
        <v>52</v>
      </c>
      <c r="I10" s="4">
        <v>5244.84</v>
      </c>
      <c r="J10" s="5">
        <v>6</v>
      </c>
      <c r="K10" s="6">
        <v>0</v>
      </c>
      <c r="L10" s="7">
        <v>996.48</v>
      </c>
      <c r="M10" s="6">
        <v>878.38</v>
      </c>
      <c r="N10" s="23" t="s">
        <v>22</v>
      </c>
    </row>
    <row r="11" spans="1:14" ht="14.4" x14ac:dyDescent="0.3">
      <c r="A11" s="2">
        <v>41954</v>
      </c>
      <c r="B11" s="23" t="s">
        <v>15</v>
      </c>
      <c r="C11" s="3" t="s">
        <v>16</v>
      </c>
      <c r="D11" s="3" t="s">
        <v>17</v>
      </c>
      <c r="E11" s="3" t="s">
        <v>53</v>
      </c>
      <c r="F11" s="3" t="s">
        <v>27</v>
      </c>
      <c r="G11" s="3" t="s">
        <v>54</v>
      </c>
      <c r="H11" s="3" t="s">
        <v>55</v>
      </c>
      <c r="I11" s="4">
        <v>341.96</v>
      </c>
      <c r="J11" s="5">
        <v>2</v>
      </c>
      <c r="K11" s="6">
        <v>0</v>
      </c>
      <c r="L11" s="7">
        <v>54.71</v>
      </c>
      <c r="M11" s="6">
        <v>25.27</v>
      </c>
      <c r="N11" s="23" t="s">
        <v>22</v>
      </c>
    </row>
    <row r="12" spans="1:14" ht="14.4" x14ac:dyDescent="0.3">
      <c r="A12" s="2">
        <v>40974</v>
      </c>
      <c r="B12" s="23" t="s">
        <v>15</v>
      </c>
      <c r="C12" s="3" t="s">
        <v>56</v>
      </c>
      <c r="D12" s="3" t="s">
        <v>17</v>
      </c>
      <c r="E12" s="3" t="s">
        <v>57</v>
      </c>
      <c r="F12" s="3" t="s">
        <v>27</v>
      </c>
      <c r="G12" s="3" t="s">
        <v>28</v>
      </c>
      <c r="H12" s="3" t="s">
        <v>58</v>
      </c>
      <c r="I12" s="4">
        <v>48.71</v>
      </c>
      <c r="J12" s="5">
        <v>1</v>
      </c>
      <c r="K12" s="6">
        <v>0.2</v>
      </c>
      <c r="L12" s="7">
        <v>5.48</v>
      </c>
      <c r="M12" s="6">
        <v>11.13</v>
      </c>
      <c r="N12" s="23" t="s">
        <v>22</v>
      </c>
    </row>
    <row r="13" spans="1:14" ht="14.4" x14ac:dyDescent="0.3">
      <c r="A13" s="2">
        <v>40974</v>
      </c>
      <c r="B13" s="23" t="s">
        <v>15</v>
      </c>
      <c r="C13" s="3" t="s">
        <v>56</v>
      </c>
      <c r="D13" s="3" t="s">
        <v>17</v>
      </c>
      <c r="E13" s="3" t="s">
        <v>59</v>
      </c>
      <c r="F13" s="3" t="s">
        <v>60</v>
      </c>
      <c r="G13" s="3" t="s">
        <v>61</v>
      </c>
      <c r="H13" s="3" t="s">
        <v>62</v>
      </c>
      <c r="I13" s="4">
        <v>17.940000000000001</v>
      </c>
      <c r="J13" s="5">
        <v>3</v>
      </c>
      <c r="K13" s="6">
        <v>0</v>
      </c>
      <c r="L13" s="7">
        <v>4.66</v>
      </c>
      <c r="M13" s="6">
        <v>4.29</v>
      </c>
      <c r="N13" s="23" t="s">
        <v>22</v>
      </c>
    </row>
    <row r="14" spans="1:14" ht="14.4" x14ac:dyDescent="0.3">
      <c r="A14" s="2">
        <v>41383</v>
      </c>
      <c r="B14" s="23" t="s">
        <v>63</v>
      </c>
      <c r="C14" s="3" t="s">
        <v>64</v>
      </c>
      <c r="D14" s="3" t="s">
        <v>25</v>
      </c>
      <c r="E14" s="3" t="s">
        <v>65</v>
      </c>
      <c r="F14" s="3" t="s">
        <v>27</v>
      </c>
      <c r="G14" s="3" t="s">
        <v>51</v>
      </c>
      <c r="H14" s="3" t="s">
        <v>66</v>
      </c>
      <c r="I14" s="4">
        <v>4626.1499999999996</v>
      </c>
      <c r="J14" s="5">
        <v>5</v>
      </c>
      <c r="K14" s="6">
        <v>0</v>
      </c>
      <c r="L14" s="7">
        <v>647.54999999999995</v>
      </c>
      <c r="M14" s="6">
        <v>835.57</v>
      </c>
      <c r="N14" s="23" t="s">
        <v>22</v>
      </c>
    </row>
    <row r="15" spans="1:14" ht="14.4" x14ac:dyDescent="0.3">
      <c r="A15" s="2">
        <v>41269</v>
      </c>
      <c r="B15" s="23" t="s">
        <v>67</v>
      </c>
      <c r="C15" s="3" t="s">
        <v>68</v>
      </c>
      <c r="D15" s="3" t="s">
        <v>25</v>
      </c>
      <c r="E15" s="3" t="s">
        <v>69</v>
      </c>
      <c r="F15" s="3" t="s">
        <v>19</v>
      </c>
      <c r="G15" s="3" t="s">
        <v>20</v>
      </c>
      <c r="H15" s="3" t="s">
        <v>70</v>
      </c>
      <c r="I15" s="4">
        <v>2616.96</v>
      </c>
      <c r="J15" s="5">
        <v>4</v>
      </c>
      <c r="K15" s="6">
        <v>0</v>
      </c>
      <c r="L15" s="7">
        <v>1151.4000000000001</v>
      </c>
      <c r="M15" s="6">
        <v>832.41</v>
      </c>
      <c r="N15" s="23" t="s">
        <v>30</v>
      </c>
    </row>
    <row r="16" spans="1:14" ht="28.8" x14ac:dyDescent="0.3">
      <c r="A16" s="2">
        <v>41591</v>
      </c>
      <c r="B16" s="23" t="s">
        <v>71</v>
      </c>
      <c r="C16" s="3" t="s">
        <v>72</v>
      </c>
      <c r="D16" s="3" t="s">
        <v>73</v>
      </c>
      <c r="E16" s="3" t="s">
        <v>74</v>
      </c>
      <c r="F16" s="3" t="s">
        <v>27</v>
      </c>
      <c r="G16" s="3" t="s">
        <v>28</v>
      </c>
      <c r="H16" s="3" t="s">
        <v>75</v>
      </c>
      <c r="I16" s="4">
        <v>2221.8000000000002</v>
      </c>
      <c r="J16" s="5">
        <v>7</v>
      </c>
      <c r="K16" s="6">
        <v>0</v>
      </c>
      <c r="L16" s="7">
        <v>622.02</v>
      </c>
      <c r="M16" s="6">
        <v>810.25</v>
      </c>
      <c r="N16" s="23" t="s">
        <v>30</v>
      </c>
    </row>
    <row r="17" spans="1:14" ht="14.4" x14ac:dyDescent="0.3">
      <c r="A17" s="2">
        <v>41796</v>
      </c>
      <c r="B17" s="23" t="s">
        <v>76</v>
      </c>
      <c r="C17" s="3" t="s">
        <v>77</v>
      </c>
      <c r="D17" s="3" t="s">
        <v>25</v>
      </c>
      <c r="E17" s="3" t="s">
        <v>78</v>
      </c>
      <c r="F17" s="3" t="s">
        <v>60</v>
      </c>
      <c r="G17" s="3" t="s">
        <v>79</v>
      </c>
      <c r="H17" s="3" t="s">
        <v>80</v>
      </c>
      <c r="I17" s="4">
        <v>3701.52</v>
      </c>
      <c r="J17" s="5">
        <v>12</v>
      </c>
      <c r="K17" s="6">
        <v>0</v>
      </c>
      <c r="L17" s="7">
        <v>1036.08</v>
      </c>
      <c r="M17" s="6">
        <v>804.54</v>
      </c>
      <c r="N17" s="23" t="s">
        <v>30</v>
      </c>
    </row>
    <row r="18" spans="1:14" ht="14.4" x14ac:dyDescent="0.3">
      <c r="A18" s="2">
        <v>42216</v>
      </c>
      <c r="B18" s="23" t="s">
        <v>81</v>
      </c>
      <c r="C18" s="3" t="s">
        <v>35</v>
      </c>
      <c r="D18" s="3" t="s">
        <v>36</v>
      </c>
      <c r="E18" s="3" t="s">
        <v>82</v>
      </c>
      <c r="F18" s="3" t="s">
        <v>60</v>
      </c>
      <c r="G18" s="3" t="s">
        <v>79</v>
      </c>
      <c r="H18" s="3" t="s">
        <v>83</v>
      </c>
      <c r="I18" s="4">
        <v>1869.59</v>
      </c>
      <c r="J18" s="5">
        <v>4</v>
      </c>
      <c r="K18" s="6">
        <v>0.1</v>
      </c>
      <c r="L18" s="7">
        <v>186.95</v>
      </c>
      <c r="M18" s="6">
        <v>801.66</v>
      </c>
      <c r="N18" s="23" t="s">
        <v>30</v>
      </c>
    </row>
    <row r="19" spans="1:14" ht="14.4" x14ac:dyDescent="0.3">
      <c r="A19" s="2">
        <v>40958</v>
      </c>
      <c r="B19" s="23" t="s">
        <v>15</v>
      </c>
      <c r="C19" s="3" t="s">
        <v>16</v>
      </c>
      <c r="D19" s="3" t="s">
        <v>17</v>
      </c>
      <c r="E19" s="3" t="s">
        <v>84</v>
      </c>
      <c r="F19" s="3" t="s">
        <v>60</v>
      </c>
      <c r="G19" s="3" t="s">
        <v>85</v>
      </c>
      <c r="H19" s="3" t="s">
        <v>86</v>
      </c>
      <c r="I19" s="4">
        <v>12.62</v>
      </c>
      <c r="J19" s="5">
        <v>2</v>
      </c>
      <c r="K19" s="6">
        <v>0.2</v>
      </c>
      <c r="L19" s="7">
        <v>-2.52</v>
      </c>
      <c r="M19" s="6">
        <v>1.97</v>
      </c>
      <c r="N19" s="23" t="s">
        <v>87</v>
      </c>
    </row>
    <row r="20" spans="1:14" ht="14.4" x14ac:dyDescent="0.3">
      <c r="A20" s="2">
        <v>42255</v>
      </c>
      <c r="B20" s="23" t="s">
        <v>88</v>
      </c>
      <c r="C20" s="3" t="s">
        <v>89</v>
      </c>
      <c r="D20" s="3" t="s">
        <v>36</v>
      </c>
      <c r="E20" s="3" t="s">
        <v>90</v>
      </c>
      <c r="F20" s="3" t="s">
        <v>60</v>
      </c>
      <c r="G20" s="3" t="s">
        <v>79</v>
      </c>
      <c r="H20" s="3" t="s">
        <v>91</v>
      </c>
      <c r="I20" s="4">
        <v>7958.58</v>
      </c>
      <c r="J20" s="5">
        <v>14</v>
      </c>
      <c r="K20" s="6">
        <v>0</v>
      </c>
      <c r="L20" s="7">
        <v>3979.08</v>
      </c>
      <c r="M20" s="6">
        <v>778.32</v>
      </c>
      <c r="N20" s="23" t="s">
        <v>87</v>
      </c>
    </row>
    <row r="21" spans="1:14" ht="15.75" customHeight="1" x14ac:dyDescent="0.3">
      <c r="A21" s="2">
        <v>42035</v>
      </c>
      <c r="B21" s="23" t="s">
        <v>23</v>
      </c>
      <c r="C21" s="3" t="s">
        <v>24</v>
      </c>
      <c r="D21" s="3" t="s">
        <v>25</v>
      </c>
      <c r="E21" s="3" t="s">
        <v>92</v>
      </c>
      <c r="F21" s="3" t="s">
        <v>19</v>
      </c>
      <c r="G21" s="3" t="s">
        <v>43</v>
      </c>
      <c r="H21" s="3" t="s">
        <v>93</v>
      </c>
      <c r="I21" s="4">
        <v>2565.59</v>
      </c>
      <c r="J21" s="5">
        <v>9</v>
      </c>
      <c r="K21" s="6">
        <v>0.1</v>
      </c>
      <c r="L21" s="7">
        <v>28.4</v>
      </c>
      <c r="M21" s="6">
        <v>766.93</v>
      </c>
      <c r="N21" s="23" t="s">
        <v>30</v>
      </c>
    </row>
    <row r="22" spans="1:14" ht="15.75" customHeight="1" x14ac:dyDescent="0.3">
      <c r="A22" s="8"/>
      <c r="I22" s="9"/>
      <c r="J22" s="8"/>
      <c r="L22" s="9">
        <f>SUM(L3:L21)</f>
        <v>11524.28</v>
      </c>
    </row>
    <row r="23" spans="1:14" ht="15.75" customHeight="1" x14ac:dyDescent="0.3"/>
    <row r="24" spans="1:14" ht="15.75" customHeight="1" x14ac:dyDescent="0.3"/>
    <row r="25" spans="1:14" ht="15.75" customHeight="1" x14ac:dyDescent="0.3"/>
    <row r="26" spans="1:14" ht="15.75" customHeight="1" x14ac:dyDescent="0.3"/>
    <row r="27" spans="1:14" ht="15.75" customHeight="1" x14ac:dyDescent="0.3"/>
    <row r="28" spans="1:14" ht="15.75" customHeight="1" x14ac:dyDescent="0.3"/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N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N2" sqref="N2"/>
    </sheetView>
  </sheetViews>
  <sheetFormatPr defaultColWidth="14.44140625" defaultRowHeight="15" customHeight="1" x14ac:dyDescent="0.3"/>
  <cols>
    <col min="1" max="1" width="13.6640625" customWidth="1"/>
    <col min="2" max="2" width="16.6640625" customWidth="1"/>
    <col min="3" max="3" width="13.33203125" customWidth="1"/>
    <col min="4" max="4" width="17.33203125" customWidth="1"/>
    <col min="5" max="5" width="9" customWidth="1"/>
    <col min="6" max="6" width="17.88671875" customWidth="1"/>
    <col min="7" max="7" width="22.88671875" customWidth="1"/>
    <col min="8" max="8" width="14.6640625" customWidth="1"/>
    <col min="9" max="9" width="13.44140625" customWidth="1"/>
    <col min="10" max="10" width="16.77734375" bestFit="1" customWidth="1"/>
    <col min="11" max="11" width="19.109375" customWidth="1"/>
    <col min="12" max="12" width="10.33203125" bestFit="1" customWidth="1"/>
    <col min="13" max="14" width="4.21875" bestFit="1" customWidth="1"/>
    <col min="15" max="26" width="8.6640625" customWidth="1"/>
  </cols>
  <sheetData>
    <row r="1" spans="1:14" ht="14.4" x14ac:dyDescent="0.3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  <c r="F1" s="11" t="s">
        <v>99</v>
      </c>
      <c r="G1" s="11" t="s">
        <v>100</v>
      </c>
      <c r="H1" s="11" t="s">
        <v>101</v>
      </c>
      <c r="I1" s="11" t="s">
        <v>102</v>
      </c>
      <c r="J1" s="11" t="s">
        <v>103</v>
      </c>
      <c r="K1" s="11" t="s">
        <v>104</v>
      </c>
      <c r="L1" s="12" t="s">
        <v>105</v>
      </c>
      <c r="M1" s="12" t="s">
        <v>106</v>
      </c>
      <c r="N1" s="12" t="s">
        <v>106</v>
      </c>
    </row>
    <row r="2" spans="1:14" ht="14.4" x14ac:dyDescent="0.3">
      <c r="A2" s="24" t="s">
        <v>107</v>
      </c>
      <c r="B2" s="24" t="s">
        <v>108</v>
      </c>
      <c r="C2" s="24" t="str">
        <f t="shared" ref="C2:C51" si="0">PROPER(A2)</f>
        <v>Aarav</v>
      </c>
      <c r="D2" s="24" t="s">
        <v>109</v>
      </c>
      <c r="E2" s="13" t="s">
        <v>110</v>
      </c>
      <c r="F2" s="25">
        <v>24</v>
      </c>
      <c r="G2" s="25">
        <v>0</v>
      </c>
      <c r="H2" s="29" t="s">
        <v>111</v>
      </c>
      <c r="I2" s="33">
        <v>139750</v>
      </c>
      <c r="J2" s="37">
        <v>37057</v>
      </c>
      <c r="K2" s="37">
        <v>25639</v>
      </c>
      <c r="L2" s="14">
        <f t="shared" ref="L2:L51" ca="1" si="1">TODAY()</f>
        <v>45980</v>
      </c>
      <c r="M2" s="8">
        <f t="shared" ref="M2:M51" ca="1" si="2">(L2-K2)/365</f>
        <v>55.728767123287675</v>
      </c>
      <c r="N2" s="8">
        <f t="shared" ref="N2:N51" ca="1" si="3">DATEDIF(K2,TODAY(),"y")</f>
        <v>55</v>
      </c>
    </row>
    <row r="3" spans="1:14" ht="14.4" x14ac:dyDescent="0.3">
      <c r="A3" s="24" t="s">
        <v>112</v>
      </c>
      <c r="B3" s="24" t="s">
        <v>113</v>
      </c>
      <c r="C3" s="24" t="str">
        <f t="shared" si="0"/>
        <v>Nisha</v>
      </c>
      <c r="D3" s="24" t="s">
        <v>109</v>
      </c>
      <c r="E3" s="13" t="s">
        <v>110</v>
      </c>
      <c r="F3" s="25">
        <v>24</v>
      </c>
      <c r="G3" s="25">
        <v>0</v>
      </c>
      <c r="H3" s="29" t="s">
        <v>111</v>
      </c>
      <c r="I3" s="33">
        <v>155750</v>
      </c>
      <c r="J3" s="37">
        <v>43038</v>
      </c>
      <c r="K3" s="37">
        <v>27765</v>
      </c>
      <c r="L3" s="14">
        <f t="shared" ca="1" si="1"/>
        <v>45980</v>
      </c>
      <c r="M3" s="8">
        <f t="shared" ca="1" si="2"/>
        <v>49.904109589041099</v>
      </c>
      <c r="N3" s="8">
        <f t="shared" ca="1" si="3"/>
        <v>49</v>
      </c>
    </row>
    <row r="4" spans="1:14" ht="14.4" x14ac:dyDescent="0.3">
      <c r="A4" s="24" t="s">
        <v>114</v>
      </c>
      <c r="B4" s="24" t="s">
        <v>115</v>
      </c>
      <c r="C4" s="24" t="str">
        <f t="shared" si="0"/>
        <v>Rupali</v>
      </c>
      <c r="D4" s="24" t="s">
        <v>109</v>
      </c>
      <c r="E4" s="13" t="s">
        <v>110</v>
      </c>
      <c r="F4" s="25">
        <v>24</v>
      </c>
      <c r="G4" s="25">
        <v>0</v>
      </c>
      <c r="H4" s="29" t="s">
        <v>111</v>
      </c>
      <c r="I4" s="33">
        <v>146500</v>
      </c>
      <c r="J4" s="37">
        <v>44278</v>
      </c>
      <c r="K4" s="37">
        <v>25919</v>
      </c>
      <c r="L4" s="14">
        <f t="shared" ca="1" si="1"/>
        <v>45980</v>
      </c>
      <c r="M4" s="8">
        <f t="shared" ca="1" si="2"/>
        <v>54.961643835616435</v>
      </c>
      <c r="N4" s="8">
        <f t="shared" ca="1" si="3"/>
        <v>54</v>
      </c>
    </row>
    <row r="5" spans="1:14" ht="14.4" x14ac:dyDescent="0.3">
      <c r="A5" s="24" t="s">
        <v>116</v>
      </c>
      <c r="B5" s="24" t="s">
        <v>117</v>
      </c>
      <c r="C5" s="24" t="str">
        <f t="shared" si="0"/>
        <v>Geeta</v>
      </c>
      <c r="D5" s="24" t="s">
        <v>109</v>
      </c>
      <c r="E5" s="13" t="s">
        <v>110</v>
      </c>
      <c r="F5" s="25">
        <v>25</v>
      </c>
      <c r="G5" s="25">
        <v>0</v>
      </c>
      <c r="H5" s="29" t="s">
        <v>111</v>
      </c>
      <c r="I5" s="33">
        <v>125196</v>
      </c>
      <c r="J5" s="37">
        <v>43568</v>
      </c>
      <c r="K5" s="37">
        <v>28745</v>
      </c>
      <c r="L5" s="14">
        <f t="shared" ca="1" si="1"/>
        <v>45980</v>
      </c>
      <c r="M5" s="8">
        <f t="shared" ca="1" si="2"/>
        <v>47.219178082191782</v>
      </c>
      <c r="N5" s="8">
        <f t="shared" ca="1" si="3"/>
        <v>47</v>
      </c>
    </row>
    <row r="6" spans="1:14" ht="14.4" x14ac:dyDescent="0.3">
      <c r="A6" s="24" t="s">
        <v>118</v>
      </c>
      <c r="B6" s="24" t="s">
        <v>119</v>
      </c>
      <c r="C6" s="24" t="str">
        <f t="shared" si="0"/>
        <v>Usha</v>
      </c>
      <c r="D6" s="24" t="s">
        <v>109</v>
      </c>
      <c r="E6" s="13" t="s">
        <v>110</v>
      </c>
      <c r="F6" s="25">
        <v>25</v>
      </c>
      <c r="G6" s="25">
        <v>0</v>
      </c>
      <c r="H6" s="29" t="s">
        <v>111</v>
      </c>
      <c r="I6" s="33">
        <v>94384</v>
      </c>
      <c r="J6" s="37">
        <v>38635</v>
      </c>
      <c r="K6" s="37">
        <v>27176</v>
      </c>
      <c r="L6" s="14">
        <f t="shared" ca="1" si="1"/>
        <v>45980</v>
      </c>
      <c r="M6" s="8">
        <f t="shared" ca="1" si="2"/>
        <v>51.517808219178079</v>
      </c>
      <c r="N6" s="8">
        <f t="shared" ca="1" si="3"/>
        <v>51</v>
      </c>
    </row>
    <row r="7" spans="1:14" ht="14.4" x14ac:dyDescent="0.3">
      <c r="A7" s="24" t="s">
        <v>120</v>
      </c>
      <c r="B7" s="24" t="s">
        <v>121</v>
      </c>
      <c r="C7" s="24" t="str">
        <f t="shared" si="0"/>
        <v>Vivek</v>
      </c>
      <c r="D7" s="24" t="s">
        <v>109</v>
      </c>
      <c r="E7" s="13" t="s">
        <v>122</v>
      </c>
      <c r="F7" s="25">
        <v>26</v>
      </c>
      <c r="G7" s="25">
        <v>0</v>
      </c>
      <c r="H7" s="29" t="s">
        <v>111</v>
      </c>
      <c r="I7" s="33">
        <v>93904</v>
      </c>
      <c r="J7" s="37">
        <v>37914</v>
      </c>
      <c r="K7" s="37">
        <v>26463</v>
      </c>
      <c r="L7" s="14">
        <f t="shared" ca="1" si="1"/>
        <v>45980</v>
      </c>
      <c r="M7" s="8">
        <f t="shared" ca="1" si="2"/>
        <v>53.471232876712328</v>
      </c>
      <c r="N7" s="8">
        <f t="shared" ca="1" si="3"/>
        <v>53</v>
      </c>
    </row>
    <row r="8" spans="1:14" ht="14.4" x14ac:dyDescent="0.3">
      <c r="A8" s="24" t="s">
        <v>123</v>
      </c>
      <c r="B8" s="24" t="s">
        <v>124</v>
      </c>
      <c r="C8" s="24" t="str">
        <f t="shared" si="0"/>
        <v>Kavita</v>
      </c>
      <c r="D8" s="24" t="s">
        <v>109</v>
      </c>
      <c r="E8" s="13" t="s">
        <v>110</v>
      </c>
      <c r="F8" s="25">
        <v>27</v>
      </c>
      <c r="G8" s="25">
        <v>0</v>
      </c>
      <c r="H8" s="29" t="s">
        <v>111</v>
      </c>
      <c r="I8" s="33">
        <v>147765</v>
      </c>
      <c r="J8" s="37">
        <v>39571</v>
      </c>
      <c r="K8" s="37">
        <v>28170</v>
      </c>
      <c r="L8" s="14">
        <f t="shared" ca="1" si="1"/>
        <v>45980</v>
      </c>
      <c r="M8" s="8">
        <f t="shared" ca="1" si="2"/>
        <v>48.794520547945204</v>
      </c>
      <c r="N8" s="8">
        <f t="shared" ca="1" si="3"/>
        <v>48</v>
      </c>
    </row>
    <row r="9" spans="1:14" ht="14.4" x14ac:dyDescent="0.3">
      <c r="A9" s="24" t="s">
        <v>125</v>
      </c>
      <c r="B9" s="24" t="s">
        <v>126</v>
      </c>
      <c r="C9" s="24" t="str">
        <f t="shared" si="0"/>
        <v>Radha</v>
      </c>
      <c r="D9" s="24" t="s">
        <v>109</v>
      </c>
      <c r="E9" s="13" t="s">
        <v>110</v>
      </c>
      <c r="F9" s="25">
        <v>29</v>
      </c>
      <c r="G9" s="25">
        <v>0</v>
      </c>
      <c r="H9" s="29" t="s">
        <v>111</v>
      </c>
      <c r="I9" s="33">
        <v>132261</v>
      </c>
      <c r="J9" s="37">
        <v>40582</v>
      </c>
      <c r="K9" s="37">
        <v>25802</v>
      </c>
      <c r="L9" s="14">
        <f t="shared" ca="1" si="1"/>
        <v>45980</v>
      </c>
      <c r="M9" s="8">
        <f t="shared" ca="1" si="2"/>
        <v>55.282191780821918</v>
      </c>
      <c r="N9" s="8">
        <f t="shared" ca="1" si="3"/>
        <v>55</v>
      </c>
    </row>
    <row r="10" spans="1:14" ht="14.4" x14ac:dyDescent="0.3">
      <c r="A10" s="24" t="s">
        <v>127</v>
      </c>
      <c r="B10" s="24" t="s">
        <v>128</v>
      </c>
      <c r="C10" s="24" t="str">
        <f t="shared" si="0"/>
        <v>Rekha</v>
      </c>
      <c r="D10" s="24" t="s">
        <v>109</v>
      </c>
      <c r="E10" s="13" t="s">
        <v>122</v>
      </c>
      <c r="F10" s="25">
        <v>31</v>
      </c>
      <c r="G10" s="25">
        <v>0</v>
      </c>
      <c r="H10" s="29" t="s">
        <v>129</v>
      </c>
      <c r="I10" s="33">
        <v>137000</v>
      </c>
      <c r="J10" s="37">
        <v>44136</v>
      </c>
      <c r="K10" s="37">
        <v>28879</v>
      </c>
      <c r="L10" s="14">
        <f t="shared" ca="1" si="1"/>
        <v>45980</v>
      </c>
      <c r="M10" s="8">
        <f t="shared" ca="1" si="2"/>
        <v>46.852054794520548</v>
      </c>
      <c r="N10" s="8">
        <f t="shared" ca="1" si="3"/>
        <v>46</v>
      </c>
    </row>
    <row r="11" spans="1:14" ht="14.4" x14ac:dyDescent="0.3">
      <c r="A11" s="24" t="s">
        <v>130</v>
      </c>
      <c r="B11" s="24" t="s">
        <v>131</v>
      </c>
      <c r="C11" s="24" t="str">
        <f t="shared" si="0"/>
        <v>Anand</v>
      </c>
      <c r="D11" s="24" t="s">
        <v>132</v>
      </c>
      <c r="E11" s="13" t="s">
        <v>110</v>
      </c>
      <c r="F11" s="25">
        <v>31</v>
      </c>
      <c r="G11" s="25">
        <v>0</v>
      </c>
      <c r="H11" s="29" t="s">
        <v>129</v>
      </c>
      <c r="I11" s="33">
        <v>77000</v>
      </c>
      <c r="J11" s="37">
        <v>42634</v>
      </c>
      <c r="K11" s="37">
        <v>27746</v>
      </c>
      <c r="L11" s="14">
        <f t="shared" ca="1" si="1"/>
        <v>45980</v>
      </c>
      <c r="M11" s="8">
        <f t="shared" ca="1" si="2"/>
        <v>49.956164383561642</v>
      </c>
      <c r="N11" s="8">
        <f t="shared" ca="1" si="3"/>
        <v>49</v>
      </c>
    </row>
    <row r="12" spans="1:14" ht="14.4" x14ac:dyDescent="0.3">
      <c r="A12" s="24" t="s">
        <v>133</v>
      </c>
      <c r="B12" s="24" t="s">
        <v>134</v>
      </c>
      <c r="C12" s="24" t="str">
        <f t="shared" si="0"/>
        <v>Ananya</v>
      </c>
      <c r="D12" s="24" t="s">
        <v>109</v>
      </c>
      <c r="E12" s="13" t="s">
        <v>110</v>
      </c>
      <c r="F12" s="25">
        <v>32</v>
      </c>
      <c r="G12" s="25">
        <v>0</v>
      </c>
      <c r="H12" s="29" t="s">
        <v>111</v>
      </c>
      <c r="I12" s="33">
        <v>115000</v>
      </c>
      <c r="J12" s="37">
        <v>37999</v>
      </c>
      <c r="K12" s="37">
        <v>26788</v>
      </c>
      <c r="L12" s="14">
        <f t="shared" ca="1" si="1"/>
        <v>45980</v>
      </c>
      <c r="M12" s="8">
        <f t="shared" ca="1" si="2"/>
        <v>52.580821917808223</v>
      </c>
      <c r="N12" s="8">
        <f t="shared" ca="1" si="3"/>
        <v>52</v>
      </c>
    </row>
    <row r="13" spans="1:14" ht="14.4" x14ac:dyDescent="0.3">
      <c r="A13" s="24" t="s">
        <v>135</v>
      </c>
      <c r="B13" s="24" t="s">
        <v>136</v>
      </c>
      <c r="C13" s="24" t="str">
        <f t="shared" si="0"/>
        <v>Nitin</v>
      </c>
      <c r="D13" s="24" t="s">
        <v>109</v>
      </c>
      <c r="E13" s="13" t="s">
        <v>110</v>
      </c>
      <c r="F13" s="25">
        <v>32</v>
      </c>
      <c r="G13" s="25">
        <v>0</v>
      </c>
      <c r="H13" s="29" t="s">
        <v>111</v>
      </c>
      <c r="I13" s="33">
        <v>114778</v>
      </c>
      <c r="J13" s="37">
        <v>38719</v>
      </c>
      <c r="K13" s="37">
        <v>27681</v>
      </c>
      <c r="L13" s="14">
        <f t="shared" ca="1" si="1"/>
        <v>45980</v>
      </c>
      <c r="M13" s="8">
        <f t="shared" ca="1" si="2"/>
        <v>50.134246575342466</v>
      </c>
      <c r="N13" s="8">
        <f t="shared" ca="1" si="3"/>
        <v>50</v>
      </c>
    </row>
    <row r="14" spans="1:14" ht="14.4" x14ac:dyDescent="0.3">
      <c r="A14" s="24" t="s">
        <v>137</v>
      </c>
      <c r="B14" s="24" t="s">
        <v>138</v>
      </c>
      <c r="C14" s="24" t="str">
        <f t="shared" si="0"/>
        <v>Rani</v>
      </c>
      <c r="D14" s="24" t="s">
        <v>132</v>
      </c>
      <c r="E14" s="13" t="s">
        <v>110</v>
      </c>
      <c r="F14" s="25">
        <v>33</v>
      </c>
      <c r="G14" s="25">
        <v>0</v>
      </c>
      <c r="H14" s="29" t="s">
        <v>111</v>
      </c>
      <c r="I14" s="33">
        <v>79800</v>
      </c>
      <c r="J14" s="37">
        <v>41195</v>
      </c>
      <c r="K14" s="37">
        <v>26183</v>
      </c>
      <c r="L14" s="14">
        <f t="shared" ca="1" si="1"/>
        <v>45980</v>
      </c>
      <c r="M14" s="8">
        <f t="shared" ca="1" si="2"/>
        <v>54.238356164383561</v>
      </c>
      <c r="N14" s="8">
        <f t="shared" ca="1" si="3"/>
        <v>54</v>
      </c>
    </row>
    <row r="15" spans="1:14" ht="14.4" x14ac:dyDescent="0.3">
      <c r="A15" s="24" t="s">
        <v>139</v>
      </c>
      <c r="B15" s="24" t="s">
        <v>140</v>
      </c>
      <c r="C15" s="24" t="str">
        <f t="shared" si="0"/>
        <v>Ajay</v>
      </c>
      <c r="D15" s="24" t="s">
        <v>132</v>
      </c>
      <c r="E15" s="13" t="s">
        <v>110</v>
      </c>
      <c r="F15" s="25">
        <v>33</v>
      </c>
      <c r="G15" s="25">
        <v>2</v>
      </c>
      <c r="H15" s="29" t="s">
        <v>111</v>
      </c>
      <c r="I15" s="33">
        <v>80225</v>
      </c>
      <c r="J15" s="37">
        <v>41858</v>
      </c>
      <c r="K15" s="37">
        <v>26708</v>
      </c>
      <c r="L15" s="14">
        <f t="shared" ca="1" si="1"/>
        <v>45980</v>
      </c>
      <c r="M15" s="8">
        <f t="shared" ca="1" si="2"/>
        <v>52.8</v>
      </c>
      <c r="N15" s="8">
        <f t="shared" ca="1" si="3"/>
        <v>52</v>
      </c>
    </row>
    <row r="16" spans="1:14" ht="14.4" x14ac:dyDescent="0.3">
      <c r="A16" s="24" t="s">
        <v>141</v>
      </c>
      <c r="B16" s="24" t="s">
        <v>142</v>
      </c>
      <c r="C16" s="24" t="str">
        <f t="shared" si="0"/>
        <v>Seema</v>
      </c>
      <c r="D16" s="24" t="s">
        <v>132</v>
      </c>
      <c r="E16" s="13" t="s">
        <v>110</v>
      </c>
      <c r="F16" s="25">
        <v>33</v>
      </c>
      <c r="G16" s="25">
        <v>2</v>
      </c>
      <c r="H16" s="29" t="s">
        <v>129</v>
      </c>
      <c r="I16" s="33">
        <v>80225</v>
      </c>
      <c r="J16" s="37">
        <v>42353</v>
      </c>
      <c r="K16" s="37">
        <v>27211</v>
      </c>
      <c r="L16" s="14">
        <f t="shared" ca="1" si="1"/>
        <v>45980</v>
      </c>
      <c r="M16" s="8">
        <f t="shared" ca="1" si="2"/>
        <v>51.421917808219177</v>
      </c>
      <c r="N16" s="8">
        <f t="shared" ca="1" si="3"/>
        <v>51</v>
      </c>
    </row>
    <row r="17" spans="1:14" ht="14.4" x14ac:dyDescent="0.3">
      <c r="A17" s="24" t="s">
        <v>143</v>
      </c>
      <c r="B17" s="24" t="s">
        <v>144</v>
      </c>
      <c r="C17" s="24" t="str">
        <f t="shared" si="0"/>
        <v>Rajendra</v>
      </c>
      <c r="D17" s="24" t="s">
        <v>132</v>
      </c>
      <c r="E17" s="13" t="s">
        <v>110</v>
      </c>
      <c r="F17" s="25">
        <v>33</v>
      </c>
      <c r="G17" s="25">
        <v>0</v>
      </c>
      <c r="H17" s="29" t="s">
        <v>111</v>
      </c>
      <c r="I17" s="33">
        <v>70768</v>
      </c>
      <c r="J17" s="37">
        <v>40494</v>
      </c>
      <c r="K17" s="37">
        <v>28939</v>
      </c>
      <c r="L17" s="14">
        <f t="shared" ca="1" si="1"/>
        <v>45980</v>
      </c>
      <c r="M17" s="8">
        <f t="shared" ca="1" si="2"/>
        <v>46.68767123287671</v>
      </c>
      <c r="N17" s="8">
        <f t="shared" ca="1" si="3"/>
        <v>46</v>
      </c>
    </row>
    <row r="18" spans="1:14" ht="14.4" x14ac:dyDescent="0.3">
      <c r="A18" s="24" t="s">
        <v>145</v>
      </c>
      <c r="B18" s="24" t="s">
        <v>146</v>
      </c>
      <c r="C18" s="24" t="str">
        <f t="shared" si="0"/>
        <v>Priya</v>
      </c>
      <c r="D18" s="24" t="s">
        <v>109</v>
      </c>
      <c r="E18" s="13" t="s">
        <v>110</v>
      </c>
      <c r="F18" s="25">
        <v>34</v>
      </c>
      <c r="G18" s="25">
        <v>2</v>
      </c>
      <c r="H18" s="29" t="s">
        <v>111</v>
      </c>
      <c r="I18" s="33">
        <v>173200</v>
      </c>
      <c r="J18" s="37">
        <v>37527</v>
      </c>
      <c r="K18" s="37">
        <v>26113</v>
      </c>
      <c r="L18" s="14">
        <f t="shared" ca="1" si="1"/>
        <v>45980</v>
      </c>
      <c r="M18" s="8">
        <f t="shared" ca="1" si="2"/>
        <v>54.43013698630137</v>
      </c>
      <c r="N18" s="8">
        <f t="shared" ca="1" si="3"/>
        <v>54</v>
      </c>
    </row>
    <row r="19" spans="1:14" ht="14.4" x14ac:dyDescent="0.3">
      <c r="A19" s="24" t="s">
        <v>147</v>
      </c>
      <c r="B19" s="24" t="s">
        <v>148</v>
      </c>
      <c r="C19" s="24" t="str">
        <f t="shared" si="0"/>
        <v>Vipul</v>
      </c>
      <c r="D19" s="24" t="s">
        <v>149</v>
      </c>
      <c r="E19" s="13" t="s">
        <v>110</v>
      </c>
      <c r="F19" s="25">
        <v>34</v>
      </c>
      <c r="G19" s="25">
        <v>0</v>
      </c>
      <c r="H19" s="29" t="s">
        <v>111</v>
      </c>
      <c r="I19" s="33">
        <v>100938</v>
      </c>
      <c r="J19" s="37">
        <v>43880</v>
      </c>
      <c r="K19" s="37">
        <v>28974</v>
      </c>
      <c r="L19" s="14">
        <f t="shared" ca="1" si="1"/>
        <v>45980</v>
      </c>
      <c r="M19" s="8">
        <f t="shared" ca="1" si="2"/>
        <v>46.591780821917808</v>
      </c>
      <c r="N19" s="8">
        <f t="shared" ca="1" si="3"/>
        <v>46</v>
      </c>
    </row>
    <row r="20" spans="1:14" ht="14.4" x14ac:dyDescent="0.3">
      <c r="A20" s="24" t="s">
        <v>150</v>
      </c>
      <c r="B20" s="24" t="s">
        <v>151</v>
      </c>
      <c r="C20" s="24" t="str">
        <f t="shared" si="0"/>
        <v>Arun</v>
      </c>
      <c r="D20" s="24" t="s">
        <v>109</v>
      </c>
      <c r="E20" s="13" t="s">
        <v>110</v>
      </c>
      <c r="F20" s="25">
        <v>34</v>
      </c>
      <c r="G20" s="25">
        <v>0</v>
      </c>
      <c r="H20" s="29" t="s">
        <v>129</v>
      </c>
      <c r="I20" s="33">
        <v>151768</v>
      </c>
      <c r="J20" s="37">
        <v>39714</v>
      </c>
      <c r="K20" s="37">
        <v>28356</v>
      </c>
      <c r="L20" s="14">
        <f t="shared" ca="1" si="1"/>
        <v>45980</v>
      </c>
      <c r="M20" s="8">
        <f t="shared" ca="1" si="2"/>
        <v>48.284931506849318</v>
      </c>
      <c r="N20" s="8">
        <f t="shared" ca="1" si="3"/>
        <v>48</v>
      </c>
    </row>
    <row r="21" spans="1:14" ht="15.75" customHeight="1" x14ac:dyDescent="0.3">
      <c r="A21" s="24" t="s">
        <v>152</v>
      </c>
      <c r="B21" s="24" t="s">
        <v>153</v>
      </c>
      <c r="C21" s="24" t="str">
        <f t="shared" si="0"/>
        <v>Amit</v>
      </c>
      <c r="D21" s="24" t="s">
        <v>149</v>
      </c>
      <c r="E21" s="13" t="s">
        <v>110</v>
      </c>
      <c r="F21" s="25">
        <v>36</v>
      </c>
      <c r="G21" s="25">
        <v>0</v>
      </c>
      <c r="H21" s="29" t="s">
        <v>111</v>
      </c>
      <c r="I21" s="33">
        <v>93418</v>
      </c>
      <c r="J21" s="37">
        <v>37461</v>
      </c>
      <c r="K21" s="37">
        <v>26118</v>
      </c>
      <c r="L21" s="14">
        <f t="shared" ca="1" si="1"/>
        <v>45980</v>
      </c>
      <c r="M21" s="8">
        <f t="shared" ca="1" si="2"/>
        <v>54.416438356164385</v>
      </c>
      <c r="N21" s="8">
        <f t="shared" ca="1" si="3"/>
        <v>54</v>
      </c>
    </row>
    <row r="22" spans="1:14" ht="15.75" customHeight="1" x14ac:dyDescent="0.3">
      <c r="A22" s="24" t="s">
        <v>154</v>
      </c>
      <c r="B22" s="24" t="s">
        <v>155</v>
      </c>
      <c r="C22" s="24" t="str">
        <f t="shared" si="0"/>
        <v>Deepak</v>
      </c>
      <c r="D22" s="24" t="s">
        <v>132</v>
      </c>
      <c r="E22" s="13" t="s">
        <v>110</v>
      </c>
      <c r="F22" s="25">
        <v>38</v>
      </c>
      <c r="G22" s="25">
        <v>2</v>
      </c>
      <c r="H22" s="29" t="s">
        <v>111</v>
      </c>
      <c r="I22" s="33">
        <v>79750</v>
      </c>
      <c r="J22" s="37">
        <v>37932</v>
      </c>
      <c r="K22" s="37">
        <v>26528</v>
      </c>
      <c r="L22" s="14">
        <f t="shared" ca="1" si="1"/>
        <v>45980</v>
      </c>
      <c r="M22" s="8">
        <f t="shared" ca="1" si="2"/>
        <v>53.293150684931504</v>
      </c>
      <c r="N22" s="8">
        <f t="shared" ca="1" si="3"/>
        <v>53</v>
      </c>
    </row>
    <row r="23" spans="1:14" ht="15.75" customHeight="1" x14ac:dyDescent="0.3">
      <c r="A23" s="24" t="s">
        <v>156</v>
      </c>
      <c r="B23" s="24" t="s">
        <v>157</v>
      </c>
      <c r="C23" s="24" t="str">
        <f t="shared" si="0"/>
        <v>Neetu</v>
      </c>
      <c r="D23" s="24" t="s">
        <v>109</v>
      </c>
      <c r="E23" s="13" t="s">
        <v>122</v>
      </c>
      <c r="F23" s="25">
        <v>38</v>
      </c>
      <c r="G23" s="25">
        <v>4</v>
      </c>
      <c r="H23" s="29" t="s">
        <v>111</v>
      </c>
      <c r="I23" s="33">
        <v>103450</v>
      </c>
      <c r="J23" s="37">
        <v>43219</v>
      </c>
      <c r="K23" s="37">
        <v>28476</v>
      </c>
      <c r="L23" s="14">
        <f t="shared" ca="1" si="1"/>
        <v>45980</v>
      </c>
      <c r="M23" s="8">
        <f t="shared" ca="1" si="2"/>
        <v>47.956164383561642</v>
      </c>
      <c r="N23" s="8">
        <f t="shared" ca="1" si="3"/>
        <v>47</v>
      </c>
    </row>
    <row r="24" spans="1:14" ht="15.75" customHeight="1" x14ac:dyDescent="0.3">
      <c r="A24" s="24" t="s">
        <v>158</v>
      </c>
      <c r="B24" s="24" t="s">
        <v>159</v>
      </c>
      <c r="C24" s="24" t="str">
        <f t="shared" si="0"/>
        <v>Sonali</v>
      </c>
      <c r="D24" s="24" t="s">
        <v>109</v>
      </c>
      <c r="E24" s="13" t="s">
        <v>110</v>
      </c>
      <c r="F24" s="25">
        <v>39</v>
      </c>
      <c r="G24" s="25">
        <v>2</v>
      </c>
      <c r="H24" s="29" t="s">
        <v>111</v>
      </c>
      <c r="I24" s="33">
        <v>98193</v>
      </c>
      <c r="J24" s="37">
        <v>39430</v>
      </c>
      <c r="K24" s="37">
        <v>27791</v>
      </c>
      <c r="L24" s="14">
        <f t="shared" ca="1" si="1"/>
        <v>45980</v>
      </c>
      <c r="M24" s="8">
        <f t="shared" ca="1" si="2"/>
        <v>49.832876712328769</v>
      </c>
      <c r="N24" s="8">
        <f t="shared" ca="1" si="3"/>
        <v>49</v>
      </c>
    </row>
    <row r="25" spans="1:14" ht="15.75" customHeight="1" x14ac:dyDescent="0.3">
      <c r="A25" s="24" t="s">
        <v>160</v>
      </c>
      <c r="B25" s="24" t="s">
        <v>161</v>
      </c>
      <c r="C25" s="24" t="str">
        <f t="shared" si="0"/>
        <v>Vijay</v>
      </c>
      <c r="D25" s="24" t="s">
        <v>109</v>
      </c>
      <c r="E25" s="13" t="s">
        <v>110</v>
      </c>
      <c r="F25" s="25">
        <v>40</v>
      </c>
      <c r="G25" s="25">
        <v>6</v>
      </c>
      <c r="H25" s="29" t="s">
        <v>111</v>
      </c>
      <c r="I25" s="33">
        <v>231545</v>
      </c>
      <c r="J25" s="37">
        <v>38033</v>
      </c>
      <c r="K25" s="37">
        <v>26976</v>
      </c>
      <c r="L25" s="14">
        <f t="shared" ca="1" si="1"/>
        <v>45980</v>
      </c>
      <c r="M25" s="8">
        <f t="shared" ca="1" si="2"/>
        <v>52.065753424657537</v>
      </c>
      <c r="N25" s="8">
        <f t="shared" ca="1" si="3"/>
        <v>52</v>
      </c>
    </row>
    <row r="26" spans="1:14" ht="15.75" customHeight="1" x14ac:dyDescent="0.3">
      <c r="A26" s="24" t="s">
        <v>162</v>
      </c>
      <c r="B26" s="24" t="s">
        <v>163</v>
      </c>
      <c r="C26" s="24" t="str">
        <f t="shared" si="0"/>
        <v>Meena</v>
      </c>
      <c r="D26" s="24" t="s">
        <v>109</v>
      </c>
      <c r="E26" s="13" t="s">
        <v>110</v>
      </c>
      <c r="F26" s="25">
        <v>41</v>
      </c>
      <c r="G26" s="25">
        <v>5</v>
      </c>
      <c r="H26" s="29" t="s">
        <v>129</v>
      </c>
      <c r="I26" s="33">
        <v>129000</v>
      </c>
      <c r="J26" s="37">
        <v>40536</v>
      </c>
      <c r="K26" s="37">
        <v>29058</v>
      </c>
      <c r="L26" s="14">
        <f t="shared" ca="1" si="1"/>
        <v>45980</v>
      </c>
      <c r="M26" s="8">
        <f t="shared" ca="1" si="2"/>
        <v>46.361643835616441</v>
      </c>
      <c r="N26" s="8">
        <f t="shared" ca="1" si="3"/>
        <v>46</v>
      </c>
    </row>
    <row r="27" spans="1:14" ht="15.75" customHeight="1" x14ac:dyDescent="0.3">
      <c r="A27" s="24" t="s">
        <v>164</v>
      </c>
      <c r="B27" s="24" t="s">
        <v>165</v>
      </c>
      <c r="C27" s="24" t="str">
        <f t="shared" si="0"/>
        <v>Archana</v>
      </c>
      <c r="D27" s="24" t="s">
        <v>109</v>
      </c>
      <c r="E27" s="13" t="s">
        <v>122</v>
      </c>
      <c r="F27" s="25">
        <v>41</v>
      </c>
      <c r="G27" s="25">
        <v>11</v>
      </c>
      <c r="H27" s="29" t="s">
        <v>111</v>
      </c>
      <c r="I27" s="33">
        <v>102580</v>
      </c>
      <c r="J27" s="37">
        <v>37337</v>
      </c>
      <c r="K27" s="37">
        <v>26241</v>
      </c>
      <c r="L27" s="14">
        <f t="shared" ca="1" si="1"/>
        <v>45980</v>
      </c>
      <c r="M27" s="8">
        <f t="shared" ca="1" si="2"/>
        <v>54.079452054794523</v>
      </c>
      <c r="N27" s="8">
        <f t="shared" ca="1" si="3"/>
        <v>54</v>
      </c>
    </row>
    <row r="28" spans="1:14" ht="15.75" customHeight="1" x14ac:dyDescent="0.3">
      <c r="A28" s="24" t="s">
        <v>166</v>
      </c>
      <c r="B28" s="24" t="s">
        <v>167</v>
      </c>
      <c r="C28" s="24" t="str">
        <f t="shared" si="0"/>
        <v>Deepika</v>
      </c>
      <c r="D28" s="24" t="s">
        <v>109</v>
      </c>
      <c r="E28" s="13" t="s">
        <v>110</v>
      </c>
      <c r="F28" s="25">
        <v>41</v>
      </c>
      <c r="G28" s="25">
        <v>7</v>
      </c>
      <c r="H28" s="29" t="s">
        <v>111</v>
      </c>
      <c r="I28" s="33">
        <v>101299</v>
      </c>
      <c r="J28" s="37">
        <v>37772</v>
      </c>
      <c r="K28" s="37">
        <v>26379</v>
      </c>
      <c r="L28" s="14">
        <f t="shared" ca="1" si="1"/>
        <v>45980</v>
      </c>
      <c r="M28" s="8">
        <f t="shared" ca="1" si="2"/>
        <v>53.701369863013696</v>
      </c>
      <c r="N28" s="8">
        <f t="shared" ca="1" si="3"/>
        <v>53</v>
      </c>
    </row>
    <row r="29" spans="1:14" ht="15.75" customHeight="1" x14ac:dyDescent="0.3">
      <c r="A29" s="24" t="s">
        <v>168</v>
      </c>
      <c r="B29" s="24" t="s">
        <v>169</v>
      </c>
      <c r="C29" s="24" t="str">
        <f t="shared" si="0"/>
        <v>Pooja</v>
      </c>
      <c r="D29" s="24" t="s">
        <v>149</v>
      </c>
      <c r="E29" s="13" t="s">
        <v>110</v>
      </c>
      <c r="F29" s="26">
        <v>42</v>
      </c>
      <c r="G29" s="26">
        <v>12</v>
      </c>
      <c r="H29" s="30" t="s">
        <v>111</v>
      </c>
      <c r="I29" s="34">
        <v>97000</v>
      </c>
      <c r="J29" s="37">
        <v>38914</v>
      </c>
      <c r="K29" s="37">
        <v>27503</v>
      </c>
      <c r="L29" s="14">
        <f t="shared" ca="1" si="1"/>
        <v>45980</v>
      </c>
      <c r="M29" s="8">
        <f t="shared" ca="1" si="2"/>
        <v>50.62191780821918</v>
      </c>
      <c r="N29" s="8">
        <f t="shared" ca="1" si="3"/>
        <v>50</v>
      </c>
    </row>
    <row r="30" spans="1:14" ht="15.75" customHeight="1" x14ac:dyDescent="0.3">
      <c r="A30" s="24" t="s">
        <v>170</v>
      </c>
      <c r="B30" s="24" t="s">
        <v>171</v>
      </c>
      <c r="C30" s="24" t="str">
        <f t="shared" si="0"/>
        <v>Anil</v>
      </c>
      <c r="D30" s="24" t="s">
        <v>109</v>
      </c>
      <c r="E30" s="15" t="s">
        <v>110</v>
      </c>
      <c r="F30" s="27">
        <v>42</v>
      </c>
      <c r="G30" s="27">
        <v>4</v>
      </c>
      <c r="H30" s="31" t="s">
        <v>111</v>
      </c>
      <c r="I30" s="35">
        <v>119250</v>
      </c>
      <c r="J30" s="37">
        <v>40044</v>
      </c>
      <c r="K30" s="37">
        <v>28830</v>
      </c>
      <c r="L30" s="14">
        <f t="shared" ca="1" si="1"/>
        <v>45980</v>
      </c>
      <c r="M30" s="8">
        <f t="shared" ca="1" si="2"/>
        <v>46.986301369863014</v>
      </c>
      <c r="N30" s="8">
        <f t="shared" ca="1" si="3"/>
        <v>46</v>
      </c>
    </row>
    <row r="31" spans="1:14" ht="15.75" customHeight="1" x14ac:dyDescent="0.3">
      <c r="A31" s="24" t="s">
        <v>172</v>
      </c>
      <c r="B31" s="24" t="s">
        <v>173</v>
      </c>
      <c r="C31" s="24" t="str">
        <f t="shared" si="0"/>
        <v>Vinod</v>
      </c>
      <c r="D31" s="24" t="s">
        <v>149</v>
      </c>
      <c r="E31" s="15" t="s">
        <v>110</v>
      </c>
      <c r="F31" s="27">
        <v>43</v>
      </c>
      <c r="G31" s="27">
        <v>11</v>
      </c>
      <c r="H31" s="31" t="s">
        <v>111</v>
      </c>
      <c r="I31" s="35">
        <v>119800</v>
      </c>
      <c r="J31" s="37">
        <v>40572</v>
      </c>
      <c r="K31" s="37">
        <v>25852</v>
      </c>
      <c r="L31" s="14">
        <f t="shared" ca="1" si="1"/>
        <v>45980</v>
      </c>
      <c r="M31" s="8">
        <f t="shared" ca="1" si="2"/>
        <v>55.145205479452052</v>
      </c>
      <c r="N31" s="8">
        <f t="shared" ca="1" si="3"/>
        <v>55</v>
      </c>
    </row>
    <row r="32" spans="1:14" ht="15.75" customHeight="1" x14ac:dyDescent="0.3">
      <c r="A32" s="24" t="s">
        <v>174</v>
      </c>
      <c r="B32" s="24" t="s">
        <v>175</v>
      </c>
      <c r="C32" s="24" t="str">
        <f t="shared" si="0"/>
        <v>Rohit</v>
      </c>
      <c r="D32" s="24" t="s">
        <v>132</v>
      </c>
      <c r="E32" s="15" t="s">
        <v>110</v>
      </c>
      <c r="F32" s="27">
        <v>44</v>
      </c>
      <c r="G32" s="27">
        <v>13</v>
      </c>
      <c r="H32" s="31" t="s">
        <v>111</v>
      </c>
      <c r="I32" s="35">
        <v>77700</v>
      </c>
      <c r="J32" s="37">
        <v>41519</v>
      </c>
      <c r="K32" s="37">
        <v>26417</v>
      </c>
      <c r="L32" s="14">
        <f t="shared" ca="1" si="1"/>
        <v>45980</v>
      </c>
      <c r="M32" s="8">
        <f t="shared" ca="1" si="2"/>
        <v>53.597260273972601</v>
      </c>
      <c r="N32" s="8">
        <f t="shared" ca="1" si="3"/>
        <v>53</v>
      </c>
    </row>
    <row r="33" spans="1:14" ht="15.75" customHeight="1" x14ac:dyDescent="0.3">
      <c r="A33" s="24" t="s">
        <v>176</v>
      </c>
      <c r="B33" s="24" t="s">
        <v>177</v>
      </c>
      <c r="C33" s="24" t="str">
        <f t="shared" si="0"/>
        <v>Sandeep</v>
      </c>
      <c r="D33" s="24" t="s">
        <v>109</v>
      </c>
      <c r="E33" s="15" t="s">
        <v>122</v>
      </c>
      <c r="F33" s="27">
        <v>44</v>
      </c>
      <c r="G33" s="27">
        <v>8</v>
      </c>
      <c r="H33" s="31" t="s">
        <v>111</v>
      </c>
      <c r="I33" s="35">
        <v>124750</v>
      </c>
      <c r="J33" s="37">
        <v>43707</v>
      </c>
      <c r="K33" s="37">
        <v>28555</v>
      </c>
      <c r="L33" s="14">
        <f t="shared" ca="1" si="1"/>
        <v>45980</v>
      </c>
      <c r="M33" s="8">
        <f t="shared" ca="1" si="2"/>
        <v>47.739726027397261</v>
      </c>
      <c r="N33" s="8">
        <f t="shared" ca="1" si="3"/>
        <v>47</v>
      </c>
    </row>
    <row r="34" spans="1:14" ht="15.75" customHeight="1" x14ac:dyDescent="0.3">
      <c r="A34" s="24" t="s">
        <v>178</v>
      </c>
      <c r="B34" s="24" t="s">
        <v>179</v>
      </c>
      <c r="C34" s="24" t="str">
        <f t="shared" si="0"/>
        <v>Sanjay</v>
      </c>
      <c r="D34" s="24" t="s">
        <v>132</v>
      </c>
      <c r="E34" s="15" t="s">
        <v>110</v>
      </c>
      <c r="F34" s="27">
        <v>44</v>
      </c>
      <c r="G34" s="27">
        <v>8</v>
      </c>
      <c r="H34" s="31" t="s">
        <v>111</v>
      </c>
      <c r="I34" s="35">
        <v>79916</v>
      </c>
      <c r="J34" s="37">
        <v>41072</v>
      </c>
      <c r="K34" s="37">
        <v>26062</v>
      </c>
      <c r="L34" s="14">
        <f t="shared" ca="1" si="1"/>
        <v>45980</v>
      </c>
      <c r="M34" s="8">
        <f t="shared" ca="1" si="2"/>
        <v>54.56986301369863</v>
      </c>
      <c r="N34" s="8">
        <f t="shared" ca="1" si="3"/>
        <v>54</v>
      </c>
    </row>
    <row r="35" spans="1:14" ht="15.75" customHeight="1" x14ac:dyDescent="0.3">
      <c r="A35" s="24" t="s">
        <v>180</v>
      </c>
      <c r="B35" s="24" t="s">
        <v>181</v>
      </c>
      <c r="C35" s="24" t="str">
        <f t="shared" si="0"/>
        <v>Manoj</v>
      </c>
      <c r="D35" s="24" t="s">
        <v>109</v>
      </c>
      <c r="E35" s="15" t="s">
        <v>122</v>
      </c>
      <c r="F35" s="27">
        <v>45</v>
      </c>
      <c r="G35" s="27">
        <v>14</v>
      </c>
      <c r="H35" s="31" t="s">
        <v>111</v>
      </c>
      <c r="I35" s="35">
        <v>89565</v>
      </c>
      <c r="J35" s="37">
        <v>44394</v>
      </c>
      <c r="K35" s="37">
        <v>25767</v>
      </c>
      <c r="L35" s="14">
        <f t="shared" ca="1" si="1"/>
        <v>45980</v>
      </c>
      <c r="M35" s="8">
        <f t="shared" ca="1" si="2"/>
        <v>55.37808219178082</v>
      </c>
      <c r="N35" s="8">
        <f t="shared" ca="1" si="3"/>
        <v>55</v>
      </c>
    </row>
    <row r="36" spans="1:14" ht="15.75" customHeight="1" x14ac:dyDescent="0.3">
      <c r="A36" s="24" t="s">
        <v>182</v>
      </c>
      <c r="B36" s="24" t="s">
        <v>183</v>
      </c>
      <c r="C36" s="24" t="str">
        <f t="shared" si="0"/>
        <v>Suman</v>
      </c>
      <c r="D36" s="24" t="s">
        <v>109</v>
      </c>
      <c r="E36" s="15" t="s">
        <v>122</v>
      </c>
      <c r="F36" s="27">
        <v>45</v>
      </c>
      <c r="G36" s="27">
        <v>15</v>
      </c>
      <c r="H36" s="31" t="s">
        <v>111</v>
      </c>
      <c r="I36" s="35">
        <v>134885</v>
      </c>
      <c r="J36" s="37">
        <v>39177</v>
      </c>
      <c r="K36" s="37">
        <v>28118</v>
      </c>
      <c r="L36" s="14">
        <f t="shared" ca="1" si="1"/>
        <v>45980</v>
      </c>
      <c r="M36" s="8">
        <f t="shared" ca="1" si="2"/>
        <v>48.936986301369863</v>
      </c>
      <c r="N36" s="8">
        <f t="shared" ca="1" si="3"/>
        <v>48</v>
      </c>
    </row>
    <row r="37" spans="1:14" ht="15.75" customHeight="1" x14ac:dyDescent="0.3">
      <c r="A37" s="24" t="s">
        <v>184</v>
      </c>
      <c r="B37" s="24" t="s">
        <v>185</v>
      </c>
      <c r="C37" s="24" t="str">
        <f t="shared" si="0"/>
        <v>Shalini</v>
      </c>
      <c r="D37" s="24" t="s">
        <v>132</v>
      </c>
      <c r="E37" s="15" t="s">
        <v>110</v>
      </c>
      <c r="F37" s="27">
        <v>45</v>
      </c>
      <c r="G37" s="27">
        <v>8</v>
      </c>
      <c r="H37" s="31" t="s">
        <v>111</v>
      </c>
      <c r="I37" s="35">
        <v>77000</v>
      </c>
      <c r="J37" s="37">
        <v>39951</v>
      </c>
      <c r="K37" s="37">
        <v>28607</v>
      </c>
      <c r="L37" s="14">
        <f t="shared" ca="1" si="1"/>
        <v>45980</v>
      </c>
      <c r="M37" s="8">
        <f t="shared" ca="1" si="2"/>
        <v>47.597260273972601</v>
      </c>
      <c r="N37" s="8">
        <f t="shared" ca="1" si="3"/>
        <v>47</v>
      </c>
    </row>
    <row r="38" spans="1:14" ht="15.75" customHeight="1" x14ac:dyDescent="0.3">
      <c r="A38" s="24" t="s">
        <v>186</v>
      </c>
      <c r="B38" s="24" t="s">
        <v>187</v>
      </c>
      <c r="C38" s="24" t="str">
        <f t="shared" si="0"/>
        <v>Ramesh</v>
      </c>
      <c r="D38" s="24" t="s">
        <v>109</v>
      </c>
      <c r="E38" s="15" t="s">
        <v>110</v>
      </c>
      <c r="F38" s="27">
        <v>49</v>
      </c>
      <c r="G38" s="27">
        <v>11</v>
      </c>
      <c r="H38" s="31" t="s">
        <v>111</v>
      </c>
      <c r="I38" s="35">
        <v>101000</v>
      </c>
      <c r="J38" s="37">
        <v>42866</v>
      </c>
      <c r="K38" s="37">
        <v>27910</v>
      </c>
      <c r="L38" s="14">
        <f t="shared" ca="1" si="1"/>
        <v>45980</v>
      </c>
      <c r="M38" s="8">
        <f t="shared" ca="1" si="2"/>
        <v>49.506849315068493</v>
      </c>
      <c r="N38" s="8">
        <f t="shared" ca="1" si="3"/>
        <v>49</v>
      </c>
    </row>
    <row r="39" spans="1:14" ht="15.75" customHeight="1" x14ac:dyDescent="0.3">
      <c r="A39" s="24" t="s">
        <v>188</v>
      </c>
      <c r="B39" s="24" t="s">
        <v>189</v>
      </c>
      <c r="C39" s="24" t="str">
        <f t="shared" si="0"/>
        <v>Sheetal</v>
      </c>
      <c r="D39" s="24" t="s">
        <v>109</v>
      </c>
      <c r="E39" s="15" t="s">
        <v>110</v>
      </c>
      <c r="F39" s="27">
        <v>49</v>
      </c>
      <c r="G39" s="27">
        <v>12</v>
      </c>
      <c r="H39" s="31" t="s">
        <v>129</v>
      </c>
      <c r="I39" s="35">
        <v>140096</v>
      </c>
      <c r="J39" s="37">
        <v>39932</v>
      </c>
      <c r="K39" s="37">
        <v>28497</v>
      </c>
      <c r="L39" s="14">
        <f t="shared" ca="1" si="1"/>
        <v>45980</v>
      </c>
      <c r="M39" s="8">
        <f t="shared" ca="1" si="2"/>
        <v>47.898630136986299</v>
      </c>
      <c r="N39" s="8">
        <f t="shared" ca="1" si="3"/>
        <v>47</v>
      </c>
    </row>
    <row r="40" spans="1:14" ht="15.75" customHeight="1" x14ac:dyDescent="0.3">
      <c r="A40" s="24" t="s">
        <v>190</v>
      </c>
      <c r="B40" s="24" t="s">
        <v>191</v>
      </c>
      <c r="C40" s="24" t="str">
        <f t="shared" si="0"/>
        <v>Suresh</v>
      </c>
      <c r="D40" s="24" t="s">
        <v>109</v>
      </c>
      <c r="E40" s="15" t="s">
        <v>110</v>
      </c>
      <c r="F40" s="27">
        <v>50</v>
      </c>
      <c r="G40" s="27">
        <v>14</v>
      </c>
      <c r="H40" s="31" t="s">
        <v>111</v>
      </c>
      <c r="I40" s="35">
        <v>175000</v>
      </c>
      <c r="J40" s="37">
        <v>39122</v>
      </c>
      <c r="K40" s="37">
        <v>28006</v>
      </c>
      <c r="L40" s="14">
        <f t="shared" ca="1" si="1"/>
        <v>45980</v>
      </c>
      <c r="M40" s="8">
        <f t="shared" ca="1" si="2"/>
        <v>49.243835616438353</v>
      </c>
      <c r="N40" s="8">
        <f t="shared" ca="1" si="3"/>
        <v>49</v>
      </c>
    </row>
    <row r="41" spans="1:14" ht="15.75" customHeight="1" x14ac:dyDescent="0.3">
      <c r="A41" s="24" t="s">
        <v>192</v>
      </c>
      <c r="B41" s="24" t="s">
        <v>193</v>
      </c>
      <c r="C41" s="24" t="str">
        <f t="shared" si="0"/>
        <v>Sunita</v>
      </c>
      <c r="D41" s="24" t="s">
        <v>132</v>
      </c>
      <c r="E41" s="13" t="s">
        <v>110</v>
      </c>
      <c r="F41" s="28">
        <v>54</v>
      </c>
      <c r="G41" s="28">
        <v>20</v>
      </c>
      <c r="H41" s="32" t="s">
        <v>111</v>
      </c>
      <c r="I41" s="36">
        <v>78000</v>
      </c>
      <c r="J41" s="37">
        <v>41715</v>
      </c>
      <c r="K41" s="37">
        <v>26679</v>
      </c>
      <c r="L41" s="14">
        <f t="shared" ca="1" si="1"/>
        <v>45980</v>
      </c>
      <c r="M41" s="8">
        <f t="shared" ca="1" si="2"/>
        <v>52.87945205479452</v>
      </c>
      <c r="N41" s="8">
        <f t="shared" ca="1" si="3"/>
        <v>52</v>
      </c>
    </row>
    <row r="42" spans="1:14" ht="15.75" customHeight="1" x14ac:dyDescent="0.3">
      <c r="A42" s="24" t="s">
        <v>194</v>
      </c>
      <c r="B42" s="24" t="s">
        <v>195</v>
      </c>
      <c r="C42" s="24" t="str">
        <f t="shared" si="0"/>
        <v>Jyoti</v>
      </c>
      <c r="D42" s="24" t="s">
        <v>109</v>
      </c>
      <c r="E42" s="13" t="s">
        <v>122</v>
      </c>
      <c r="F42" s="25">
        <v>54</v>
      </c>
      <c r="G42" s="25">
        <v>18</v>
      </c>
      <c r="H42" s="29" t="s">
        <v>111</v>
      </c>
      <c r="I42" s="33">
        <v>113068</v>
      </c>
      <c r="J42" s="37">
        <v>38330</v>
      </c>
      <c r="K42" s="37">
        <v>26907</v>
      </c>
      <c r="L42" s="14">
        <f t="shared" ca="1" si="1"/>
        <v>45980</v>
      </c>
      <c r="M42" s="8">
        <f t="shared" ca="1" si="2"/>
        <v>52.254794520547946</v>
      </c>
      <c r="N42" s="8">
        <f t="shared" ca="1" si="3"/>
        <v>52</v>
      </c>
    </row>
    <row r="43" spans="1:14" ht="15.75" customHeight="1" x14ac:dyDescent="0.3">
      <c r="A43" s="24" t="s">
        <v>196</v>
      </c>
      <c r="B43" s="24" t="s">
        <v>197</v>
      </c>
      <c r="C43" s="24" t="str">
        <f t="shared" si="0"/>
        <v>Rajesh</v>
      </c>
      <c r="D43" s="24" t="s">
        <v>109</v>
      </c>
      <c r="E43" s="13" t="s">
        <v>110</v>
      </c>
      <c r="F43" s="25">
        <v>53</v>
      </c>
      <c r="G43" s="25">
        <v>14</v>
      </c>
      <c r="H43" s="29" t="s">
        <v>111</v>
      </c>
      <c r="I43" s="33">
        <v>141500</v>
      </c>
      <c r="J43" s="37">
        <v>38464</v>
      </c>
      <c r="K43" s="37">
        <v>27354</v>
      </c>
      <c r="L43" s="14">
        <f t="shared" ca="1" si="1"/>
        <v>45980</v>
      </c>
      <c r="M43" s="8">
        <f t="shared" ca="1" si="2"/>
        <v>51.030136986301372</v>
      </c>
      <c r="N43" s="8">
        <f t="shared" ca="1" si="3"/>
        <v>50</v>
      </c>
    </row>
    <row r="44" spans="1:14" ht="15.75" customHeight="1" x14ac:dyDescent="0.3">
      <c r="A44" s="24" t="s">
        <v>198</v>
      </c>
      <c r="B44" s="24" t="s">
        <v>199</v>
      </c>
      <c r="C44" s="24" t="str">
        <f t="shared" si="0"/>
        <v>Varun</v>
      </c>
      <c r="D44" s="24" t="s">
        <v>132</v>
      </c>
      <c r="E44" s="13" t="s">
        <v>110</v>
      </c>
      <c r="F44" s="25">
        <v>53</v>
      </c>
      <c r="G44" s="25">
        <v>13</v>
      </c>
      <c r="H44" s="29" t="s">
        <v>111</v>
      </c>
      <c r="I44" s="33">
        <v>82379</v>
      </c>
      <c r="J44" s="37">
        <v>39639</v>
      </c>
      <c r="K44" s="37">
        <v>28317</v>
      </c>
      <c r="L44" s="14">
        <f t="shared" ca="1" si="1"/>
        <v>45980</v>
      </c>
      <c r="M44" s="8">
        <f t="shared" ca="1" si="2"/>
        <v>48.391780821917806</v>
      </c>
      <c r="N44" s="8">
        <f t="shared" ca="1" si="3"/>
        <v>48</v>
      </c>
    </row>
    <row r="45" spans="1:14" ht="15.75" customHeight="1" x14ac:dyDescent="0.3">
      <c r="A45" s="24" t="s">
        <v>200</v>
      </c>
      <c r="B45" s="24" t="s">
        <v>201</v>
      </c>
      <c r="C45" s="24" t="str">
        <f t="shared" si="0"/>
        <v>Dinesh</v>
      </c>
      <c r="D45" s="24" t="s">
        <v>109</v>
      </c>
      <c r="E45" s="13" t="s">
        <v>110</v>
      </c>
      <c r="F45" s="25">
        <v>53</v>
      </c>
      <c r="G45" s="25">
        <v>21</v>
      </c>
      <c r="H45" s="29" t="s">
        <v>111</v>
      </c>
      <c r="I45" s="33">
        <v>118223</v>
      </c>
      <c r="J45" s="37">
        <v>40264</v>
      </c>
      <c r="K45" s="37">
        <v>29142</v>
      </c>
      <c r="L45" s="14">
        <f t="shared" ca="1" si="1"/>
        <v>45980</v>
      </c>
      <c r="M45" s="8">
        <f t="shared" ca="1" si="2"/>
        <v>46.131506849315066</v>
      </c>
      <c r="N45" s="8">
        <f t="shared" ca="1" si="3"/>
        <v>46</v>
      </c>
    </row>
    <row r="46" spans="1:14" ht="15.75" customHeight="1" x14ac:dyDescent="0.3">
      <c r="A46" s="24" t="s">
        <v>202</v>
      </c>
      <c r="B46" s="24" t="s">
        <v>203</v>
      </c>
      <c r="C46" s="24" t="str">
        <f t="shared" si="0"/>
        <v>Ritu</v>
      </c>
      <c r="D46" s="24" t="s">
        <v>109</v>
      </c>
      <c r="E46" s="13" t="s">
        <v>110</v>
      </c>
      <c r="F46" s="25">
        <v>53</v>
      </c>
      <c r="G46" s="25">
        <v>20</v>
      </c>
      <c r="H46" s="29" t="s">
        <v>111</v>
      </c>
      <c r="I46" s="33">
        <v>117256</v>
      </c>
      <c r="J46" s="37">
        <v>41592</v>
      </c>
      <c r="K46" s="37">
        <v>26629</v>
      </c>
      <c r="L46" s="14">
        <f t="shared" ca="1" si="1"/>
        <v>45980</v>
      </c>
      <c r="M46" s="8">
        <f t="shared" ca="1" si="2"/>
        <v>53.016438356164386</v>
      </c>
      <c r="N46" s="8">
        <f t="shared" ca="1" si="3"/>
        <v>52</v>
      </c>
    </row>
    <row r="47" spans="1:14" ht="15.75" customHeight="1" x14ac:dyDescent="0.3">
      <c r="A47" s="24" t="s">
        <v>204</v>
      </c>
      <c r="B47" s="24" t="s">
        <v>205</v>
      </c>
      <c r="C47" s="24" t="str">
        <f t="shared" si="0"/>
        <v>Prakash</v>
      </c>
      <c r="D47" s="24" t="s">
        <v>109</v>
      </c>
      <c r="E47" s="13" t="s">
        <v>110</v>
      </c>
      <c r="F47" s="25">
        <v>52</v>
      </c>
      <c r="G47" s="25">
        <v>17</v>
      </c>
      <c r="H47" s="29" t="s">
        <v>111</v>
      </c>
      <c r="I47" s="33">
        <v>104800</v>
      </c>
      <c r="J47" s="37">
        <v>42178</v>
      </c>
      <c r="K47" s="37">
        <v>27083</v>
      </c>
      <c r="L47" s="14">
        <f t="shared" ca="1" si="1"/>
        <v>45980</v>
      </c>
      <c r="M47" s="8">
        <f t="shared" ca="1" si="2"/>
        <v>51.772602739726025</v>
      </c>
      <c r="N47" s="8">
        <f t="shared" ca="1" si="3"/>
        <v>51</v>
      </c>
    </row>
    <row r="48" spans="1:14" ht="15.75" customHeight="1" x14ac:dyDescent="0.3">
      <c r="A48" s="24" t="s">
        <v>206</v>
      </c>
      <c r="B48" s="24" t="s">
        <v>207</v>
      </c>
      <c r="C48" s="24" t="str">
        <f t="shared" si="0"/>
        <v>Siddharth</v>
      </c>
      <c r="D48" s="24" t="s">
        <v>149</v>
      </c>
      <c r="E48" s="13" t="s">
        <v>122</v>
      </c>
      <c r="F48" s="25">
        <v>52</v>
      </c>
      <c r="G48" s="25">
        <v>13</v>
      </c>
      <c r="H48" s="29" t="s">
        <v>129</v>
      </c>
      <c r="I48" s="33">
        <v>74830</v>
      </c>
      <c r="J48" s="37">
        <v>38610</v>
      </c>
      <c r="K48" s="37">
        <v>27291</v>
      </c>
      <c r="L48" s="14">
        <f t="shared" ca="1" si="1"/>
        <v>45980</v>
      </c>
      <c r="M48" s="8">
        <f t="shared" ca="1" si="2"/>
        <v>51.202739726027396</v>
      </c>
      <c r="N48" s="8">
        <f t="shared" ca="1" si="3"/>
        <v>51</v>
      </c>
    </row>
    <row r="49" spans="1:14" ht="15.75" customHeight="1" x14ac:dyDescent="0.3">
      <c r="A49" s="24" t="s">
        <v>208</v>
      </c>
      <c r="B49" s="24" t="s">
        <v>209</v>
      </c>
      <c r="C49" s="24" t="str">
        <f t="shared" si="0"/>
        <v>Anita</v>
      </c>
      <c r="D49" s="24" t="s">
        <v>109</v>
      </c>
      <c r="E49" s="13" t="s">
        <v>110</v>
      </c>
      <c r="F49" s="25">
        <v>51</v>
      </c>
      <c r="G49" s="25">
        <v>14</v>
      </c>
      <c r="H49" s="29" t="s">
        <v>111</v>
      </c>
      <c r="I49" s="33">
        <v>117150</v>
      </c>
      <c r="J49" s="37">
        <v>42404</v>
      </c>
      <c r="K49" s="37">
        <v>27616</v>
      </c>
      <c r="L49" s="14">
        <f t="shared" ca="1" si="1"/>
        <v>45980</v>
      </c>
      <c r="M49" s="8">
        <f t="shared" ca="1" si="2"/>
        <v>50.31232876712329</v>
      </c>
      <c r="N49" s="8">
        <f t="shared" ca="1" si="3"/>
        <v>50</v>
      </c>
    </row>
    <row r="50" spans="1:14" ht="15.75" customHeight="1" x14ac:dyDescent="0.3">
      <c r="A50" s="24" t="s">
        <v>210</v>
      </c>
      <c r="B50" s="24" t="s">
        <v>211</v>
      </c>
      <c r="C50" s="24" t="str">
        <f t="shared" si="0"/>
        <v>Namrata</v>
      </c>
      <c r="D50" s="24" t="s">
        <v>109</v>
      </c>
      <c r="E50" s="13" t="s">
        <v>122</v>
      </c>
      <c r="F50" s="25">
        <v>51</v>
      </c>
      <c r="G50" s="25">
        <v>18</v>
      </c>
      <c r="H50" s="29" t="s">
        <v>111</v>
      </c>
      <c r="I50" s="33">
        <v>106294</v>
      </c>
      <c r="J50" s="37">
        <v>39047</v>
      </c>
      <c r="K50" s="37">
        <v>27460</v>
      </c>
      <c r="L50" s="14">
        <f t="shared" ca="1" si="1"/>
        <v>45980</v>
      </c>
      <c r="M50" s="8">
        <f t="shared" ca="1" si="2"/>
        <v>50.739726027397261</v>
      </c>
      <c r="N50" s="8">
        <f t="shared" ca="1" si="3"/>
        <v>50</v>
      </c>
    </row>
    <row r="51" spans="1:14" ht="15.75" customHeight="1" x14ac:dyDescent="0.3">
      <c r="A51" s="24" t="s">
        <v>212</v>
      </c>
      <c r="B51" s="24" t="s">
        <v>213</v>
      </c>
      <c r="C51" s="24" t="str">
        <f t="shared" si="0"/>
        <v>Manish</v>
      </c>
      <c r="D51" s="24" t="s">
        <v>132</v>
      </c>
      <c r="E51" s="13" t="s">
        <v>110</v>
      </c>
      <c r="F51" s="25">
        <v>51</v>
      </c>
      <c r="G51" s="25">
        <v>13</v>
      </c>
      <c r="H51" s="29" t="s">
        <v>111</v>
      </c>
      <c r="I51" s="33">
        <v>86373</v>
      </c>
      <c r="J51" s="37">
        <v>43104</v>
      </c>
      <c r="K51" s="37">
        <v>28300</v>
      </c>
      <c r="L51" s="14">
        <f t="shared" ca="1" si="1"/>
        <v>45980</v>
      </c>
      <c r="M51" s="8">
        <f t="shared" ca="1" si="2"/>
        <v>48.438356164383563</v>
      </c>
      <c r="N51" s="8">
        <f t="shared" ca="1" si="3"/>
        <v>48</v>
      </c>
    </row>
    <row r="52" spans="1:14" ht="15.75" customHeight="1" x14ac:dyDescent="0.3"/>
    <row r="53" spans="1:14" ht="15.75" customHeight="1" x14ac:dyDescent="0.3"/>
    <row r="54" spans="1:14" ht="15.75" customHeight="1" x14ac:dyDescent="0.3"/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/>
    <row r="62" spans="1:14" ht="15.75" customHeight="1" x14ac:dyDescent="0.3"/>
    <row r="63" spans="1:14" ht="15.75" customHeight="1" x14ac:dyDescent="0.3"/>
    <row r="64" spans="1:1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C10" sqref="C10"/>
    </sheetView>
  </sheetViews>
  <sheetFormatPr defaultColWidth="14.44140625" defaultRowHeight="15" customHeight="1" x14ac:dyDescent="0.3"/>
  <cols>
    <col min="1" max="1" width="14.6640625" customWidth="1"/>
    <col min="2" max="2" width="19.5546875" customWidth="1"/>
    <col min="3" max="3" width="17.6640625" customWidth="1"/>
    <col min="4" max="26" width="8.6640625" customWidth="1"/>
  </cols>
  <sheetData>
    <row r="1" spans="1:10" ht="14.4" x14ac:dyDescent="0.3">
      <c r="A1" s="16" t="s">
        <v>214</v>
      </c>
      <c r="B1" s="16" t="s">
        <v>215</v>
      </c>
      <c r="C1" s="16" t="s">
        <v>216</v>
      </c>
    </row>
    <row r="2" spans="1:10" ht="14.4" x14ac:dyDescent="0.3">
      <c r="A2" s="38">
        <v>2022</v>
      </c>
      <c r="B2" s="16" t="s">
        <v>217</v>
      </c>
      <c r="C2" s="17">
        <v>9350</v>
      </c>
    </row>
    <row r="3" spans="1:10" ht="14.4" x14ac:dyDescent="0.3">
      <c r="A3" s="38">
        <v>2022</v>
      </c>
      <c r="B3" s="16" t="s">
        <v>218</v>
      </c>
      <c r="C3" s="17">
        <v>8420</v>
      </c>
    </row>
    <row r="4" spans="1:10" ht="14.4" x14ac:dyDescent="0.3">
      <c r="A4" s="38">
        <v>2022</v>
      </c>
      <c r="B4" s="16" t="s">
        <v>219</v>
      </c>
      <c r="C4" s="17">
        <v>10110</v>
      </c>
    </row>
    <row r="5" spans="1:10" ht="14.4" x14ac:dyDescent="0.3">
      <c r="A5" s="38">
        <v>2022</v>
      </c>
      <c r="B5" s="16" t="s">
        <v>220</v>
      </c>
      <c r="C5" s="17">
        <v>7890</v>
      </c>
      <c r="J5" s="17"/>
    </row>
    <row r="6" spans="1:10" ht="14.4" x14ac:dyDescent="0.3">
      <c r="A6" s="38">
        <v>2022</v>
      </c>
      <c r="B6" s="16" t="s">
        <v>221</v>
      </c>
      <c r="C6" s="17">
        <v>9980</v>
      </c>
      <c r="J6" s="17"/>
    </row>
    <row r="7" spans="1:10" ht="14.4" x14ac:dyDescent="0.3">
      <c r="A7" s="38">
        <v>2022</v>
      </c>
      <c r="B7" s="16" t="s">
        <v>222</v>
      </c>
      <c r="C7" s="17">
        <v>11200</v>
      </c>
      <c r="J7" s="17"/>
    </row>
    <row r="8" spans="1:10" ht="14.4" x14ac:dyDescent="0.3">
      <c r="A8" s="38">
        <v>2022</v>
      </c>
      <c r="B8" s="16" t="s">
        <v>223</v>
      </c>
      <c r="C8" s="17">
        <v>8540</v>
      </c>
      <c r="J8" s="17"/>
    </row>
    <row r="9" spans="1:10" ht="14.4" x14ac:dyDescent="0.3">
      <c r="A9" s="38">
        <v>2022</v>
      </c>
      <c r="B9" s="16" t="s">
        <v>224</v>
      </c>
      <c r="C9" s="17">
        <v>9010</v>
      </c>
      <c r="J9" s="17"/>
    </row>
    <row r="10" spans="1:10" ht="14.4" x14ac:dyDescent="0.3">
      <c r="A10" s="38">
        <v>2022</v>
      </c>
      <c r="B10" s="16" t="s">
        <v>225</v>
      </c>
      <c r="C10" s="17">
        <v>10200</v>
      </c>
      <c r="J10" s="17"/>
    </row>
    <row r="11" spans="1:10" ht="14.4" x14ac:dyDescent="0.3">
      <c r="A11" s="38">
        <v>2022</v>
      </c>
      <c r="B11" s="16" t="s">
        <v>226</v>
      </c>
      <c r="C11" s="17">
        <v>8730</v>
      </c>
      <c r="J11" s="17"/>
    </row>
    <row r="12" spans="1:10" ht="14.4" x14ac:dyDescent="0.3">
      <c r="A12" s="38">
        <v>2022</v>
      </c>
      <c r="B12" s="16" t="s">
        <v>227</v>
      </c>
      <c r="C12" s="17">
        <v>9840</v>
      </c>
      <c r="J12" s="17"/>
    </row>
    <row r="13" spans="1:10" ht="14.4" x14ac:dyDescent="0.3">
      <c r="A13" s="38">
        <v>2022</v>
      </c>
      <c r="B13" s="16" t="s">
        <v>228</v>
      </c>
      <c r="C13" s="17">
        <v>10050</v>
      </c>
      <c r="J13" s="17"/>
    </row>
    <row r="14" spans="1:10" ht="14.4" x14ac:dyDescent="0.3">
      <c r="A14" s="38">
        <v>2023</v>
      </c>
      <c r="B14" s="16" t="s">
        <v>217</v>
      </c>
      <c r="C14" s="17">
        <v>8870</v>
      </c>
      <c r="J14" s="17"/>
    </row>
    <row r="15" spans="1:10" ht="14.4" x14ac:dyDescent="0.3">
      <c r="A15" s="38">
        <v>2023</v>
      </c>
      <c r="B15" s="16" t="s">
        <v>218</v>
      </c>
      <c r="C15" s="17">
        <v>9560</v>
      </c>
      <c r="J15" s="17"/>
    </row>
    <row r="16" spans="1:10" ht="14.4" x14ac:dyDescent="0.3">
      <c r="A16" s="38">
        <v>2023</v>
      </c>
      <c r="B16" s="16" t="s">
        <v>219</v>
      </c>
      <c r="C16" s="17">
        <v>10340</v>
      </c>
      <c r="J16" s="17"/>
    </row>
    <row r="17" spans="1:10" ht="14.4" x14ac:dyDescent="0.3">
      <c r="A17" s="38">
        <v>2023</v>
      </c>
      <c r="B17" s="16" t="s">
        <v>220</v>
      </c>
      <c r="C17" s="17">
        <v>7710</v>
      </c>
    </row>
    <row r="18" spans="1:10" ht="14.4" x14ac:dyDescent="0.3">
      <c r="A18" s="38">
        <v>2023</v>
      </c>
      <c r="B18" s="16" t="s">
        <v>221</v>
      </c>
      <c r="C18" s="17">
        <v>8500</v>
      </c>
      <c r="J18" s="17"/>
    </row>
    <row r="19" spans="1:10" ht="14.4" x14ac:dyDescent="0.3">
      <c r="A19" s="38">
        <v>2023</v>
      </c>
      <c r="B19" s="16" t="s">
        <v>222</v>
      </c>
      <c r="C19" s="17">
        <v>12090</v>
      </c>
      <c r="J19" s="17"/>
    </row>
    <row r="20" spans="1:10" ht="14.4" x14ac:dyDescent="0.3">
      <c r="A20" s="38">
        <v>2023</v>
      </c>
      <c r="B20" s="16" t="s">
        <v>223</v>
      </c>
      <c r="C20" s="17">
        <v>9020</v>
      </c>
      <c r="J20" s="17"/>
    </row>
    <row r="21" spans="1:10" ht="15.75" customHeight="1" x14ac:dyDescent="0.3">
      <c r="A21" s="38">
        <v>2023</v>
      </c>
      <c r="B21" s="16" t="s">
        <v>224</v>
      </c>
      <c r="C21" s="17">
        <v>8610</v>
      </c>
      <c r="J21" s="17"/>
    </row>
    <row r="22" spans="1:10" ht="15.75" customHeight="1" x14ac:dyDescent="0.3">
      <c r="A22" s="38">
        <v>2023</v>
      </c>
      <c r="B22" s="16" t="s">
        <v>225</v>
      </c>
      <c r="C22" s="17">
        <v>9800</v>
      </c>
      <c r="J22" s="17"/>
    </row>
    <row r="23" spans="1:10" ht="15.75" customHeight="1" x14ac:dyDescent="0.3">
      <c r="A23" s="38">
        <v>2023</v>
      </c>
      <c r="B23" s="16" t="s">
        <v>226</v>
      </c>
      <c r="C23" s="17">
        <v>8940</v>
      </c>
      <c r="J23" s="17"/>
    </row>
    <row r="24" spans="1:10" ht="15.75" customHeight="1" x14ac:dyDescent="0.3">
      <c r="A24" s="38">
        <v>2023</v>
      </c>
      <c r="B24" s="16" t="s">
        <v>227</v>
      </c>
      <c r="C24" s="17">
        <v>10230</v>
      </c>
      <c r="J24" s="17"/>
    </row>
    <row r="25" spans="1:10" ht="15.75" customHeight="1" x14ac:dyDescent="0.3">
      <c r="A25" s="38">
        <v>2023</v>
      </c>
      <c r="B25" s="16" t="s">
        <v>228</v>
      </c>
      <c r="C25" s="17">
        <v>9670</v>
      </c>
      <c r="J25" s="17"/>
    </row>
    <row r="26" spans="1:10" ht="15.75" customHeight="1" x14ac:dyDescent="0.3">
      <c r="J26" s="17"/>
    </row>
    <row r="27" spans="1:10" ht="15.75" customHeight="1" x14ac:dyDescent="0.3">
      <c r="J27" s="17"/>
    </row>
    <row r="28" spans="1:10" ht="15.75" customHeight="1" x14ac:dyDescent="0.3">
      <c r="J28" s="17"/>
    </row>
    <row r="29" spans="1:10" ht="15.75" customHeight="1" x14ac:dyDescent="0.3">
      <c r="J29" s="17"/>
    </row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opLeftCell="E1" workbookViewId="0">
      <selection activeCell="H7" sqref="H7"/>
    </sheetView>
  </sheetViews>
  <sheetFormatPr defaultColWidth="14.44140625" defaultRowHeight="15" customHeight="1" x14ac:dyDescent="0.3"/>
  <cols>
    <col min="1" max="1" width="16.77734375" bestFit="1" customWidth="1"/>
    <col min="2" max="2" width="16.33203125" customWidth="1"/>
    <col min="3" max="3" width="16.109375" customWidth="1"/>
    <col min="4" max="4" width="15.5546875" customWidth="1"/>
    <col min="5" max="5" width="18.109375" customWidth="1"/>
    <col min="6" max="6" width="14.44140625" customWidth="1"/>
    <col min="7" max="7" width="13.44140625" customWidth="1"/>
    <col min="8" max="8" width="48.88671875" customWidth="1"/>
    <col min="9" max="9" width="17.44140625" customWidth="1"/>
    <col min="10" max="12" width="8.6640625" customWidth="1"/>
    <col min="13" max="13" width="16.5546875" customWidth="1"/>
    <col min="14" max="14" width="12" bestFit="1" customWidth="1"/>
    <col min="15" max="26" width="8.6640625" customWidth="1"/>
  </cols>
  <sheetData>
    <row r="1" spans="1:14" ht="14.4" x14ac:dyDescent="0.3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6" t="s">
        <v>14</v>
      </c>
    </row>
    <row r="2" spans="1:14" ht="14.4" x14ac:dyDescent="0.3">
      <c r="A2" s="44">
        <v>41954</v>
      </c>
      <c r="B2" s="39" t="s">
        <v>15</v>
      </c>
      <c r="C2" s="39" t="s">
        <v>16</v>
      </c>
      <c r="D2" s="39" t="s">
        <v>17</v>
      </c>
      <c r="E2" s="16" t="s">
        <v>18</v>
      </c>
      <c r="F2" s="39" t="s">
        <v>229</v>
      </c>
      <c r="G2" s="39" t="s">
        <v>20</v>
      </c>
      <c r="H2" s="16" t="s">
        <v>21</v>
      </c>
      <c r="I2" s="42" t="s">
        <v>230</v>
      </c>
      <c r="J2" s="38">
        <v>2</v>
      </c>
      <c r="K2" s="41">
        <v>0</v>
      </c>
      <c r="L2" s="40" t="s">
        <v>231</v>
      </c>
      <c r="M2" s="43">
        <v>40.770000000000003</v>
      </c>
      <c r="N2" s="39" t="s">
        <v>22</v>
      </c>
    </row>
    <row r="3" spans="1:14" ht="14.4" x14ac:dyDescent="0.3">
      <c r="A3" s="44">
        <v>41675</v>
      </c>
      <c r="B3" s="39" t="s">
        <v>23</v>
      </c>
      <c r="C3" s="39" t="s">
        <v>24</v>
      </c>
      <c r="D3" s="39" t="s">
        <v>25</v>
      </c>
      <c r="E3" s="16" t="s">
        <v>26</v>
      </c>
      <c r="F3" s="39" t="s">
        <v>27</v>
      </c>
      <c r="G3" s="39" t="s">
        <v>28</v>
      </c>
      <c r="H3" s="16" t="s">
        <v>29</v>
      </c>
      <c r="I3" s="42" t="s">
        <v>232</v>
      </c>
      <c r="J3" s="38">
        <v>9</v>
      </c>
      <c r="K3" s="41">
        <v>0.1</v>
      </c>
      <c r="L3" s="40" t="s">
        <v>233</v>
      </c>
      <c r="M3" s="43">
        <v>923.63</v>
      </c>
      <c r="N3" s="39" t="s">
        <v>30</v>
      </c>
    </row>
    <row r="4" spans="1:14" ht="14.4" x14ac:dyDescent="0.3">
      <c r="A4" s="44">
        <v>41929</v>
      </c>
      <c r="B4" s="39" t="s">
        <v>23</v>
      </c>
      <c r="C4" s="39" t="s">
        <v>24</v>
      </c>
      <c r="D4" s="39" t="s">
        <v>25</v>
      </c>
      <c r="E4" s="16" t="s">
        <v>31</v>
      </c>
      <c r="F4" s="39" t="s">
        <v>229</v>
      </c>
      <c r="G4" s="39" t="s">
        <v>20</v>
      </c>
      <c r="H4" s="16" t="s">
        <v>32</v>
      </c>
      <c r="I4" s="42" t="s">
        <v>234</v>
      </c>
      <c r="J4" s="38">
        <v>9</v>
      </c>
      <c r="K4" s="41">
        <v>0.1</v>
      </c>
      <c r="L4" s="40" t="s">
        <v>235</v>
      </c>
      <c r="M4" s="43">
        <v>915.49</v>
      </c>
      <c r="N4" s="39" t="s">
        <v>33</v>
      </c>
    </row>
    <row r="5" spans="1:14" ht="14.4" x14ac:dyDescent="0.3">
      <c r="A5" s="44">
        <v>41667</v>
      </c>
      <c r="B5" s="39" t="s">
        <v>34</v>
      </c>
      <c r="C5" s="39" t="s">
        <v>35</v>
      </c>
      <c r="D5" s="39" t="s">
        <v>36</v>
      </c>
      <c r="E5" s="16" t="s">
        <v>37</v>
      </c>
      <c r="F5" s="39" t="s">
        <v>229</v>
      </c>
      <c r="G5" s="39" t="s">
        <v>20</v>
      </c>
      <c r="H5" s="16" t="s">
        <v>38</v>
      </c>
      <c r="I5" s="42" t="s">
        <v>236</v>
      </c>
      <c r="J5" s="38">
        <v>5</v>
      </c>
      <c r="K5" s="41">
        <v>0.1</v>
      </c>
      <c r="L5" s="40" t="s">
        <v>237</v>
      </c>
      <c r="M5" s="43">
        <v>910.16</v>
      </c>
      <c r="N5" s="39" t="s">
        <v>33</v>
      </c>
    </row>
    <row r="6" spans="1:14" ht="14.4" x14ac:dyDescent="0.3">
      <c r="A6" s="44">
        <v>41948</v>
      </c>
      <c r="B6" s="39" t="s">
        <v>39</v>
      </c>
      <c r="C6" s="39" t="s">
        <v>40</v>
      </c>
      <c r="D6" s="39" t="s">
        <v>41</v>
      </c>
      <c r="E6" s="16" t="s">
        <v>42</v>
      </c>
      <c r="F6" s="39" t="s">
        <v>229</v>
      </c>
      <c r="G6" s="39" t="s">
        <v>43</v>
      </c>
      <c r="H6" s="16" t="s">
        <v>44</v>
      </c>
      <c r="I6" s="42" t="s">
        <v>238</v>
      </c>
      <c r="J6" s="38">
        <v>8</v>
      </c>
      <c r="K6" s="41">
        <v>0</v>
      </c>
      <c r="L6" s="40" t="s">
        <v>239</v>
      </c>
      <c r="M6" s="43">
        <v>903.04</v>
      </c>
      <c r="N6" s="39" t="s">
        <v>30</v>
      </c>
    </row>
    <row r="7" spans="1:14" ht="14.4" x14ac:dyDescent="0.3">
      <c r="A7" s="44">
        <v>41818</v>
      </c>
      <c r="B7" s="39" t="s">
        <v>23</v>
      </c>
      <c r="C7" s="39" t="s">
        <v>24</v>
      </c>
      <c r="D7" s="39" t="s">
        <v>25</v>
      </c>
      <c r="E7" s="16" t="s">
        <v>45</v>
      </c>
      <c r="F7" s="39" t="s">
        <v>229</v>
      </c>
      <c r="G7" s="39" t="s">
        <v>20</v>
      </c>
      <c r="H7" s="16" t="s">
        <v>46</v>
      </c>
      <c r="I7" s="42" t="s">
        <v>240</v>
      </c>
      <c r="J7" s="38">
        <v>5</v>
      </c>
      <c r="K7" s="41">
        <v>0.1</v>
      </c>
      <c r="L7" s="40" t="s">
        <v>241</v>
      </c>
      <c r="M7" s="43">
        <v>897.35</v>
      </c>
      <c r="N7" s="39" t="s">
        <v>30</v>
      </c>
    </row>
    <row r="8" spans="1:14" ht="14.4" x14ac:dyDescent="0.3">
      <c r="A8" s="44">
        <v>41219</v>
      </c>
      <c r="B8" s="39" t="s">
        <v>47</v>
      </c>
      <c r="C8" s="39" t="s">
        <v>24</v>
      </c>
      <c r="D8" s="39" t="s">
        <v>25</v>
      </c>
      <c r="E8" s="16" t="s">
        <v>48</v>
      </c>
      <c r="F8" s="39" t="s">
        <v>27</v>
      </c>
      <c r="G8" s="39" t="s">
        <v>28</v>
      </c>
      <c r="H8" s="16" t="s">
        <v>49</v>
      </c>
      <c r="I8" s="42" t="s">
        <v>242</v>
      </c>
      <c r="J8" s="38">
        <v>4</v>
      </c>
      <c r="K8" s="41">
        <v>0</v>
      </c>
      <c r="L8" s="40" t="s">
        <v>243</v>
      </c>
      <c r="M8" s="43">
        <v>894.77</v>
      </c>
      <c r="N8" s="39" t="s">
        <v>30</v>
      </c>
    </row>
    <row r="9" spans="1:14" ht="14.4" x14ac:dyDescent="0.3">
      <c r="A9" s="44">
        <v>41378</v>
      </c>
      <c r="B9" s="39" t="s">
        <v>47</v>
      </c>
      <c r="C9" s="39" t="s">
        <v>24</v>
      </c>
      <c r="D9" s="39" t="s">
        <v>25</v>
      </c>
      <c r="E9" s="16" t="s">
        <v>50</v>
      </c>
      <c r="F9" s="39" t="s">
        <v>27</v>
      </c>
      <c r="G9" s="39" t="s">
        <v>51</v>
      </c>
      <c r="H9" s="16" t="s">
        <v>52</v>
      </c>
      <c r="I9" s="42" t="s">
        <v>244</v>
      </c>
      <c r="J9" s="38">
        <v>6</v>
      </c>
      <c r="K9" s="41">
        <v>0</v>
      </c>
      <c r="L9" s="40" t="s">
        <v>245</v>
      </c>
      <c r="M9" s="43">
        <v>878.38</v>
      </c>
      <c r="N9" s="39" t="s">
        <v>22</v>
      </c>
    </row>
    <row r="10" spans="1:14" ht="14.4" x14ac:dyDescent="0.3">
      <c r="A10" s="44">
        <v>41954</v>
      </c>
      <c r="B10" s="39" t="s">
        <v>15</v>
      </c>
      <c r="C10" s="39" t="s">
        <v>16</v>
      </c>
      <c r="D10" s="39" t="s">
        <v>17</v>
      </c>
      <c r="E10" s="16" t="s">
        <v>53</v>
      </c>
      <c r="F10" s="39" t="s">
        <v>27</v>
      </c>
      <c r="G10" s="39" t="s">
        <v>54</v>
      </c>
      <c r="H10" s="16" t="s">
        <v>55</v>
      </c>
      <c r="I10" s="42" t="s">
        <v>246</v>
      </c>
      <c r="J10" s="38">
        <v>2</v>
      </c>
      <c r="K10" s="41">
        <v>0</v>
      </c>
      <c r="L10" s="40" t="s">
        <v>247</v>
      </c>
      <c r="M10" s="43">
        <v>25.27</v>
      </c>
      <c r="N10" s="39" t="s">
        <v>22</v>
      </c>
    </row>
    <row r="11" spans="1:14" ht="14.4" x14ac:dyDescent="0.3">
      <c r="A11" s="44">
        <v>40974</v>
      </c>
      <c r="B11" s="39" t="s">
        <v>15</v>
      </c>
      <c r="C11" s="39" t="s">
        <v>56</v>
      </c>
      <c r="D11" s="39" t="s">
        <v>17</v>
      </c>
      <c r="E11" s="16" t="s">
        <v>57</v>
      </c>
      <c r="F11" s="39" t="s">
        <v>27</v>
      </c>
      <c r="G11" s="39" t="s">
        <v>28</v>
      </c>
      <c r="H11" s="16" t="s">
        <v>58</v>
      </c>
      <c r="I11" s="42" t="s">
        <v>248</v>
      </c>
      <c r="J11" s="38">
        <v>1</v>
      </c>
      <c r="K11" s="41">
        <v>0.2</v>
      </c>
      <c r="L11" s="40" t="s">
        <v>249</v>
      </c>
      <c r="M11" s="43">
        <v>11.13</v>
      </c>
      <c r="N11" s="39" t="s">
        <v>22</v>
      </c>
    </row>
    <row r="12" spans="1:14" ht="14.4" x14ac:dyDescent="0.3">
      <c r="A12" s="44">
        <v>40974</v>
      </c>
      <c r="B12" s="39" t="s">
        <v>15</v>
      </c>
      <c r="C12" s="39" t="s">
        <v>56</v>
      </c>
      <c r="D12" s="39" t="s">
        <v>17</v>
      </c>
      <c r="E12" s="16" t="s">
        <v>59</v>
      </c>
      <c r="F12" s="39" t="s">
        <v>60</v>
      </c>
      <c r="G12" s="39" t="s">
        <v>61</v>
      </c>
      <c r="H12" s="16" t="s">
        <v>62</v>
      </c>
      <c r="I12" s="42" t="s">
        <v>250</v>
      </c>
      <c r="J12" s="38">
        <v>3</v>
      </c>
      <c r="K12" s="41">
        <v>0</v>
      </c>
      <c r="L12" s="40" t="s">
        <v>251</v>
      </c>
      <c r="M12" s="43">
        <v>4.29</v>
      </c>
      <c r="N12" s="39" t="s">
        <v>22</v>
      </c>
    </row>
    <row r="13" spans="1:14" ht="14.4" x14ac:dyDescent="0.3">
      <c r="A13" s="44">
        <v>41383</v>
      </c>
      <c r="B13" s="39" t="s">
        <v>63</v>
      </c>
      <c r="C13" s="39" t="s">
        <v>64</v>
      </c>
      <c r="D13" s="39" t="s">
        <v>25</v>
      </c>
      <c r="E13" s="16" t="s">
        <v>65</v>
      </c>
      <c r="F13" s="39" t="s">
        <v>27</v>
      </c>
      <c r="G13" s="39" t="s">
        <v>51</v>
      </c>
      <c r="H13" s="16" t="s">
        <v>66</v>
      </c>
      <c r="I13" s="42" t="s">
        <v>252</v>
      </c>
      <c r="J13" s="38">
        <v>5</v>
      </c>
      <c r="K13" s="41">
        <v>0</v>
      </c>
      <c r="L13" s="40" t="s">
        <v>253</v>
      </c>
      <c r="M13" s="43">
        <v>835.57</v>
      </c>
      <c r="N13" s="39" t="s">
        <v>22</v>
      </c>
    </row>
    <row r="14" spans="1:14" ht="14.4" x14ac:dyDescent="0.3">
      <c r="A14" s="44">
        <v>41269</v>
      </c>
      <c r="B14" s="39" t="s">
        <v>67</v>
      </c>
      <c r="C14" s="39" t="s">
        <v>68</v>
      </c>
      <c r="D14" s="39" t="s">
        <v>25</v>
      </c>
      <c r="E14" s="16" t="s">
        <v>69</v>
      </c>
      <c r="F14" s="39" t="s">
        <v>229</v>
      </c>
      <c r="G14" s="39" t="s">
        <v>20</v>
      </c>
      <c r="H14" s="16" t="s">
        <v>70</v>
      </c>
      <c r="I14" s="42" t="s">
        <v>254</v>
      </c>
      <c r="J14" s="38">
        <v>4</v>
      </c>
      <c r="K14" s="41">
        <v>0</v>
      </c>
      <c r="L14" s="40" t="s">
        <v>255</v>
      </c>
      <c r="M14" s="43">
        <v>832.41</v>
      </c>
      <c r="N14" s="39" t="s">
        <v>30</v>
      </c>
    </row>
    <row r="15" spans="1:14" ht="14.4" x14ac:dyDescent="0.3">
      <c r="A15" s="44">
        <v>41591</v>
      </c>
      <c r="B15" s="39" t="s">
        <v>71</v>
      </c>
      <c r="C15" s="39" t="s">
        <v>72</v>
      </c>
      <c r="D15" s="39" t="s">
        <v>73</v>
      </c>
      <c r="E15" s="16" t="s">
        <v>74</v>
      </c>
      <c r="F15" s="39" t="s">
        <v>27</v>
      </c>
      <c r="G15" s="39" t="s">
        <v>28</v>
      </c>
      <c r="H15" s="16" t="s">
        <v>75</v>
      </c>
      <c r="I15" s="42" t="s">
        <v>256</v>
      </c>
      <c r="J15" s="38">
        <v>7</v>
      </c>
      <c r="K15" s="41">
        <v>0</v>
      </c>
      <c r="L15" s="40" t="s">
        <v>257</v>
      </c>
      <c r="M15" s="43">
        <v>810.25</v>
      </c>
      <c r="N15" s="39" t="s">
        <v>30</v>
      </c>
    </row>
    <row r="16" spans="1:14" ht="14.4" x14ac:dyDescent="0.3">
      <c r="A16" s="44">
        <v>41796</v>
      </c>
      <c r="B16" s="39" t="s">
        <v>76</v>
      </c>
      <c r="C16" s="39" t="s">
        <v>77</v>
      </c>
      <c r="D16" s="39" t="s">
        <v>25</v>
      </c>
      <c r="E16" s="16" t="s">
        <v>78</v>
      </c>
      <c r="F16" s="39" t="s">
        <v>60</v>
      </c>
      <c r="G16" s="39" t="s">
        <v>79</v>
      </c>
      <c r="H16" s="16" t="s">
        <v>80</v>
      </c>
      <c r="I16" s="42" t="s">
        <v>258</v>
      </c>
      <c r="J16" s="38">
        <v>12</v>
      </c>
      <c r="K16" s="41">
        <v>0</v>
      </c>
      <c r="L16" s="40" t="s">
        <v>259</v>
      </c>
      <c r="M16" s="43">
        <v>804.54</v>
      </c>
      <c r="N16" s="39" t="s">
        <v>30</v>
      </c>
    </row>
    <row r="17" spans="1:14" ht="14.4" x14ac:dyDescent="0.3">
      <c r="A17" s="44">
        <v>42216</v>
      </c>
      <c r="B17" s="39" t="s">
        <v>81</v>
      </c>
      <c r="C17" s="39" t="s">
        <v>35</v>
      </c>
      <c r="D17" s="39" t="s">
        <v>36</v>
      </c>
      <c r="E17" s="16" t="s">
        <v>82</v>
      </c>
      <c r="F17" s="39" t="s">
        <v>60</v>
      </c>
      <c r="G17" s="39" t="s">
        <v>79</v>
      </c>
      <c r="H17" s="16" t="s">
        <v>83</v>
      </c>
      <c r="I17" s="42" t="s">
        <v>260</v>
      </c>
      <c r="J17" s="38">
        <v>4</v>
      </c>
      <c r="K17" s="41">
        <v>0.1</v>
      </c>
      <c r="L17" s="40" t="s">
        <v>261</v>
      </c>
      <c r="M17" s="43">
        <v>801.66</v>
      </c>
      <c r="N17" s="39" t="s">
        <v>30</v>
      </c>
    </row>
    <row r="18" spans="1:14" ht="14.4" x14ac:dyDescent="0.3">
      <c r="A18" s="44">
        <v>40958</v>
      </c>
      <c r="B18" s="39" t="s">
        <v>15</v>
      </c>
      <c r="C18" s="39" t="s">
        <v>16</v>
      </c>
      <c r="D18" s="39" t="s">
        <v>17</v>
      </c>
      <c r="E18" s="16" t="s">
        <v>84</v>
      </c>
      <c r="F18" s="39" t="s">
        <v>60</v>
      </c>
      <c r="G18" s="39" t="s">
        <v>85</v>
      </c>
      <c r="H18" s="16" t="s">
        <v>86</v>
      </c>
      <c r="I18" s="42" t="s">
        <v>262</v>
      </c>
      <c r="J18" s="38">
        <v>2</v>
      </c>
      <c r="K18" s="41">
        <v>0.2</v>
      </c>
      <c r="L18" s="40" t="s">
        <v>263</v>
      </c>
      <c r="M18" s="43">
        <v>1.97</v>
      </c>
      <c r="N18" s="39" t="s">
        <v>87</v>
      </c>
    </row>
    <row r="19" spans="1:14" ht="14.4" x14ac:dyDescent="0.3">
      <c r="A19" s="44">
        <v>42255</v>
      </c>
      <c r="B19" s="39" t="s">
        <v>88</v>
      </c>
      <c r="C19" s="39" t="s">
        <v>89</v>
      </c>
      <c r="D19" s="39" t="s">
        <v>36</v>
      </c>
      <c r="E19" s="16" t="s">
        <v>90</v>
      </c>
      <c r="F19" s="39" t="s">
        <v>60</v>
      </c>
      <c r="G19" s="39" t="s">
        <v>79</v>
      </c>
      <c r="H19" s="16" t="s">
        <v>91</v>
      </c>
      <c r="I19" s="42" t="s">
        <v>264</v>
      </c>
      <c r="J19" s="38">
        <v>14</v>
      </c>
      <c r="K19" s="41">
        <v>0</v>
      </c>
      <c r="L19" s="40" t="s">
        <v>265</v>
      </c>
      <c r="M19" s="43">
        <v>778.32</v>
      </c>
      <c r="N19" s="39" t="s">
        <v>87</v>
      </c>
    </row>
    <row r="20" spans="1:14" ht="14.4" x14ac:dyDescent="0.3">
      <c r="A20" s="44">
        <v>42035</v>
      </c>
      <c r="B20" s="39" t="s">
        <v>23</v>
      </c>
      <c r="C20" s="39" t="s">
        <v>24</v>
      </c>
      <c r="D20" s="39" t="s">
        <v>25</v>
      </c>
      <c r="E20" s="16" t="s">
        <v>92</v>
      </c>
      <c r="F20" s="39" t="s">
        <v>229</v>
      </c>
      <c r="G20" s="39" t="s">
        <v>43</v>
      </c>
      <c r="H20" s="16" t="s">
        <v>93</v>
      </c>
      <c r="I20" s="42" t="s">
        <v>266</v>
      </c>
      <c r="J20" s="38">
        <v>9</v>
      </c>
      <c r="K20" s="41">
        <v>0.1</v>
      </c>
      <c r="L20" s="40" t="s">
        <v>267</v>
      </c>
      <c r="M20" s="43">
        <v>766.93</v>
      </c>
      <c r="N20" s="39" t="s">
        <v>30</v>
      </c>
    </row>
    <row r="21" spans="1:14" ht="15.75" customHeight="1" x14ac:dyDescent="0.3">
      <c r="I21" s="18"/>
    </row>
    <row r="22" spans="1:14" ht="15.75" customHeight="1" x14ac:dyDescent="0.3"/>
    <row r="23" spans="1:14" ht="15.75" customHeight="1" x14ac:dyDescent="0.3"/>
    <row r="24" spans="1:14" ht="15.75" customHeight="1" x14ac:dyDescent="0.3"/>
    <row r="25" spans="1:14" ht="15.75" customHeight="1" x14ac:dyDescent="0.3"/>
    <row r="26" spans="1:14" ht="15.75" customHeight="1" x14ac:dyDescent="0.3"/>
    <row r="27" spans="1:14" ht="15.75" customHeight="1" x14ac:dyDescent="0.3"/>
    <row r="28" spans="1:14" ht="15.75" customHeight="1" x14ac:dyDescent="0.3"/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9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opLeftCell="E1" workbookViewId="0">
      <selection activeCell="J9" sqref="J9"/>
    </sheetView>
  </sheetViews>
  <sheetFormatPr defaultColWidth="14.44140625" defaultRowHeight="15" customHeight="1" x14ac:dyDescent="0.3"/>
  <cols>
    <col min="1" max="1" width="16.77734375" bestFit="1" customWidth="1"/>
    <col min="2" max="2" width="16.33203125" customWidth="1"/>
    <col min="3" max="3" width="16.109375" customWidth="1"/>
    <col min="4" max="4" width="15.5546875" customWidth="1"/>
    <col min="5" max="5" width="18.109375" customWidth="1"/>
    <col min="6" max="6" width="14.44140625" customWidth="1"/>
    <col min="7" max="7" width="13.44140625" customWidth="1"/>
    <col min="8" max="8" width="48.88671875" customWidth="1"/>
    <col min="9" max="11" width="17.44140625" customWidth="1"/>
    <col min="12" max="12" width="19.88671875" customWidth="1"/>
    <col min="13" max="26" width="8.6640625" customWidth="1"/>
  </cols>
  <sheetData>
    <row r="1" spans="1:13" ht="14.4" x14ac:dyDescent="0.3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</row>
    <row r="2" spans="1:13" ht="14.4" x14ac:dyDescent="0.3">
      <c r="A2" s="44">
        <v>41954</v>
      </c>
      <c r="B2" s="39" t="s">
        <v>15</v>
      </c>
      <c r="C2" s="39" t="s">
        <v>16</v>
      </c>
      <c r="D2" s="39" t="s">
        <v>17</v>
      </c>
      <c r="E2" s="16" t="s">
        <v>18</v>
      </c>
      <c r="F2" s="39" t="s">
        <v>229</v>
      </c>
      <c r="G2" s="39" t="s">
        <v>20</v>
      </c>
      <c r="H2" s="16" t="s">
        <v>21</v>
      </c>
      <c r="I2" s="18">
        <v>221.98</v>
      </c>
      <c r="J2" s="42">
        <v>2</v>
      </c>
      <c r="K2" s="18"/>
      <c r="L2" s="18"/>
      <c r="M2" s="18"/>
    </row>
    <row r="3" spans="1:13" ht="14.4" x14ac:dyDescent="0.3">
      <c r="A3" s="44">
        <v>41675</v>
      </c>
      <c r="B3" s="39" t="s">
        <v>23</v>
      </c>
      <c r="C3" s="39" t="s">
        <v>24</v>
      </c>
      <c r="D3" s="39" t="s">
        <v>25</v>
      </c>
      <c r="E3" s="16" t="s">
        <v>26</v>
      </c>
      <c r="F3" s="39" t="s">
        <v>27</v>
      </c>
      <c r="G3" s="39" t="s">
        <v>28</v>
      </c>
      <c r="H3" s="16" t="s">
        <v>29</v>
      </c>
      <c r="I3" s="18">
        <v>3709.4</v>
      </c>
      <c r="J3" s="42">
        <v>9</v>
      </c>
      <c r="K3" s="18"/>
      <c r="L3" s="18"/>
      <c r="M3" s="18"/>
    </row>
    <row r="4" spans="1:13" ht="14.4" x14ac:dyDescent="0.3">
      <c r="A4" s="44">
        <v>41929</v>
      </c>
      <c r="B4" s="39" t="s">
        <v>23</v>
      </c>
      <c r="C4" s="39" t="s">
        <v>24</v>
      </c>
      <c r="D4" s="39" t="s">
        <v>25</v>
      </c>
      <c r="E4" s="16" t="s">
        <v>31</v>
      </c>
      <c r="F4" s="39" t="s">
        <v>229</v>
      </c>
      <c r="G4" s="39" t="s">
        <v>20</v>
      </c>
      <c r="H4" s="16" t="s">
        <v>32</v>
      </c>
      <c r="I4" s="18">
        <v>5175.17</v>
      </c>
      <c r="J4" s="42">
        <v>9</v>
      </c>
      <c r="K4" s="18"/>
      <c r="L4" s="18"/>
      <c r="M4" s="18"/>
    </row>
    <row r="5" spans="1:13" ht="14.4" x14ac:dyDescent="0.3">
      <c r="A5" s="44">
        <v>41667</v>
      </c>
      <c r="B5" s="39" t="s">
        <v>34</v>
      </c>
      <c r="C5" s="39" t="s">
        <v>35</v>
      </c>
      <c r="D5" s="39" t="s">
        <v>36</v>
      </c>
      <c r="E5" s="16" t="s">
        <v>37</v>
      </c>
      <c r="F5" s="39" t="s">
        <v>229</v>
      </c>
      <c r="G5" s="39" t="s">
        <v>20</v>
      </c>
      <c r="H5" s="16" t="s">
        <v>38</v>
      </c>
      <c r="I5" s="18">
        <v>2892.51</v>
      </c>
      <c r="J5" s="42">
        <v>5</v>
      </c>
      <c r="K5" s="18"/>
      <c r="L5" s="18"/>
      <c r="M5" s="18"/>
    </row>
    <row r="6" spans="1:13" ht="14.4" x14ac:dyDescent="0.3">
      <c r="A6" s="44">
        <v>41948</v>
      </c>
      <c r="B6" s="39" t="s">
        <v>39</v>
      </c>
      <c r="C6" s="39" t="s">
        <v>40</v>
      </c>
      <c r="D6" s="39" t="s">
        <v>41</v>
      </c>
      <c r="E6" s="16" t="s">
        <v>42</v>
      </c>
      <c r="F6" s="39" t="s">
        <v>229</v>
      </c>
      <c r="G6" s="39" t="s">
        <v>43</v>
      </c>
      <c r="H6" s="16" t="s">
        <v>44</v>
      </c>
      <c r="I6" s="18">
        <v>2832.96</v>
      </c>
      <c r="J6" s="42">
        <v>8</v>
      </c>
      <c r="K6" s="18"/>
      <c r="L6" s="18"/>
      <c r="M6" s="18"/>
    </row>
    <row r="7" spans="1:13" ht="14.4" x14ac:dyDescent="0.3">
      <c r="A7" s="44">
        <v>41818</v>
      </c>
      <c r="B7" s="39" t="s">
        <v>23</v>
      </c>
      <c r="C7" s="39" t="s">
        <v>24</v>
      </c>
      <c r="D7" s="39" t="s">
        <v>25</v>
      </c>
      <c r="E7" s="16" t="s">
        <v>45</v>
      </c>
      <c r="F7" s="39" t="s">
        <v>229</v>
      </c>
      <c r="G7" s="39" t="s">
        <v>20</v>
      </c>
      <c r="H7" s="16" t="s">
        <v>46</v>
      </c>
      <c r="I7" s="18">
        <v>2862.68</v>
      </c>
      <c r="J7" s="42">
        <v>5</v>
      </c>
      <c r="K7" s="18"/>
      <c r="L7" s="18"/>
      <c r="M7" s="18"/>
    </row>
    <row r="8" spans="1:13" ht="14.4" x14ac:dyDescent="0.3">
      <c r="A8" s="44">
        <v>41219</v>
      </c>
      <c r="B8" s="39" t="s">
        <v>47</v>
      </c>
      <c r="C8" s="39" t="s">
        <v>24</v>
      </c>
      <c r="D8" s="39" t="s">
        <v>25</v>
      </c>
      <c r="E8" s="16" t="s">
        <v>48</v>
      </c>
      <c r="F8" s="39" t="s">
        <v>27</v>
      </c>
      <c r="G8" s="39" t="s">
        <v>28</v>
      </c>
      <c r="H8" s="16" t="s">
        <v>49</v>
      </c>
      <c r="I8" s="18">
        <v>1822.08</v>
      </c>
      <c r="J8" s="42">
        <v>4</v>
      </c>
      <c r="K8" s="18"/>
      <c r="L8" s="18"/>
      <c r="M8" s="18"/>
    </row>
    <row r="9" spans="1:13" ht="14.4" x14ac:dyDescent="0.3">
      <c r="A9" s="44">
        <v>41378</v>
      </c>
      <c r="B9" s="39" t="s">
        <v>47</v>
      </c>
      <c r="C9" s="39" t="s">
        <v>24</v>
      </c>
      <c r="D9" s="39" t="s">
        <v>25</v>
      </c>
      <c r="E9" s="16" t="s">
        <v>50</v>
      </c>
      <c r="F9" s="39" t="s">
        <v>27</v>
      </c>
      <c r="G9" s="39" t="s">
        <v>51</v>
      </c>
      <c r="H9" s="16" t="s">
        <v>52</v>
      </c>
      <c r="I9" s="18">
        <v>5244.84</v>
      </c>
      <c r="J9" s="42">
        <v>6</v>
      </c>
      <c r="K9" s="18"/>
      <c r="L9" s="18"/>
      <c r="M9" s="18"/>
    </row>
    <row r="10" spans="1:13" ht="14.4" x14ac:dyDescent="0.3">
      <c r="A10" s="44">
        <v>41954</v>
      </c>
      <c r="B10" s="39" t="s">
        <v>15</v>
      </c>
      <c r="C10" s="39" t="s">
        <v>16</v>
      </c>
      <c r="D10" s="39" t="s">
        <v>17</v>
      </c>
      <c r="E10" s="16" t="s">
        <v>53</v>
      </c>
      <c r="F10" s="39" t="s">
        <v>27</v>
      </c>
      <c r="G10" s="39" t="s">
        <v>54</v>
      </c>
      <c r="H10" s="16" t="s">
        <v>55</v>
      </c>
      <c r="I10" s="18">
        <v>341.96</v>
      </c>
      <c r="J10" s="42">
        <v>2</v>
      </c>
      <c r="K10" s="18"/>
      <c r="L10" s="18"/>
      <c r="M10" s="18"/>
    </row>
    <row r="11" spans="1:13" ht="14.4" x14ac:dyDescent="0.3">
      <c r="A11" s="44">
        <v>40974</v>
      </c>
      <c r="B11" s="39" t="s">
        <v>15</v>
      </c>
      <c r="C11" s="39" t="s">
        <v>56</v>
      </c>
      <c r="D11" s="39" t="s">
        <v>17</v>
      </c>
      <c r="E11" s="16" t="s">
        <v>57</v>
      </c>
      <c r="F11" s="39" t="s">
        <v>27</v>
      </c>
      <c r="G11" s="39" t="s">
        <v>28</v>
      </c>
      <c r="H11" s="16" t="s">
        <v>58</v>
      </c>
      <c r="I11" s="18">
        <v>48.71</v>
      </c>
      <c r="J11" s="42">
        <v>1</v>
      </c>
      <c r="K11" s="18"/>
      <c r="L11" s="18"/>
      <c r="M11" s="18"/>
    </row>
    <row r="12" spans="1:13" ht="14.4" x14ac:dyDescent="0.3">
      <c r="A12" s="44">
        <v>40974</v>
      </c>
      <c r="B12" s="39" t="s">
        <v>15</v>
      </c>
      <c r="C12" s="39" t="s">
        <v>56</v>
      </c>
      <c r="D12" s="39" t="s">
        <v>17</v>
      </c>
      <c r="E12" s="16" t="s">
        <v>59</v>
      </c>
      <c r="F12" s="39" t="s">
        <v>60</v>
      </c>
      <c r="G12" s="39" t="s">
        <v>61</v>
      </c>
      <c r="H12" s="16" t="s">
        <v>62</v>
      </c>
      <c r="I12" s="18">
        <v>17.940000000000001</v>
      </c>
      <c r="J12" s="42">
        <v>3</v>
      </c>
      <c r="K12" s="18"/>
      <c r="L12" s="18"/>
      <c r="M12" s="18"/>
    </row>
    <row r="13" spans="1:13" ht="14.4" x14ac:dyDescent="0.3">
      <c r="A13" s="44">
        <v>41383</v>
      </c>
      <c r="B13" s="39" t="s">
        <v>63</v>
      </c>
      <c r="C13" s="39" t="s">
        <v>64</v>
      </c>
      <c r="D13" s="39" t="s">
        <v>25</v>
      </c>
      <c r="E13" s="16" t="s">
        <v>65</v>
      </c>
      <c r="F13" s="39" t="s">
        <v>27</v>
      </c>
      <c r="G13" s="39" t="s">
        <v>51</v>
      </c>
      <c r="H13" s="16" t="s">
        <v>66</v>
      </c>
      <c r="I13" s="18">
        <v>4626.1499999999996</v>
      </c>
      <c r="J13" s="42">
        <v>5</v>
      </c>
      <c r="K13" s="18"/>
      <c r="L13" s="18"/>
      <c r="M13" s="18"/>
    </row>
    <row r="14" spans="1:13" ht="14.4" x14ac:dyDescent="0.3">
      <c r="A14" s="44">
        <v>41269</v>
      </c>
      <c r="B14" s="39" t="s">
        <v>67</v>
      </c>
      <c r="C14" s="39" t="s">
        <v>68</v>
      </c>
      <c r="D14" s="39" t="s">
        <v>25</v>
      </c>
      <c r="E14" s="16" t="s">
        <v>69</v>
      </c>
      <c r="F14" s="39" t="s">
        <v>229</v>
      </c>
      <c r="G14" s="39" t="s">
        <v>20</v>
      </c>
      <c r="H14" s="16" t="s">
        <v>70</v>
      </c>
      <c r="I14" s="18">
        <v>2616.96</v>
      </c>
      <c r="J14" s="42">
        <v>4</v>
      </c>
      <c r="K14" s="18"/>
      <c r="L14" s="18"/>
      <c r="M14" s="18"/>
    </row>
    <row r="15" spans="1:13" ht="14.4" x14ac:dyDescent="0.3">
      <c r="A15" s="44">
        <v>41591</v>
      </c>
      <c r="B15" s="39" t="s">
        <v>71</v>
      </c>
      <c r="C15" s="39" t="s">
        <v>72</v>
      </c>
      <c r="D15" s="39" t="s">
        <v>73</v>
      </c>
      <c r="E15" s="16" t="s">
        <v>74</v>
      </c>
      <c r="F15" s="39" t="s">
        <v>27</v>
      </c>
      <c r="G15" s="39" t="s">
        <v>28</v>
      </c>
      <c r="H15" s="16" t="s">
        <v>75</v>
      </c>
      <c r="I15" s="18">
        <v>2221.8000000000002</v>
      </c>
      <c r="J15" s="42">
        <v>7</v>
      </c>
      <c r="K15" s="18"/>
      <c r="L15" s="18"/>
      <c r="M15" s="18"/>
    </row>
    <row r="16" spans="1:13" ht="14.4" x14ac:dyDescent="0.3">
      <c r="A16" s="44">
        <v>41796</v>
      </c>
      <c r="B16" s="39" t="s">
        <v>76</v>
      </c>
      <c r="C16" s="39" t="s">
        <v>77</v>
      </c>
      <c r="D16" s="39" t="s">
        <v>25</v>
      </c>
      <c r="E16" s="16" t="s">
        <v>78</v>
      </c>
      <c r="F16" s="39" t="s">
        <v>60</v>
      </c>
      <c r="G16" s="39" t="s">
        <v>79</v>
      </c>
      <c r="H16" s="16" t="s">
        <v>80</v>
      </c>
      <c r="I16" s="18">
        <v>3701.52</v>
      </c>
      <c r="J16" s="42">
        <v>12</v>
      </c>
      <c r="K16" s="18"/>
      <c r="L16" s="18"/>
      <c r="M16" s="18"/>
    </row>
    <row r="17" spans="1:13" ht="14.4" x14ac:dyDescent="0.3">
      <c r="A17" s="44">
        <v>42216</v>
      </c>
      <c r="B17" s="39" t="s">
        <v>81</v>
      </c>
      <c r="C17" s="39" t="s">
        <v>35</v>
      </c>
      <c r="D17" s="39" t="s">
        <v>36</v>
      </c>
      <c r="E17" s="16" t="s">
        <v>82</v>
      </c>
      <c r="F17" s="39" t="s">
        <v>60</v>
      </c>
      <c r="G17" s="39" t="s">
        <v>79</v>
      </c>
      <c r="H17" s="16" t="s">
        <v>83</v>
      </c>
      <c r="I17" s="18">
        <v>1869.59</v>
      </c>
      <c r="J17" s="42">
        <v>4</v>
      </c>
      <c r="K17" s="18"/>
      <c r="L17" s="18"/>
      <c r="M17" s="18"/>
    </row>
    <row r="18" spans="1:13" ht="14.4" x14ac:dyDescent="0.3">
      <c r="A18" s="44">
        <v>40958</v>
      </c>
      <c r="B18" s="39" t="s">
        <v>15</v>
      </c>
      <c r="C18" s="39" t="s">
        <v>16</v>
      </c>
      <c r="D18" s="39" t="s">
        <v>17</v>
      </c>
      <c r="E18" s="16" t="s">
        <v>84</v>
      </c>
      <c r="F18" s="39" t="s">
        <v>60</v>
      </c>
      <c r="G18" s="39" t="s">
        <v>85</v>
      </c>
      <c r="H18" s="16" t="s">
        <v>86</v>
      </c>
      <c r="I18" s="18">
        <v>12.62</v>
      </c>
      <c r="J18" s="42">
        <v>2</v>
      </c>
      <c r="K18" s="18"/>
      <c r="L18" s="18"/>
      <c r="M18" s="18"/>
    </row>
    <row r="19" spans="1:13" ht="14.4" x14ac:dyDescent="0.3">
      <c r="A19" s="44">
        <v>42255</v>
      </c>
      <c r="B19" s="39" t="s">
        <v>88</v>
      </c>
      <c r="C19" s="39" t="s">
        <v>89</v>
      </c>
      <c r="D19" s="39" t="s">
        <v>36</v>
      </c>
      <c r="E19" s="16" t="s">
        <v>90</v>
      </c>
      <c r="F19" s="39" t="s">
        <v>60</v>
      </c>
      <c r="G19" s="39" t="s">
        <v>79</v>
      </c>
      <c r="H19" s="16" t="s">
        <v>91</v>
      </c>
      <c r="I19" s="18">
        <v>7958.58</v>
      </c>
      <c r="J19" s="42">
        <v>14</v>
      </c>
      <c r="K19" s="18"/>
      <c r="L19" s="18"/>
      <c r="M19" s="18"/>
    </row>
    <row r="20" spans="1:13" ht="14.4" x14ac:dyDescent="0.3">
      <c r="A20" s="44">
        <v>42035</v>
      </c>
      <c r="B20" s="39" t="s">
        <v>23</v>
      </c>
      <c r="C20" s="39" t="s">
        <v>24</v>
      </c>
      <c r="D20" s="39" t="s">
        <v>25</v>
      </c>
      <c r="E20" s="16" t="s">
        <v>92</v>
      </c>
      <c r="F20" s="39" t="s">
        <v>229</v>
      </c>
      <c r="G20" s="39" t="s">
        <v>43</v>
      </c>
      <c r="H20" s="16" t="s">
        <v>93</v>
      </c>
      <c r="I20" s="18">
        <v>2565.59</v>
      </c>
      <c r="J20" s="42">
        <v>9</v>
      </c>
      <c r="K20" s="18"/>
      <c r="L20" s="18"/>
      <c r="M20" s="18"/>
    </row>
    <row r="21" spans="1:13" ht="15.75" customHeight="1" x14ac:dyDescent="0.3">
      <c r="B21" s="45"/>
      <c r="C21" s="45"/>
      <c r="D21" s="45"/>
      <c r="I21" s="18"/>
      <c r="J21" s="46"/>
      <c r="K21" s="18"/>
      <c r="L21" s="18"/>
    </row>
    <row r="22" spans="1:13" ht="15.75" customHeight="1" x14ac:dyDescent="0.3">
      <c r="B22" s="45"/>
      <c r="C22" s="45"/>
      <c r="D22" s="45"/>
    </row>
    <row r="23" spans="1:13" ht="15.75" customHeight="1" x14ac:dyDescent="0.3">
      <c r="B23" s="45"/>
      <c r="C23" s="45"/>
      <c r="D23" s="45"/>
    </row>
    <row r="24" spans="1:13" ht="15.75" customHeight="1" x14ac:dyDescent="0.3"/>
    <row r="25" spans="1:13" ht="15.75" customHeight="1" x14ac:dyDescent="0.3"/>
    <row r="26" spans="1:13" ht="15.75" customHeight="1" x14ac:dyDescent="0.3"/>
    <row r="27" spans="1:13" ht="15.75" customHeight="1" x14ac:dyDescent="0.3"/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>
      <selection activeCell="C41" sqref="C41"/>
    </sheetView>
  </sheetViews>
  <sheetFormatPr defaultColWidth="14.44140625" defaultRowHeight="15" customHeight="1" x14ac:dyDescent="0.3"/>
  <cols>
    <col min="1" max="1" width="24.44140625" customWidth="1"/>
    <col min="2" max="2" width="17.5546875" customWidth="1"/>
    <col min="3" max="3" width="11.44140625" customWidth="1"/>
    <col min="4" max="4" width="8.6640625" customWidth="1"/>
    <col min="5" max="5" width="10.88671875" customWidth="1"/>
    <col min="6" max="6" width="11" customWidth="1"/>
    <col min="7" max="7" width="11.88671875" customWidth="1"/>
    <col min="8" max="8" width="10" customWidth="1"/>
    <col min="9" max="9" width="14" customWidth="1"/>
    <col min="10" max="26" width="8.6640625" customWidth="1"/>
  </cols>
  <sheetData>
    <row r="1" spans="1:6" ht="15.6" x14ac:dyDescent="0.3">
      <c r="A1" s="19" t="s">
        <v>268</v>
      </c>
    </row>
    <row r="2" spans="1:6" ht="14.4" x14ac:dyDescent="0.3">
      <c r="A2" s="16" t="s">
        <v>269</v>
      </c>
      <c r="B2" s="16" t="s">
        <v>270</v>
      </c>
      <c r="C2" s="16" t="s">
        <v>271</v>
      </c>
      <c r="D2" s="16" t="s">
        <v>219</v>
      </c>
      <c r="E2" s="16" t="s">
        <v>272</v>
      </c>
      <c r="F2" s="16" t="s">
        <v>273</v>
      </c>
    </row>
    <row r="3" spans="1:6" ht="14.4" x14ac:dyDescent="0.3">
      <c r="A3" s="16" t="s">
        <v>274</v>
      </c>
      <c r="B3" s="16">
        <v>1435</v>
      </c>
      <c r="C3" s="16">
        <v>1592</v>
      </c>
      <c r="D3" s="16">
        <v>2335</v>
      </c>
      <c r="E3">
        <f>SUM(B3:D3)</f>
        <v>5362</v>
      </c>
      <c r="F3">
        <f>AVERAGE(B3:D3)</f>
        <v>1787.3333333333333</v>
      </c>
    </row>
    <row r="4" spans="1:6" ht="14.4" x14ac:dyDescent="0.3">
      <c r="A4" s="16" t="s">
        <v>275</v>
      </c>
      <c r="B4" s="16">
        <v>1854</v>
      </c>
      <c r="C4" s="16">
        <v>1635</v>
      </c>
      <c r="D4" s="16">
        <v>2232</v>
      </c>
      <c r="E4">
        <f t="shared" ref="E4:E9" si="0">SUM(B4:D4)</f>
        <v>5721</v>
      </c>
      <c r="F4">
        <f t="shared" ref="F4:F9" si="1">AVERAGE(B4:D4)</f>
        <v>1907</v>
      </c>
    </row>
    <row r="5" spans="1:6" ht="14.4" x14ac:dyDescent="0.3">
      <c r="A5" s="16" t="s">
        <v>276</v>
      </c>
      <c r="B5" s="16">
        <v>1524</v>
      </c>
      <c r="C5" s="16">
        <v>2879</v>
      </c>
      <c r="D5" s="16">
        <v>1739</v>
      </c>
      <c r="E5">
        <f t="shared" si="0"/>
        <v>6142</v>
      </c>
      <c r="F5">
        <f t="shared" si="1"/>
        <v>2047.3333333333333</v>
      </c>
    </row>
    <row r="6" spans="1:6" ht="14.4" x14ac:dyDescent="0.3">
      <c r="A6" s="16" t="s">
        <v>277</v>
      </c>
      <c r="B6" s="16">
        <v>2716</v>
      </c>
      <c r="C6" s="16">
        <v>1456</v>
      </c>
      <c r="D6" s="16">
        <v>2220</v>
      </c>
      <c r="E6">
        <f t="shared" si="0"/>
        <v>6392</v>
      </c>
      <c r="F6">
        <f t="shared" si="1"/>
        <v>2130.6666666666665</v>
      </c>
    </row>
    <row r="7" spans="1:6" ht="14.4" x14ac:dyDescent="0.3">
      <c r="A7" s="16" t="s">
        <v>278</v>
      </c>
      <c r="B7" s="16">
        <v>2117</v>
      </c>
      <c r="C7" s="16">
        <v>1665</v>
      </c>
      <c r="D7" s="16">
        <v>2371</v>
      </c>
      <c r="E7">
        <f t="shared" si="0"/>
        <v>6153</v>
      </c>
      <c r="F7">
        <f t="shared" si="1"/>
        <v>2051</v>
      </c>
    </row>
    <row r="8" spans="1:6" ht="14.4" x14ac:dyDescent="0.3">
      <c r="A8" s="16" t="s">
        <v>279</v>
      </c>
      <c r="B8" s="16">
        <v>1191</v>
      </c>
      <c r="C8" s="16">
        <v>2515</v>
      </c>
      <c r="D8" s="16">
        <v>1098</v>
      </c>
      <c r="E8">
        <f t="shared" si="0"/>
        <v>4804</v>
      </c>
      <c r="F8">
        <f t="shared" si="1"/>
        <v>1601.3333333333333</v>
      </c>
    </row>
    <row r="9" spans="1:6" ht="14.4" x14ac:dyDescent="0.3">
      <c r="A9" s="16" t="s">
        <v>280</v>
      </c>
      <c r="B9" s="16">
        <v>2713</v>
      </c>
      <c r="C9" s="16">
        <v>1929</v>
      </c>
      <c r="D9" s="16">
        <v>1257</v>
      </c>
      <c r="E9">
        <f t="shared" si="0"/>
        <v>5899</v>
      </c>
      <c r="F9">
        <f t="shared" si="1"/>
        <v>1966.3333333333333</v>
      </c>
    </row>
    <row r="11" spans="1:6" ht="15.6" x14ac:dyDescent="0.3">
      <c r="A11" s="19" t="s">
        <v>281</v>
      </c>
    </row>
    <row r="12" spans="1:6" ht="14.4" x14ac:dyDescent="0.3">
      <c r="A12" s="16" t="s">
        <v>269</v>
      </c>
      <c r="B12" s="16" t="s">
        <v>270</v>
      </c>
      <c r="C12" s="16" t="s">
        <v>271</v>
      </c>
      <c r="D12" s="16" t="s">
        <v>219</v>
      </c>
      <c r="E12" s="16" t="s">
        <v>272</v>
      </c>
      <c r="F12" s="16" t="s">
        <v>273</v>
      </c>
    </row>
    <row r="13" spans="1:6" ht="14.4" x14ac:dyDescent="0.3">
      <c r="A13" s="16" t="s">
        <v>274</v>
      </c>
      <c r="B13" s="16">
        <v>1435</v>
      </c>
      <c r="C13" s="16">
        <v>1592</v>
      </c>
      <c r="D13" s="16">
        <v>2335</v>
      </c>
      <c r="F13">
        <f>AVERAGEA(B13:D13)</f>
        <v>1787.3333333333333</v>
      </c>
    </row>
    <row r="14" spans="1:6" ht="14.4" x14ac:dyDescent="0.3">
      <c r="A14" s="16" t="s">
        <v>275</v>
      </c>
      <c r="B14" s="16">
        <v>1854</v>
      </c>
      <c r="C14" s="16">
        <v>1635</v>
      </c>
      <c r="D14" s="16">
        <v>2232</v>
      </c>
      <c r="F14">
        <f t="shared" ref="F14:F19" si="2">AVERAGEA(B14:D14)</f>
        <v>1907</v>
      </c>
    </row>
    <row r="15" spans="1:6" ht="14.4" x14ac:dyDescent="0.3">
      <c r="A15" s="16" t="s">
        <v>276</v>
      </c>
      <c r="B15" s="16">
        <v>1524</v>
      </c>
      <c r="C15" s="16" t="s">
        <v>282</v>
      </c>
      <c r="D15" s="16" t="s">
        <v>283</v>
      </c>
      <c r="F15">
        <f t="shared" si="2"/>
        <v>508</v>
      </c>
    </row>
    <row r="16" spans="1:6" ht="14.4" x14ac:dyDescent="0.3">
      <c r="A16" s="16" t="s">
        <v>277</v>
      </c>
      <c r="B16" s="16">
        <v>2716</v>
      </c>
      <c r="C16" s="16">
        <v>1456</v>
      </c>
      <c r="D16" s="16">
        <v>2220</v>
      </c>
      <c r="F16">
        <f t="shared" si="2"/>
        <v>2130.6666666666665</v>
      </c>
    </row>
    <row r="17" spans="1:8" ht="14.4" x14ac:dyDescent="0.3">
      <c r="A17" s="16" t="s">
        <v>278</v>
      </c>
      <c r="B17" s="16">
        <v>2117</v>
      </c>
      <c r="C17" s="16">
        <v>1665</v>
      </c>
      <c r="D17" s="16">
        <v>2371</v>
      </c>
      <c r="F17">
        <f t="shared" si="2"/>
        <v>2051</v>
      </c>
    </row>
    <row r="18" spans="1:8" ht="14.4" x14ac:dyDescent="0.3">
      <c r="A18" s="16" t="s">
        <v>279</v>
      </c>
      <c r="B18" s="16">
        <v>1191</v>
      </c>
      <c r="C18" s="16">
        <v>2515</v>
      </c>
      <c r="D18" s="16">
        <v>1098</v>
      </c>
      <c r="F18">
        <f t="shared" si="2"/>
        <v>1601.3333333333333</v>
      </c>
    </row>
    <row r="19" spans="1:8" ht="14.4" x14ac:dyDescent="0.3">
      <c r="A19" s="16" t="s">
        <v>280</v>
      </c>
      <c r="B19" s="16">
        <v>2713</v>
      </c>
      <c r="C19" s="16">
        <v>1929</v>
      </c>
      <c r="D19" s="16">
        <v>1257</v>
      </c>
      <c r="F19">
        <f t="shared" si="2"/>
        <v>1966.3333333333333</v>
      </c>
    </row>
    <row r="21" spans="1:8" ht="15.75" customHeight="1" x14ac:dyDescent="0.3">
      <c r="A21" s="19" t="s">
        <v>284</v>
      </c>
    </row>
    <row r="22" spans="1:8" ht="15.75" customHeight="1" x14ac:dyDescent="0.3">
      <c r="A22" s="16" t="s">
        <v>285</v>
      </c>
      <c r="B22" s="16" t="s">
        <v>286</v>
      </c>
      <c r="C22" s="16" t="s">
        <v>9</v>
      </c>
      <c r="G22" s="16" t="s">
        <v>287</v>
      </c>
    </row>
    <row r="23" spans="1:8" ht="15.75" customHeight="1" x14ac:dyDescent="0.3">
      <c r="A23" s="16" t="s">
        <v>288</v>
      </c>
      <c r="B23" s="16">
        <v>130</v>
      </c>
      <c r="C23" s="16">
        <v>13084</v>
      </c>
    </row>
    <row r="24" spans="1:8" ht="15.75" customHeight="1" x14ac:dyDescent="0.3">
      <c r="A24" s="16" t="s">
        <v>289</v>
      </c>
      <c r="B24" s="16">
        <v>205</v>
      </c>
      <c r="C24" s="16">
        <v>20582</v>
      </c>
      <c r="G24" s="20" t="s">
        <v>285</v>
      </c>
      <c r="H24" s="21" t="s">
        <v>290</v>
      </c>
    </row>
    <row r="25" spans="1:8" ht="15.75" customHeight="1" x14ac:dyDescent="0.3">
      <c r="A25" s="16" t="s">
        <v>288</v>
      </c>
      <c r="B25" s="16">
        <v>480</v>
      </c>
      <c r="C25" s="16">
        <v>48001</v>
      </c>
      <c r="G25" s="16" t="s">
        <v>288</v>
      </c>
      <c r="H25">
        <f>AVERAGEIFS($C$23:$C$36,$A$23:$A$36,G25)</f>
        <v>34589.800000000003</v>
      </c>
    </row>
    <row r="26" spans="1:8" ht="15.75" customHeight="1" x14ac:dyDescent="0.3">
      <c r="A26" s="16" t="s">
        <v>291</v>
      </c>
      <c r="B26" s="16">
        <v>405</v>
      </c>
      <c r="C26" s="16">
        <v>40594</v>
      </c>
      <c r="G26" s="16" t="s">
        <v>291</v>
      </c>
      <c r="H26">
        <f t="shared" ref="H26:H29" si="3">AVERAGEIFS($C$23:$C$36,$A$23:$A$36,G26)</f>
        <v>22268</v>
      </c>
    </row>
    <row r="27" spans="1:8" ht="15.75" customHeight="1" x14ac:dyDescent="0.3">
      <c r="A27" s="16" t="s">
        <v>292</v>
      </c>
      <c r="B27" s="16">
        <v>421</v>
      </c>
      <c r="C27" s="16">
        <v>42154</v>
      </c>
      <c r="G27" s="16" t="s">
        <v>292</v>
      </c>
      <c r="H27">
        <f t="shared" si="3"/>
        <v>42154</v>
      </c>
    </row>
    <row r="28" spans="1:8" ht="15.75" customHeight="1" x14ac:dyDescent="0.3">
      <c r="A28" s="16" t="s">
        <v>291</v>
      </c>
      <c r="B28" s="16">
        <v>54</v>
      </c>
      <c r="C28" s="16">
        <v>5460</v>
      </c>
      <c r="G28" s="16" t="s">
        <v>289</v>
      </c>
      <c r="H28">
        <f t="shared" si="3"/>
        <v>34776</v>
      </c>
    </row>
    <row r="29" spans="1:8" ht="15.75" customHeight="1" x14ac:dyDescent="0.3">
      <c r="A29" s="16" t="s">
        <v>288</v>
      </c>
      <c r="B29" s="16">
        <v>379</v>
      </c>
      <c r="C29" s="16">
        <v>37976</v>
      </c>
      <c r="G29" s="16" t="s">
        <v>293</v>
      </c>
      <c r="H29">
        <f t="shared" si="3"/>
        <v>40202</v>
      </c>
    </row>
    <row r="30" spans="1:8" ht="15.75" customHeight="1" x14ac:dyDescent="0.3">
      <c r="A30" s="16" t="s">
        <v>288</v>
      </c>
      <c r="B30" s="16">
        <v>390</v>
      </c>
      <c r="C30" s="16">
        <v>39011</v>
      </c>
    </row>
    <row r="31" spans="1:8" ht="15.75" customHeight="1" x14ac:dyDescent="0.3">
      <c r="A31" s="16" t="s">
        <v>289</v>
      </c>
      <c r="B31" s="16">
        <v>408</v>
      </c>
      <c r="C31" s="16">
        <v>40840</v>
      </c>
    </row>
    <row r="32" spans="1:8" ht="15.75" customHeight="1" x14ac:dyDescent="0.3">
      <c r="A32" s="16" t="s">
        <v>293</v>
      </c>
      <c r="B32" s="16">
        <v>402</v>
      </c>
      <c r="C32" s="16">
        <v>40202</v>
      </c>
    </row>
    <row r="33" spans="1:15" ht="15.75" customHeight="1" x14ac:dyDescent="0.3">
      <c r="A33" s="16" t="s">
        <v>291</v>
      </c>
      <c r="B33" s="16">
        <v>207</v>
      </c>
      <c r="C33" s="16">
        <v>20750</v>
      </c>
    </row>
    <row r="34" spans="1:15" ht="15.75" customHeight="1" x14ac:dyDescent="0.3">
      <c r="A34" s="16" t="s">
        <v>288</v>
      </c>
      <c r="B34" s="16">
        <v>348</v>
      </c>
      <c r="C34" s="16">
        <v>34877</v>
      </c>
    </row>
    <row r="35" spans="1:15" ht="15.75" customHeight="1" x14ac:dyDescent="0.3">
      <c r="A35" s="16" t="s">
        <v>289</v>
      </c>
      <c r="B35" s="16">
        <v>429</v>
      </c>
      <c r="C35" s="16">
        <v>42906</v>
      </c>
    </row>
    <row r="36" spans="1:15" ht="15.75" customHeight="1" x14ac:dyDescent="0.3">
      <c r="A36" s="16" t="s">
        <v>208</v>
      </c>
      <c r="B36" s="16">
        <v>343</v>
      </c>
      <c r="C36" s="16">
        <v>34359</v>
      </c>
    </row>
    <row r="37" spans="1:15" ht="15.75" customHeight="1" x14ac:dyDescent="0.3"/>
    <row r="38" spans="1:15" ht="15.75" customHeight="1" x14ac:dyDescent="0.3">
      <c r="A38" s="19" t="s">
        <v>284</v>
      </c>
    </row>
    <row r="39" spans="1:15" ht="15.75" customHeight="1" x14ac:dyDescent="0.3">
      <c r="A39" s="16" t="s">
        <v>294</v>
      </c>
      <c r="B39" s="16" t="s">
        <v>295</v>
      </c>
      <c r="C39" s="16" t="s">
        <v>296</v>
      </c>
      <c r="D39" s="16" t="s">
        <v>9</v>
      </c>
    </row>
    <row r="40" spans="1:15" ht="15.75" customHeight="1" x14ac:dyDescent="0.3">
      <c r="A40" s="44">
        <v>41001</v>
      </c>
      <c r="B40" s="16" t="s">
        <v>297</v>
      </c>
      <c r="C40" s="16" t="s">
        <v>298</v>
      </c>
      <c r="D40" s="16">
        <v>392</v>
      </c>
    </row>
    <row r="41" spans="1:15" ht="15.75" customHeight="1" x14ac:dyDescent="0.3">
      <c r="A41" s="44">
        <v>41000</v>
      </c>
      <c r="B41" s="16" t="s">
        <v>299</v>
      </c>
      <c r="C41" s="16" t="s">
        <v>300</v>
      </c>
      <c r="D41" s="16">
        <v>162</v>
      </c>
    </row>
    <row r="42" spans="1:15" ht="15.75" customHeight="1" x14ac:dyDescent="0.3">
      <c r="A42" s="44">
        <v>41003</v>
      </c>
      <c r="B42" s="16" t="s">
        <v>297</v>
      </c>
      <c r="C42" s="16" t="s">
        <v>298</v>
      </c>
      <c r="D42" s="16">
        <v>540</v>
      </c>
      <c r="I42" s="16" t="s">
        <v>287</v>
      </c>
    </row>
    <row r="43" spans="1:15" ht="15.75" customHeight="1" x14ac:dyDescent="0.3">
      <c r="A43" s="44">
        <v>41005</v>
      </c>
      <c r="B43" s="16" t="s">
        <v>297</v>
      </c>
      <c r="C43" s="16" t="s">
        <v>301</v>
      </c>
      <c r="D43" s="16">
        <v>75</v>
      </c>
    </row>
    <row r="44" spans="1:15" ht="15.75" customHeight="1" x14ac:dyDescent="0.3">
      <c r="A44" s="44">
        <v>41004</v>
      </c>
      <c r="B44" s="16" t="s">
        <v>299</v>
      </c>
      <c r="C44" s="16" t="s">
        <v>298</v>
      </c>
      <c r="D44" s="16">
        <v>406</v>
      </c>
      <c r="I44" s="16" t="s">
        <v>296</v>
      </c>
      <c r="J44" s="16" t="s">
        <v>295</v>
      </c>
      <c r="K44" s="16" t="s">
        <v>302</v>
      </c>
      <c r="M44" s="16" t="s">
        <v>296</v>
      </c>
      <c r="N44" s="16" t="s">
        <v>295</v>
      </c>
      <c r="O44" s="16" t="s">
        <v>302</v>
      </c>
    </row>
    <row r="45" spans="1:15" ht="15.75" customHeight="1" x14ac:dyDescent="0.3">
      <c r="A45" s="44">
        <v>41000</v>
      </c>
      <c r="B45" s="16" t="s">
        <v>303</v>
      </c>
      <c r="C45" s="16" t="s">
        <v>301</v>
      </c>
      <c r="D45" s="16">
        <v>57</v>
      </c>
      <c r="I45" s="16" t="s">
        <v>300</v>
      </c>
      <c r="J45" s="22" t="s">
        <v>297</v>
      </c>
      <c r="K45" s="16">
        <f>AVERAGEIFS(Sheet4!$D$40:$D$61,Sheet4!$C$40:$C$61,Sheet4!$I45,Sheet4!$B$40:$B$61,Sheet4!$J45)</f>
        <v>97</v>
      </c>
      <c r="M45" s="16" t="s">
        <v>300</v>
      </c>
      <c r="N45" s="16" t="s">
        <v>297</v>
      </c>
      <c r="O45">
        <f>AVERAGEIFS($K$45:$K$59,$J$45:$J$59,N45,$I$45:$I$59,$M$45)</f>
        <v>97</v>
      </c>
    </row>
    <row r="46" spans="1:15" ht="15.75" customHeight="1" x14ac:dyDescent="0.3">
      <c r="A46" s="44">
        <v>41006</v>
      </c>
      <c r="B46" s="16" t="s">
        <v>304</v>
      </c>
      <c r="C46" s="16" t="s">
        <v>298</v>
      </c>
      <c r="D46" s="16">
        <v>690</v>
      </c>
      <c r="I46" s="16" t="s">
        <v>300</v>
      </c>
      <c r="J46" s="22" t="s">
        <v>299</v>
      </c>
      <c r="K46" s="16">
        <f>AVERAGEIFS(Sheet4!$D$40:$D$61,Sheet4!$C$40:$C$61,Sheet4!$I46,Sheet4!$B$40:$B$61,Sheet4!$J46)</f>
        <v>162</v>
      </c>
      <c r="N46" s="16" t="s">
        <v>299</v>
      </c>
      <c r="O46">
        <f t="shared" ref="O46:O49" si="4">AVERAGEIFS($K$45:$K$59,$J$45:$J$59,N46,$I$45:$I$59,$M$45)</f>
        <v>162</v>
      </c>
    </row>
    <row r="47" spans="1:15" ht="15.75" customHeight="1" x14ac:dyDescent="0.3">
      <c r="A47" s="44">
        <v>41005</v>
      </c>
      <c r="B47" s="16" t="s">
        <v>305</v>
      </c>
      <c r="C47" s="16" t="s">
        <v>300</v>
      </c>
      <c r="D47" s="16">
        <v>377</v>
      </c>
      <c r="I47" s="16" t="s">
        <v>300</v>
      </c>
      <c r="J47" s="22" t="s">
        <v>303</v>
      </c>
      <c r="K47" s="16">
        <f>AVERAGEIFS(Sheet4!$D$40:$D$61,Sheet4!$C$40:$C$61,Sheet4!$I47,Sheet4!$B$40:$B$61,Sheet4!$J47)</f>
        <v>665</v>
      </c>
      <c r="N47" s="16" t="s">
        <v>303</v>
      </c>
      <c r="O47">
        <f t="shared" si="4"/>
        <v>665</v>
      </c>
    </row>
    <row r="48" spans="1:15" ht="15.75" customHeight="1" x14ac:dyDescent="0.3">
      <c r="A48" s="44">
        <v>41003</v>
      </c>
      <c r="B48" s="16" t="s">
        <v>297</v>
      </c>
      <c r="C48" s="16" t="s">
        <v>300</v>
      </c>
      <c r="D48" s="16">
        <v>56</v>
      </c>
      <c r="I48" s="16" t="s">
        <v>300</v>
      </c>
      <c r="J48" s="22" t="s">
        <v>304</v>
      </c>
      <c r="K48" s="16">
        <f>AVERAGEIFS(Sheet4!$D$40:$D$61,Sheet4!$C$40:$C$61,Sheet4!$I48,Sheet4!$B$40:$B$61,Sheet4!$J48)</f>
        <v>308</v>
      </c>
      <c r="N48" s="16" t="s">
        <v>304</v>
      </c>
      <c r="O48">
        <f t="shared" si="4"/>
        <v>308</v>
      </c>
    </row>
    <row r="49" spans="1:15" ht="15.75" customHeight="1" x14ac:dyDescent="0.3">
      <c r="A49" s="44">
        <v>41003</v>
      </c>
      <c r="B49" s="16" t="s">
        <v>297</v>
      </c>
      <c r="C49" s="16" t="s">
        <v>298</v>
      </c>
      <c r="D49" s="16">
        <v>600</v>
      </c>
      <c r="I49" s="16" t="s">
        <v>300</v>
      </c>
      <c r="J49" s="22" t="s">
        <v>305</v>
      </c>
      <c r="K49" s="16">
        <f>AVERAGEIFS(Sheet4!$D$40:$D$61,Sheet4!$C$40:$C$61,Sheet4!$I49,Sheet4!$B$40:$B$61,Sheet4!$J49)</f>
        <v>377</v>
      </c>
      <c r="N49" s="16" t="s">
        <v>305</v>
      </c>
      <c r="O49">
        <f t="shared" si="4"/>
        <v>377</v>
      </c>
    </row>
    <row r="50" spans="1:15" ht="15.75" customHeight="1" x14ac:dyDescent="0.3">
      <c r="A50" s="44">
        <v>41003</v>
      </c>
      <c r="B50" s="16" t="s">
        <v>304</v>
      </c>
      <c r="C50" s="16" t="s">
        <v>298</v>
      </c>
      <c r="D50" s="16">
        <v>551</v>
      </c>
      <c r="I50" s="16" t="s">
        <v>298</v>
      </c>
      <c r="J50" s="22" t="s">
        <v>297</v>
      </c>
      <c r="K50" s="16">
        <f>AVERAGEIFS(Sheet4!$D$40:$D$61,Sheet4!$C$40:$C$61,Sheet4!$I50,Sheet4!$B$40:$B$61,Sheet4!$J50)</f>
        <v>593</v>
      </c>
      <c r="M50" s="16" t="s">
        <v>298</v>
      </c>
      <c r="N50" s="16" t="s">
        <v>297</v>
      </c>
      <c r="O50">
        <f>AVERAGEIFS($K$45:$K$59,$J$45:$J$59,N50,$I$45:$I$59,$M$50)</f>
        <v>593</v>
      </c>
    </row>
    <row r="51" spans="1:15" ht="15.75" customHeight="1" x14ac:dyDescent="0.3">
      <c r="A51" s="44">
        <v>41000</v>
      </c>
      <c r="B51" s="16" t="s">
        <v>304</v>
      </c>
      <c r="C51" s="16" t="s">
        <v>300</v>
      </c>
      <c r="D51" s="16">
        <v>308</v>
      </c>
      <c r="I51" s="16" t="s">
        <v>298</v>
      </c>
      <c r="J51" s="22" t="s">
        <v>299</v>
      </c>
      <c r="K51" s="16">
        <f>AVERAGEIFS(Sheet4!$D$40:$D$61,Sheet4!$C$40:$C$61,Sheet4!$I51,Sheet4!$B$40:$B$61,Sheet4!$J51)</f>
        <v>536.5</v>
      </c>
      <c r="N51" s="16" t="s">
        <v>299</v>
      </c>
      <c r="O51">
        <f t="shared" ref="O51:O54" si="5">AVERAGEIFS($K$45:$K$59,$J$45:$J$59,N51,$I$45:$I$59,$M$50)</f>
        <v>536.5</v>
      </c>
    </row>
    <row r="52" spans="1:15" ht="15.75" customHeight="1" x14ac:dyDescent="0.3">
      <c r="A52" s="44">
        <v>41000</v>
      </c>
      <c r="B52" s="16" t="s">
        <v>304</v>
      </c>
      <c r="C52" s="16" t="s">
        <v>301</v>
      </c>
      <c r="D52" s="16">
        <v>660</v>
      </c>
      <c r="I52" s="16" t="s">
        <v>298</v>
      </c>
      <c r="J52" s="22" t="s">
        <v>303</v>
      </c>
      <c r="K52" s="16">
        <f>AVERAGEIFS(Sheet4!$D$40:$D$61,Sheet4!$C$40:$C$61,Sheet4!$I52,Sheet4!$B$40:$B$61,Sheet4!$J52)</f>
        <v>132</v>
      </c>
      <c r="N52" s="16" t="s">
        <v>303</v>
      </c>
      <c r="O52">
        <f t="shared" si="5"/>
        <v>132</v>
      </c>
    </row>
    <row r="53" spans="1:15" ht="15.75" customHeight="1" x14ac:dyDescent="0.3">
      <c r="A53" s="44">
        <v>41003</v>
      </c>
      <c r="B53" s="16" t="s">
        <v>297</v>
      </c>
      <c r="C53" s="16" t="s">
        <v>298</v>
      </c>
      <c r="D53" s="16">
        <v>840</v>
      </c>
      <c r="I53" s="16" t="s">
        <v>298</v>
      </c>
      <c r="J53" s="22" t="s">
        <v>304</v>
      </c>
      <c r="K53" s="16">
        <f>AVERAGEIFS(Sheet4!$D$40:$D$61,Sheet4!$C$40:$C$61,Sheet4!$I53,Sheet4!$B$40:$B$61,Sheet4!$J53)</f>
        <v>620.5</v>
      </c>
      <c r="N53" s="16" t="s">
        <v>304</v>
      </c>
      <c r="O53">
        <f t="shared" si="5"/>
        <v>620.5</v>
      </c>
    </row>
    <row r="54" spans="1:15" ht="15.75" customHeight="1" x14ac:dyDescent="0.3">
      <c r="A54" s="44">
        <v>41013</v>
      </c>
      <c r="B54" s="16" t="s">
        <v>297</v>
      </c>
      <c r="C54" s="16" t="s">
        <v>300</v>
      </c>
      <c r="D54" s="16">
        <v>160</v>
      </c>
      <c r="I54" s="16" t="s">
        <v>298</v>
      </c>
      <c r="J54" s="22" t="s">
        <v>305</v>
      </c>
      <c r="K54" s="16">
        <f>AVERAGEIFS(Sheet4!$D$40:$D$61,Sheet4!$C$40:$C$61,Sheet4!$I54,Sheet4!$B$40:$B$61,Sheet4!$J54)</f>
        <v>765</v>
      </c>
      <c r="N54" s="16" t="s">
        <v>305</v>
      </c>
      <c r="O54">
        <f t="shared" si="5"/>
        <v>765</v>
      </c>
    </row>
    <row r="55" spans="1:15" ht="15.75" customHeight="1" x14ac:dyDescent="0.3">
      <c r="A55" s="44">
        <v>41011</v>
      </c>
      <c r="B55" s="16" t="s">
        <v>303</v>
      </c>
      <c r="C55" s="16" t="s">
        <v>298</v>
      </c>
      <c r="D55" s="16">
        <v>132</v>
      </c>
      <c r="I55" s="16" t="s">
        <v>301</v>
      </c>
      <c r="J55" s="22" t="s">
        <v>297</v>
      </c>
      <c r="K55" s="16">
        <f>AVERAGEIFS(Sheet4!$D$40:$D$61,Sheet4!$C$40:$C$61,Sheet4!$I55,Sheet4!$B$40:$B$61,Sheet4!$J55)</f>
        <v>75</v>
      </c>
      <c r="M55" s="16" t="s">
        <v>301</v>
      </c>
      <c r="N55" s="16" t="s">
        <v>297</v>
      </c>
      <c r="O55">
        <f>AVERAGEIFS($K$45:$K$59,$J$45:$J$59,N55,$I$45:$I$59,$M$55)</f>
        <v>75</v>
      </c>
    </row>
    <row r="56" spans="1:15" ht="15.75" customHeight="1" x14ac:dyDescent="0.3">
      <c r="A56" s="44">
        <v>41007</v>
      </c>
      <c r="B56" s="16" t="s">
        <v>299</v>
      </c>
      <c r="C56" s="16" t="s">
        <v>298</v>
      </c>
      <c r="D56" s="16">
        <v>667</v>
      </c>
      <c r="I56" s="16" t="s">
        <v>301</v>
      </c>
      <c r="J56" s="22" t="s">
        <v>299</v>
      </c>
      <c r="K56" s="16">
        <f>AVERAGEIFS(Sheet4!$D$40:$D$61,Sheet4!$C$40:$C$61,Sheet4!$I56,Sheet4!$B$40:$B$61,Sheet4!$J56)</f>
        <v>665</v>
      </c>
      <c r="N56" s="16" t="s">
        <v>299</v>
      </c>
      <c r="O56">
        <f t="shared" ref="O56:O59" si="6">AVERAGEIFS($K$45:$K$59,$J$45:$J$59,N56,$I$45:$I$59,$M$55)</f>
        <v>665</v>
      </c>
    </row>
    <row r="57" spans="1:15" ht="15.75" customHeight="1" x14ac:dyDescent="0.3">
      <c r="A57" s="44">
        <v>41012</v>
      </c>
      <c r="B57" s="16" t="s">
        <v>297</v>
      </c>
      <c r="C57" s="16" t="s">
        <v>300</v>
      </c>
      <c r="D57" s="16">
        <v>75</v>
      </c>
      <c r="I57" s="16" t="s">
        <v>301</v>
      </c>
      <c r="J57" s="22" t="s">
        <v>303</v>
      </c>
      <c r="K57" s="16">
        <f>AVERAGEIFS(Sheet4!$D$40:$D$61,Sheet4!$C$40:$C$61,Sheet4!$I57,Sheet4!$B$40:$B$61,Sheet4!$J57)</f>
        <v>57</v>
      </c>
      <c r="N57" s="16" t="s">
        <v>303</v>
      </c>
      <c r="O57">
        <f t="shared" si="6"/>
        <v>57</v>
      </c>
    </row>
    <row r="58" spans="1:15" ht="15.75" customHeight="1" x14ac:dyDescent="0.3">
      <c r="A58" s="44">
        <v>41012</v>
      </c>
      <c r="B58" s="16" t="s">
        <v>303</v>
      </c>
      <c r="C58" s="16" t="s">
        <v>300</v>
      </c>
      <c r="D58" s="16">
        <v>665</v>
      </c>
      <c r="I58" s="16" t="s">
        <v>301</v>
      </c>
      <c r="J58" s="22" t="s">
        <v>304</v>
      </c>
      <c r="K58" s="16">
        <f>AVERAGEIFS(Sheet4!$D$40:$D$61,Sheet4!$C$40:$C$61,Sheet4!$I58,Sheet4!$B$40:$B$61,Sheet4!$J58)</f>
        <v>660</v>
      </c>
      <c r="N58" s="16" t="s">
        <v>304</v>
      </c>
      <c r="O58">
        <f t="shared" si="6"/>
        <v>660</v>
      </c>
    </row>
    <row r="59" spans="1:15" ht="15.75" customHeight="1" x14ac:dyDescent="0.3">
      <c r="A59" s="44">
        <v>41000</v>
      </c>
      <c r="B59" s="16" t="s">
        <v>305</v>
      </c>
      <c r="C59" s="16" t="s">
        <v>301</v>
      </c>
      <c r="D59" s="16">
        <v>453</v>
      </c>
      <c r="I59" s="16" t="s">
        <v>301</v>
      </c>
      <c r="J59" s="22" t="s">
        <v>305</v>
      </c>
      <c r="K59" s="16">
        <f>AVERAGEIFS(Sheet4!$D$40:$D$61,Sheet4!$C$40:$C$61,Sheet4!$I59,Sheet4!$B$40:$B$61,Sheet4!$J59)</f>
        <v>453</v>
      </c>
      <c r="N59" s="16" t="s">
        <v>305</v>
      </c>
      <c r="O59">
        <f t="shared" si="6"/>
        <v>453</v>
      </c>
    </row>
    <row r="60" spans="1:15" ht="15.75" customHeight="1" x14ac:dyDescent="0.3">
      <c r="A60" s="44">
        <v>41003</v>
      </c>
      <c r="B60" s="16" t="s">
        <v>305</v>
      </c>
      <c r="C60" s="16" t="s">
        <v>298</v>
      </c>
      <c r="D60" s="16">
        <v>765</v>
      </c>
    </row>
    <row r="61" spans="1:15" ht="15.75" customHeight="1" x14ac:dyDescent="0.3">
      <c r="A61" s="44">
        <v>41000</v>
      </c>
      <c r="B61" s="16" t="s">
        <v>299</v>
      </c>
      <c r="C61" s="16" t="s">
        <v>301</v>
      </c>
      <c r="D61" s="16">
        <v>665</v>
      </c>
    </row>
    <row r="62" spans="1:15" ht="15.75" customHeight="1" x14ac:dyDescent="0.3">
      <c r="A62" s="47"/>
    </row>
    <row r="63" spans="1:15" ht="15.75" customHeight="1" x14ac:dyDescent="0.3">
      <c r="A63" s="47"/>
    </row>
    <row r="64" spans="1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Insights 1</vt:lpstr>
      <vt:lpstr>Formating + Quick Insights 2</vt:lpstr>
      <vt:lpstr>Insights 3</vt:lpstr>
      <vt:lpstr>Data Formating</vt:lpstr>
      <vt:lpstr>Basic Formulas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2025-11-19T07:04:53Z</dcterms:modified>
</cp:coreProperties>
</file>